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fabio.diniz_a10br\Downloads\ABM - Sales Cards\MAPEAMENTOS\"/>
    </mc:Choice>
  </mc:AlternateContent>
  <xr:revisionPtr revIDLastSave="0" documentId="8_{0DFB85F0-CAD4-4350-BCA6-98FC90E71693}" xr6:coauthVersionLast="47" xr6:coauthVersionMax="47" xr10:uidLastSave="{00000000-0000-0000-0000-000000000000}"/>
  <bookViews>
    <workbookView xWindow="-120" yWindow="-120" windowWidth="29040" windowHeight="16440" firstSheet="1" activeTab="4" xr2:uid="{44199221-F765-4723-878F-0BDE613918A6}"/>
  </bookViews>
  <sheets>
    <sheet name="Linha do Tempo do Projeto" sheetId="3" r:id="rId1"/>
    <sheet name="Mapeamento (CONTA TARGET)" sheetId="1" r:id="rId2"/>
    <sheet name="Contas Compiladas" sheetId="2" r:id="rId3"/>
    <sheet name="Compilado Contatos" sheetId="6" r:id="rId4"/>
    <sheet name="Compilado Clientes" sheetId="5" r:id="rId5"/>
    <sheet name="Base OPPs (Target)" sheetId="7" r:id="rId6"/>
    <sheet name="Contatos enriquecidos" sheetId="10" r:id="rId7"/>
    <sheet name="Summary" sheetId="4" r:id="rId8"/>
    <sheet name="Heatmap Cargos" sheetId="8" r:id="rId9"/>
    <sheet name="Pautas" sheetId="9" r:id="rId10"/>
    <sheet name="Draft" sheetId="12" r:id="rId11"/>
  </sheets>
  <definedNames>
    <definedName name="_xlnm._FilterDatabase" localSheetId="5" hidden="1">'Base OPPs (Target)'!$A$2:$K$1032</definedName>
    <definedName name="_xlnm._FilterDatabase" localSheetId="4" hidden="1">'Compilado Clientes'!$A$1:$AD$42</definedName>
    <definedName name="_xlnm._FilterDatabase" localSheetId="3" hidden="1">'Compilado Contatos'!$A$1:$M$255</definedName>
    <definedName name="_xlnm._FilterDatabase" localSheetId="2" hidden="1">'Contas Compiladas'!$A$1:$AH$265</definedName>
    <definedName name="_xlnm.Print_Area" localSheetId="0">'Linha do Tempo do Projeto'!$A$1:$L$14</definedName>
    <definedName name="ProjectStart">DetalhesDoProjeto[]('Linha do Tempo do Projeto'!$B$17)</definedName>
    <definedName name="TérminodoProjeto">INDEX(DetalhesDoProjeto[],MIN(ROW(data))+ROWS(data)-1,1)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2" i="5" l="1"/>
  <c r="AD3" i="5"/>
  <c r="AD14" i="5"/>
  <c r="AD2" i="5"/>
  <c r="AD6" i="5"/>
  <c r="AD24" i="5"/>
  <c r="AD13" i="5"/>
  <c r="AD5" i="5"/>
  <c r="AD17" i="5"/>
  <c r="AD7" i="5"/>
  <c r="AD16" i="5"/>
  <c r="AD27" i="5"/>
  <c r="AD10" i="5"/>
  <c r="AD29" i="5"/>
  <c r="AD25" i="5"/>
  <c r="AD22" i="5"/>
  <c r="AD23" i="5"/>
  <c r="AD30" i="5"/>
  <c r="AD21" i="5"/>
  <c r="AD40" i="5"/>
  <c r="AD20" i="5"/>
  <c r="AD11" i="5"/>
  <c r="AD18" i="5"/>
  <c r="AD41" i="5"/>
  <c r="AD19" i="5"/>
  <c r="AD31" i="5"/>
  <c r="AD8" i="5"/>
  <c r="AD39" i="5"/>
  <c r="AD32" i="5"/>
  <c r="AD26" i="5"/>
  <c r="AD15" i="5"/>
  <c r="AD36" i="5"/>
  <c r="AD9" i="5"/>
  <c r="AD28" i="5"/>
  <c r="AD37" i="5"/>
  <c r="AD34" i="5"/>
  <c r="AD35" i="5"/>
  <c r="AD38" i="5"/>
  <c r="AD33" i="5"/>
  <c r="AD42" i="5"/>
  <c r="AD4" i="5"/>
  <c r="AT10" i="7"/>
  <c r="AH83" i="7"/>
  <c r="AG83" i="7"/>
  <c r="AF83" i="7"/>
  <c r="AE83" i="7"/>
  <c r="AD83" i="7"/>
  <c r="AC83" i="7"/>
  <c r="AB83" i="7"/>
  <c r="AA83" i="7"/>
  <c r="Z83" i="7"/>
  <c r="Y83" i="7"/>
  <c r="X83" i="7"/>
  <c r="W83" i="7"/>
  <c r="V83" i="7"/>
  <c r="U83" i="7"/>
  <c r="T83" i="7"/>
  <c r="S83" i="7"/>
  <c r="R83" i="7"/>
  <c r="AH82" i="7"/>
  <c r="AG82" i="7"/>
  <c r="AF82" i="7"/>
  <c r="AE82" i="7"/>
  <c r="AD82" i="7"/>
  <c r="AC82" i="7"/>
  <c r="AB82" i="7"/>
  <c r="AA82" i="7"/>
  <c r="Z82" i="7"/>
  <c r="Y82" i="7"/>
  <c r="X82" i="7"/>
  <c r="W82" i="7"/>
  <c r="V82" i="7"/>
  <c r="U82" i="7"/>
  <c r="T82" i="7"/>
  <c r="S82" i="7"/>
  <c r="R82" i="7"/>
  <c r="AH81" i="7"/>
  <c r="AG81" i="7"/>
  <c r="AF81" i="7"/>
  <c r="AE81" i="7"/>
  <c r="AD81" i="7"/>
  <c r="AC81" i="7"/>
  <c r="AB81" i="7"/>
  <c r="AA81" i="7"/>
  <c r="Z81" i="7"/>
  <c r="Y81" i="7"/>
  <c r="X81" i="7"/>
  <c r="W81" i="7"/>
  <c r="V81" i="7"/>
  <c r="U81" i="7"/>
  <c r="T81" i="7"/>
  <c r="S81" i="7"/>
  <c r="R81" i="7"/>
  <c r="AH80" i="7"/>
  <c r="AG80" i="7"/>
  <c r="AF80" i="7"/>
  <c r="AE80" i="7"/>
  <c r="AD80" i="7"/>
  <c r="AC80" i="7"/>
  <c r="AB80" i="7"/>
  <c r="AA80" i="7"/>
  <c r="Z80" i="7"/>
  <c r="Y80" i="7"/>
  <c r="X80" i="7"/>
  <c r="W80" i="7"/>
  <c r="V80" i="7"/>
  <c r="U80" i="7"/>
  <c r="T80" i="7"/>
  <c r="S80" i="7"/>
  <c r="R80" i="7"/>
  <c r="AH79" i="7"/>
  <c r="AG79" i="7"/>
  <c r="AF79" i="7"/>
  <c r="AE79" i="7"/>
  <c r="AD79" i="7"/>
  <c r="AC79" i="7"/>
  <c r="AB79" i="7"/>
  <c r="AA79" i="7"/>
  <c r="Z79" i="7"/>
  <c r="Y79" i="7"/>
  <c r="X79" i="7"/>
  <c r="W79" i="7"/>
  <c r="V79" i="7"/>
  <c r="U79" i="7"/>
  <c r="T79" i="7"/>
  <c r="S79" i="7"/>
  <c r="R79" i="7"/>
  <c r="AH78" i="7"/>
  <c r="AG78" i="7"/>
  <c r="AF78" i="7"/>
  <c r="AE78" i="7"/>
  <c r="AD78" i="7"/>
  <c r="AC78" i="7"/>
  <c r="AB78" i="7"/>
  <c r="AA78" i="7"/>
  <c r="Z78" i="7"/>
  <c r="Y78" i="7"/>
  <c r="X78" i="7"/>
  <c r="W78" i="7"/>
  <c r="V78" i="7"/>
  <c r="U78" i="7"/>
  <c r="T78" i="7"/>
  <c r="S78" i="7"/>
  <c r="R78" i="7"/>
  <c r="AH77" i="7"/>
  <c r="AG77" i="7"/>
  <c r="AF77" i="7"/>
  <c r="AE77" i="7"/>
  <c r="AD77" i="7"/>
  <c r="AC77" i="7"/>
  <c r="AB77" i="7"/>
  <c r="AA77" i="7"/>
  <c r="Z77" i="7"/>
  <c r="Y77" i="7"/>
  <c r="X77" i="7"/>
  <c r="W77" i="7"/>
  <c r="V77" i="7"/>
  <c r="U77" i="7"/>
  <c r="T77" i="7"/>
  <c r="S77" i="7"/>
  <c r="R77" i="7"/>
  <c r="AH76" i="7"/>
  <c r="AG76" i="7"/>
  <c r="AF76" i="7"/>
  <c r="AE76" i="7"/>
  <c r="AD76" i="7"/>
  <c r="AC76" i="7"/>
  <c r="AB76" i="7"/>
  <c r="AA76" i="7"/>
  <c r="Z76" i="7"/>
  <c r="Y76" i="7"/>
  <c r="X76" i="7"/>
  <c r="W76" i="7"/>
  <c r="V76" i="7"/>
  <c r="U76" i="7"/>
  <c r="T76" i="7"/>
  <c r="S76" i="7"/>
  <c r="R76" i="7"/>
  <c r="AH75" i="7"/>
  <c r="AG75" i="7"/>
  <c r="AF75" i="7"/>
  <c r="AE75" i="7"/>
  <c r="AD75" i="7"/>
  <c r="AC75" i="7"/>
  <c r="AB75" i="7"/>
  <c r="AA75" i="7"/>
  <c r="Z75" i="7"/>
  <c r="Y75" i="7"/>
  <c r="X75" i="7"/>
  <c r="W75" i="7"/>
  <c r="V75" i="7"/>
  <c r="U75" i="7"/>
  <c r="T75" i="7"/>
  <c r="S75" i="7"/>
  <c r="R75" i="7"/>
  <c r="AH74" i="7"/>
  <c r="AG74" i="7"/>
  <c r="AF74" i="7"/>
  <c r="AE74" i="7"/>
  <c r="AD74" i="7"/>
  <c r="AC74" i="7"/>
  <c r="AB74" i="7"/>
  <c r="AA74" i="7"/>
  <c r="Z74" i="7"/>
  <c r="Y74" i="7"/>
  <c r="X74" i="7"/>
  <c r="W74" i="7"/>
  <c r="V74" i="7"/>
  <c r="U74" i="7"/>
  <c r="T74" i="7"/>
  <c r="S74" i="7"/>
  <c r="R74" i="7"/>
  <c r="AH73" i="7"/>
  <c r="AG73" i="7"/>
  <c r="AF73" i="7"/>
  <c r="AE73" i="7"/>
  <c r="AD73" i="7"/>
  <c r="AC73" i="7"/>
  <c r="AB73" i="7"/>
  <c r="AA73" i="7"/>
  <c r="Z73" i="7"/>
  <c r="Y73" i="7"/>
  <c r="X73" i="7"/>
  <c r="W73" i="7"/>
  <c r="V73" i="7"/>
  <c r="U73" i="7"/>
  <c r="T73" i="7"/>
  <c r="S73" i="7"/>
  <c r="R73" i="7"/>
  <c r="AH72" i="7"/>
  <c r="AG72" i="7"/>
  <c r="AF72" i="7"/>
  <c r="AE72" i="7"/>
  <c r="AD72" i="7"/>
  <c r="AC72" i="7"/>
  <c r="AB72" i="7"/>
  <c r="AA72" i="7"/>
  <c r="Z72" i="7"/>
  <c r="Y72" i="7"/>
  <c r="X72" i="7"/>
  <c r="W72" i="7"/>
  <c r="V72" i="7"/>
  <c r="U72" i="7"/>
  <c r="T72" i="7"/>
  <c r="S72" i="7"/>
  <c r="R72" i="7"/>
  <c r="AH71" i="7"/>
  <c r="AG71" i="7"/>
  <c r="AF71" i="7"/>
  <c r="AE71" i="7"/>
  <c r="AD71" i="7"/>
  <c r="AC71" i="7"/>
  <c r="AB71" i="7"/>
  <c r="AA71" i="7"/>
  <c r="Z71" i="7"/>
  <c r="Y71" i="7"/>
  <c r="X71" i="7"/>
  <c r="W71" i="7"/>
  <c r="V71" i="7"/>
  <c r="U71" i="7"/>
  <c r="T71" i="7"/>
  <c r="S71" i="7"/>
  <c r="R71" i="7"/>
  <c r="AH70" i="7"/>
  <c r="AG70" i="7"/>
  <c r="AF70" i="7"/>
  <c r="AE70" i="7"/>
  <c r="AD70" i="7"/>
  <c r="AC70" i="7"/>
  <c r="AB70" i="7"/>
  <c r="AA70" i="7"/>
  <c r="Z70" i="7"/>
  <c r="Y70" i="7"/>
  <c r="X70" i="7"/>
  <c r="W70" i="7"/>
  <c r="V70" i="7"/>
  <c r="U70" i="7"/>
  <c r="T70" i="7"/>
  <c r="S70" i="7"/>
  <c r="R70" i="7"/>
  <c r="AH69" i="7"/>
  <c r="AG69" i="7"/>
  <c r="AF69" i="7"/>
  <c r="AE69" i="7"/>
  <c r="AD69" i="7"/>
  <c r="AC69" i="7"/>
  <c r="AB69" i="7"/>
  <c r="AA69" i="7"/>
  <c r="Z69" i="7"/>
  <c r="Y69" i="7"/>
  <c r="X69" i="7"/>
  <c r="W69" i="7"/>
  <c r="V69" i="7"/>
  <c r="U69" i="7"/>
  <c r="T69" i="7"/>
  <c r="S69" i="7"/>
  <c r="R69" i="7"/>
  <c r="AH68" i="7"/>
  <c r="AG68" i="7"/>
  <c r="AF68" i="7"/>
  <c r="AE68" i="7"/>
  <c r="AD68" i="7"/>
  <c r="AC68" i="7"/>
  <c r="AB68" i="7"/>
  <c r="AA68" i="7"/>
  <c r="Z68" i="7"/>
  <c r="Y68" i="7"/>
  <c r="X68" i="7"/>
  <c r="W68" i="7"/>
  <c r="V68" i="7"/>
  <c r="U68" i="7"/>
  <c r="T68" i="7"/>
  <c r="S68" i="7"/>
  <c r="R68" i="7"/>
  <c r="AH67" i="7"/>
  <c r="AG67" i="7"/>
  <c r="AF67" i="7"/>
  <c r="AE67" i="7"/>
  <c r="AD67" i="7"/>
  <c r="AC67" i="7"/>
  <c r="AB67" i="7"/>
  <c r="AA67" i="7"/>
  <c r="Z67" i="7"/>
  <c r="Y67" i="7"/>
  <c r="X67" i="7"/>
  <c r="W67" i="7"/>
  <c r="V67" i="7"/>
  <c r="U67" i="7"/>
  <c r="T67" i="7"/>
  <c r="S67" i="7"/>
  <c r="S47" i="7"/>
  <c r="T47" i="7"/>
  <c r="U47" i="7"/>
  <c r="V47" i="7"/>
  <c r="W47" i="7"/>
  <c r="X47" i="7"/>
  <c r="Y47" i="7"/>
  <c r="Z47" i="7"/>
  <c r="AA47" i="7"/>
  <c r="AB47" i="7"/>
  <c r="AC47" i="7"/>
  <c r="AD47" i="7"/>
  <c r="AE47" i="7"/>
  <c r="AF47" i="7"/>
  <c r="AG47" i="7"/>
  <c r="AH47" i="7"/>
  <c r="S48" i="7"/>
  <c r="T48" i="7"/>
  <c r="U48" i="7"/>
  <c r="V48" i="7"/>
  <c r="W48" i="7"/>
  <c r="X48" i="7"/>
  <c r="Y48" i="7"/>
  <c r="Z48" i="7"/>
  <c r="AA48" i="7"/>
  <c r="AB48" i="7"/>
  <c r="AC48" i="7"/>
  <c r="AD48" i="7"/>
  <c r="AE48" i="7"/>
  <c r="AF48" i="7"/>
  <c r="AG48" i="7"/>
  <c r="AH48" i="7"/>
  <c r="S49" i="7"/>
  <c r="T49" i="7"/>
  <c r="U49" i="7"/>
  <c r="V49" i="7"/>
  <c r="W49" i="7"/>
  <c r="X49" i="7"/>
  <c r="Y49" i="7"/>
  <c r="Z49" i="7"/>
  <c r="AA49" i="7"/>
  <c r="AB49" i="7"/>
  <c r="AC49" i="7"/>
  <c r="AD49" i="7"/>
  <c r="AE49" i="7"/>
  <c r="AF49" i="7"/>
  <c r="AG49" i="7"/>
  <c r="AH49" i="7"/>
  <c r="S50" i="7"/>
  <c r="T50" i="7"/>
  <c r="U50" i="7"/>
  <c r="V50" i="7"/>
  <c r="W50" i="7"/>
  <c r="X50" i="7"/>
  <c r="Y50" i="7"/>
  <c r="Z50" i="7"/>
  <c r="AA50" i="7"/>
  <c r="AB50" i="7"/>
  <c r="AC50" i="7"/>
  <c r="AD50" i="7"/>
  <c r="AE50" i="7"/>
  <c r="AF50" i="7"/>
  <c r="AG50" i="7"/>
  <c r="AH50" i="7"/>
  <c r="S51" i="7"/>
  <c r="T51" i="7"/>
  <c r="U51" i="7"/>
  <c r="V51" i="7"/>
  <c r="W51" i="7"/>
  <c r="X51" i="7"/>
  <c r="Y51" i="7"/>
  <c r="Z51" i="7"/>
  <c r="AA51" i="7"/>
  <c r="AB51" i="7"/>
  <c r="AC51" i="7"/>
  <c r="AD51" i="7"/>
  <c r="AE51" i="7"/>
  <c r="AF51" i="7"/>
  <c r="AG51" i="7"/>
  <c r="AH51" i="7"/>
  <c r="S52" i="7"/>
  <c r="T52" i="7"/>
  <c r="U52" i="7"/>
  <c r="V52" i="7"/>
  <c r="W52" i="7"/>
  <c r="X52" i="7"/>
  <c r="Y52" i="7"/>
  <c r="Z52" i="7"/>
  <c r="AA52" i="7"/>
  <c r="AB52" i="7"/>
  <c r="AC52" i="7"/>
  <c r="AD52" i="7"/>
  <c r="AE52" i="7"/>
  <c r="AF52" i="7"/>
  <c r="AG52" i="7"/>
  <c r="AH52" i="7"/>
  <c r="S53" i="7"/>
  <c r="T53" i="7"/>
  <c r="U53" i="7"/>
  <c r="V53" i="7"/>
  <c r="W53" i="7"/>
  <c r="X53" i="7"/>
  <c r="Y53" i="7"/>
  <c r="Z53" i="7"/>
  <c r="AA53" i="7"/>
  <c r="AB53" i="7"/>
  <c r="AC53" i="7"/>
  <c r="AD53" i="7"/>
  <c r="AE53" i="7"/>
  <c r="AF53" i="7"/>
  <c r="AG53" i="7"/>
  <c r="AH53" i="7"/>
  <c r="S54" i="7"/>
  <c r="T54" i="7"/>
  <c r="U54" i="7"/>
  <c r="V54" i="7"/>
  <c r="W54" i="7"/>
  <c r="X54" i="7"/>
  <c r="Y54" i="7"/>
  <c r="Z54" i="7"/>
  <c r="AA54" i="7"/>
  <c r="AB54" i="7"/>
  <c r="AC54" i="7"/>
  <c r="AD54" i="7"/>
  <c r="AE54" i="7"/>
  <c r="AF54" i="7"/>
  <c r="AG54" i="7"/>
  <c r="AH54" i="7"/>
  <c r="S55" i="7"/>
  <c r="T55" i="7"/>
  <c r="U55" i="7"/>
  <c r="V55" i="7"/>
  <c r="W55" i="7"/>
  <c r="X55" i="7"/>
  <c r="Y55" i="7"/>
  <c r="Z55" i="7"/>
  <c r="AA55" i="7"/>
  <c r="AB55" i="7"/>
  <c r="AC55" i="7"/>
  <c r="AD55" i="7"/>
  <c r="AE55" i="7"/>
  <c r="AF55" i="7"/>
  <c r="AG55" i="7"/>
  <c r="AH55" i="7"/>
  <c r="S56" i="7"/>
  <c r="T56" i="7"/>
  <c r="U56" i="7"/>
  <c r="V56" i="7"/>
  <c r="W56" i="7"/>
  <c r="X56" i="7"/>
  <c r="Y56" i="7"/>
  <c r="Z56" i="7"/>
  <c r="AA56" i="7"/>
  <c r="AB56" i="7"/>
  <c r="AC56" i="7"/>
  <c r="AD56" i="7"/>
  <c r="AE56" i="7"/>
  <c r="AF56" i="7"/>
  <c r="AG56" i="7"/>
  <c r="AH56" i="7"/>
  <c r="S57" i="7"/>
  <c r="T57" i="7"/>
  <c r="U57" i="7"/>
  <c r="V57" i="7"/>
  <c r="W57" i="7"/>
  <c r="X57" i="7"/>
  <c r="Y57" i="7"/>
  <c r="Z57" i="7"/>
  <c r="AA57" i="7"/>
  <c r="AB57" i="7"/>
  <c r="AC57" i="7"/>
  <c r="AD57" i="7"/>
  <c r="AE57" i="7"/>
  <c r="AF57" i="7"/>
  <c r="AG57" i="7"/>
  <c r="AH57" i="7"/>
  <c r="S58" i="7"/>
  <c r="T58" i="7"/>
  <c r="U58" i="7"/>
  <c r="V58" i="7"/>
  <c r="W58" i="7"/>
  <c r="X58" i="7"/>
  <c r="Y58" i="7"/>
  <c r="Z58" i="7"/>
  <c r="AA58" i="7"/>
  <c r="AB58" i="7"/>
  <c r="AC58" i="7"/>
  <c r="AD58" i="7"/>
  <c r="AE58" i="7"/>
  <c r="AF58" i="7"/>
  <c r="AG58" i="7"/>
  <c r="AH58" i="7"/>
  <c r="S59" i="7"/>
  <c r="T59" i="7"/>
  <c r="U59" i="7"/>
  <c r="V59" i="7"/>
  <c r="W59" i="7"/>
  <c r="X59" i="7"/>
  <c r="Y59" i="7"/>
  <c r="Z59" i="7"/>
  <c r="AA59" i="7"/>
  <c r="AB59" i="7"/>
  <c r="AC59" i="7"/>
  <c r="AD59" i="7"/>
  <c r="AE59" i="7"/>
  <c r="AF59" i="7"/>
  <c r="AG59" i="7"/>
  <c r="AH59" i="7"/>
  <c r="S60" i="7"/>
  <c r="T60" i="7"/>
  <c r="U60" i="7"/>
  <c r="V60" i="7"/>
  <c r="W60" i="7"/>
  <c r="X60" i="7"/>
  <c r="Y60" i="7"/>
  <c r="Z60" i="7"/>
  <c r="AA60" i="7"/>
  <c r="AB60" i="7"/>
  <c r="AC60" i="7"/>
  <c r="AD60" i="7"/>
  <c r="AE60" i="7"/>
  <c r="AF60" i="7"/>
  <c r="AG60" i="7"/>
  <c r="AH60" i="7"/>
  <c r="S61" i="7"/>
  <c r="T61" i="7"/>
  <c r="U61" i="7"/>
  <c r="V61" i="7"/>
  <c r="W61" i="7"/>
  <c r="X61" i="7"/>
  <c r="Y61" i="7"/>
  <c r="Z61" i="7"/>
  <c r="AA61" i="7"/>
  <c r="AB61" i="7"/>
  <c r="AC61" i="7"/>
  <c r="AD61" i="7"/>
  <c r="AE61" i="7"/>
  <c r="AF61" i="7"/>
  <c r="AG61" i="7"/>
  <c r="AH61" i="7"/>
  <c r="S62" i="7"/>
  <c r="T62" i="7"/>
  <c r="U62" i="7"/>
  <c r="V62" i="7"/>
  <c r="W62" i="7"/>
  <c r="X62" i="7"/>
  <c r="Y62" i="7"/>
  <c r="Z62" i="7"/>
  <c r="AA62" i="7"/>
  <c r="AB62" i="7"/>
  <c r="AC62" i="7"/>
  <c r="AD62" i="7"/>
  <c r="AE62" i="7"/>
  <c r="AF62" i="7"/>
  <c r="AG62" i="7"/>
  <c r="AH62" i="7"/>
  <c r="S63" i="7"/>
  <c r="T63" i="7"/>
  <c r="U63" i="7"/>
  <c r="V63" i="7"/>
  <c r="W63" i="7"/>
  <c r="X63" i="7"/>
  <c r="Y63" i="7"/>
  <c r="Z63" i="7"/>
  <c r="AA63" i="7"/>
  <c r="AB63" i="7"/>
  <c r="AC63" i="7"/>
  <c r="AD63" i="7"/>
  <c r="AE63" i="7"/>
  <c r="AF63" i="7"/>
  <c r="AG63" i="7"/>
  <c r="AH63" i="7"/>
  <c r="R48" i="7"/>
  <c r="R49" i="7"/>
  <c r="R50" i="7"/>
  <c r="R51" i="7"/>
  <c r="R52" i="7"/>
  <c r="R53" i="7"/>
  <c r="R54" i="7"/>
  <c r="R55" i="7"/>
  <c r="R56" i="7"/>
  <c r="R57" i="7"/>
  <c r="R58" i="7"/>
  <c r="R59" i="7"/>
  <c r="R60" i="7"/>
  <c r="R61" i="7"/>
  <c r="R62" i="7"/>
  <c r="R63" i="7"/>
  <c r="R126" i="7"/>
  <c r="R19" i="7"/>
  <c r="S19" i="7"/>
  <c r="T19" i="7"/>
  <c r="U19" i="7"/>
  <c r="V19" i="7"/>
  <c r="W19" i="7"/>
  <c r="X19" i="7"/>
  <c r="Y19" i="7"/>
  <c r="N35" i="7"/>
  <c r="R92" i="7"/>
  <c r="AU8" i="7" l="1"/>
  <c r="O23" i="7"/>
  <c r="M8" i="1" l="1"/>
  <c r="AH105" i="7"/>
  <c r="N82" i="7"/>
  <c r="AP11" i="7"/>
  <c r="R111" i="7"/>
  <c r="R121" i="7"/>
  <c r="R124" i="7"/>
  <c r="R93" i="7"/>
  <c r="R90" i="7"/>
  <c r="R88" i="7"/>
  <c r="R16" i="7"/>
  <c r="S16" i="7"/>
  <c r="T16" i="7"/>
  <c r="U16" i="7"/>
  <c r="V16" i="7"/>
  <c r="W16" i="7"/>
  <c r="X16" i="7"/>
  <c r="Y16" i="7"/>
  <c r="R17" i="7"/>
  <c r="S17" i="7"/>
  <c r="T17" i="7"/>
  <c r="U17" i="7"/>
  <c r="V17" i="7"/>
  <c r="W17" i="7"/>
  <c r="X17" i="7"/>
  <c r="Y17" i="7"/>
  <c r="R18" i="7"/>
  <c r="S18" i="7"/>
  <c r="T18" i="7"/>
  <c r="U18" i="7"/>
  <c r="V18" i="7"/>
  <c r="W18" i="7"/>
  <c r="X18" i="7"/>
  <c r="Y18" i="7"/>
  <c r="AH126" i="7" l="1"/>
  <c r="AQ9" i="7"/>
  <c r="AQ4" i="7"/>
  <c r="R89" i="7"/>
  <c r="R119" i="7"/>
  <c r="Y14" i="7"/>
  <c r="X14" i="7"/>
  <c r="W14" i="7"/>
  <c r="V14" i="7"/>
  <c r="U14" i="7"/>
  <c r="T14" i="7"/>
  <c r="S14" i="7"/>
  <c r="R14" i="7"/>
  <c r="S158" i="7"/>
  <c r="R158" i="7"/>
  <c r="AL8" i="7"/>
  <c r="AL4" i="7"/>
  <c r="AL9" i="7"/>
  <c r="AL6" i="7"/>
  <c r="AL5" i="7"/>
  <c r="AL11" i="7"/>
  <c r="AL10" i="7"/>
  <c r="AL12" i="7"/>
  <c r="AL7" i="7"/>
  <c r="AL14" i="7"/>
  <c r="AL13" i="7"/>
  <c r="AL15" i="7"/>
  <c r="AL16" i="7"/>
  <c r="AL17" i="7"/>
  <c r="AL18" i="7"/>
  <c r="AL19" i="7"/>
  <c r="AD7" i="7"/>
  <c r="AD5" i="7"/>
  <c r="AD4" i="7"/>
  <c r="AD8" i="7"/>
  <c r="AD3" i="7"/>
  <c r="AD9" i="7"/>
  <c r="AD6" i="7"/>
  <c r="AD10" i="7"/>
  <c r="AD11" i="7"/>
  <c r="AH3" i="7"/>
  <c r="AH5" i="7"/>
  <c r="AH4" i="7"/>
  <c r="AH6" i="7"/>
  <c r="AH8" i="7"/>
  <c r="AH7" i="7"/>
  <c r="AH9" i="7"/>
  <c r="R47" i="7"/>
  <c r="R67" i="7"/>
  <c r="AU4" i="7"/>
  <c r="R3" i="7"/>
  <c r="N3" i="7"/>
  <c r="N4" i="7"/>
  <c r="N5" i="7"/>
  <c r="N6" i="7"/>
  <c r="N7" i="7"/>
  <c r="N8" i="7"/>
  <c r="N9" i="7"/>
  <c r="N10" i="7"/>
  <c r="S3" i="7"/>
  <c r="T3" i="7"/>
  <c r="U3" i="7"/>
  <c r="V3" i="7"/>
  <c r="W3" i="7"/>
  <c r="X3" i="7"/>
  <c r="Y3" i="7"/>
  <c r="R91" i="7"/>
  <c r="R104" i="7"/>
  <c r="R101" i="7"/>
  <c r="R100" i="7"/>
  <c r="R99" i="7"/>
  <c r="R103" i="7"/>
  <c r="R102" i="7"/>
  <c r="R96" i="7"/>
  <c r="R94" i="7"/>
  <c r="R97" i="7"/>
  <c r="R95" i="7"/>
  <c r="R98" i="7"/>
  <c r="R116" i="7"/>
  <c r="R123" i="7"/>
  <c r="R112" i="7"/>
  <c r="R113" i="7"/>
  <c r="R120" i="7"/>
  <c r="R114" i="7"/>
  <c r="R122" i="7"/>
  <c r="R115" i="7"/>
  <c r="R118" i="7"/>
  <c r="R127" i="7"/>
  <c r="R125" i="7"/>
  <c r="R117" i="7"/>
  <c r="S4" i="7"/>
  <c r="S5" i="7"/>
  <c r="S6" i="7"/>
  <c r="S7" i="7"/>
  <c r="S8" i="7"/>
  <c r="S9" i="7"/>
  <c r="S10" i="7"/>
  <c r="S11" i="7"/>
  <c r="S12" i="7"/>
  <c r="S13" i="7"/>
  <c r="S15" i="7"/>
  <c r="T4" i="7"/>
  <c r="T5" i="7"/>
  <c r="T6" i="7"/>
  <c r="T7" i="7"/>
  <c r="T8" i="7"/>
  <c r="T9" i="7"/>
  <c r="T10" i="7"/>
  <c r="T11" i="7"/>
  <c r="T12" i="7"/>
  <c r="T13" i="7"/>
  <c r="T15" i="7"/>
  <c r="U4" i="7"/>
  <c r="U5" i="7"/>
  <c r="U6" i="7"/>
  <c r="U7" i="7"/>
  <c r="U8" i="7"/>
  <c r="U9" i="7"/>
  <c r="U10" i="7"/>
  <c r="U11" i="7"/>
  <c r="U12" i="7"/>
  <c r="U13" i="7"/>
  <c r="U15" i="7"/>
  <c r="V4" i="7"/>
  <c r="V5" i="7"/>
  <c r="V6" i="7"/>
  <c r="V7" i="7"/>
  <c r="V8" i="7"/>
  <c r="V9" i="7"/>
  <c r="V10" i="7"/>
  <c r="V11" i="7"/>
  <c r="V12" i="7"/>
  <c r="V13" i="7"/>
  <c r="V15" i="7"/>
  <c r="W4" i="7"/>
  <c r="W5" i="7"/>
  <c r="W6" i="7"/>
  <c r="W7" i="7"/>
  <c r="W8" i="7"/>
  <c r="W9" i="7"/>
  <c r="W10" i="7"/>
  <c r="W11" i="7"/>
  <c r="W12" i="7"/>
  <c r="W13" i="7"/>
  <c r="W15" i="7"/>
  <c r="X4" i="7"/>
  <c r="X5" i="7"/>
  <c r="X6" i="7"/>
  <c r="X7" i="7"/>
  <c r="X8" i="7"/>
  <c r="X9" i="7"/>
  <c r="X10" i="7"/>
  <c r="X11" i="7"/>
  <c r="X12" i="7"/>
  <c r="X13" i="7"/>
  <c r="X15" i="7"/>
  <c r="Y4" i="7"/>
  <c r="Y5" i="7"/>
  <c r="Y6" i="7"/>
  <c r="Y7" i="7"/>
  <c r="Y8" i="7"/>
  <c r="Y9" i="7"/>
  <c r="Y10" i="7"/>
  <c r="Y11" i="7"/>
  <c r="Y12" i="7"/>
  <c r="Y13" i="7"/>
  <c r="Y15" i="7"/>
  <c r="R4" i="7"/>
  <c r="R5" i="7"/>
  <c r="R6" i="7"/>
  <c r="R7" i="7"/>
  <c r="R8" i="7"/>
  <c r="R9" i="7"/>
  <c r="R10" i="7"/>
  <c r="R11" i="7"/>
  <c r="R12" i="7"/>
  <c r="R13" i="7"/>
  <c r="R15" i="7"/>
  <c r="AL3" i="7"/>
  <c r="F32" i="3"/>
  <c r="B32" i="3"/>
  <c r="F31" i="3"/>
  <c r="B31" i="3"/>
  <c r="F30" i="3"/>
  <c r="B30" i="3"/>
  <c r="F29" i="3"/>
  <c r="B29" i="3"/>
  <c r="F28" i="3"/>
  <c r="B28" i="3"/>
  <c r="F27" i="3"/>
  <c r="B27" i="3"/>
  <c r="F26" i="3"/>
  <c r="B26" i="3"/>
  <c r="F25" i="3"/>
  <c r="B25" i="3"/>
  <c r="F24" i="3"/>
  <c r="B24" i="3"/>
  <c r="F23" i="3"/>
  <c r="B23" i="3"/>
  <c r="F22" i="3"/>
  <c r="B22" i="3"/>
  <c r="F21" i="3"/>
  <c r="B21" i="3"/>
  <c r="F20" i="3"/>
  <c r="B20" i="3"/>
  <c r="F19" i="3"/>
  <c r="B19" i="3"/>
  <c r="F18" i="3"/>
  <c r="B18" i="3"/>
  <c r="F17" i="3"/>
  <c r="B17" i="3"/>
  <c r="Q5" i="1"/>
  <c r="V5" i="1"/>
  <c r="V6" i="1"/>
  <c r="S6" i="1"/>
  <c r="U13" i="1"/>
  <c r="T13" i="1"/>
  <c r="R13" i="1"/>
  <c r="S13" i="1"/>
  <c r="M15" i="1"/>
  <c r="M14" i="1"/>
  <c r="M13" i="1"/>
  <c r="M12" i="1"/>
  <c r="M11" i="1"/>
  <c r="M10" i="1"/>
  <c r="M9" i="1"/>
  <c r="Q13" i="1"/>
  <c r="R5" i="1"/>
  <c r="S5" i="1"/>
  <c r="T5" i="1"/>
  <c r="U5" i="1"/>
  <c r="U6" i="1"/>
  <c r="T6" i="1"/>
  <c r="R6" i="1"/>
  <c r="Q6" i="1"/>
  <c r="E6" i="1"/>
  <c r="D6" i="1"/>
  <c r="K48" i="1"/>
  <c r="J48" i="1"/>
  <c r="P47" i="1"/>
  <c r="O47" i="1"/>
  <c r="M47" i="1" s="1"/>
  <c r="P46" i="1"/>
  <c r="O46" i="1"/>
  <c r="M46" i="1"/>
  <c r="P45" i="1"/>
  <c r="O45" i="1"/>
  <c r="M45" i="1"/>
  <c r="P44" i="1"/>
  <c r="O44" i="1"/>
  <c r="M44" i="1"/>
  <c r="P43" i="1"/>
  <c r="O43" i="1"/>
  <c r="M43" i="1"/>
  <c r="P42" i="1"/>
  <c r="O42" i="1"/>
  <c r="M42" i="1" s="1"/>
  <c r="P41" i="1"/>
  <c r="O41" i="1"/>
  <c r="M41" i="1" s="1"/>
  <c r="P40" i="1"/>
  <c r="O40" i="1"/>
  <c r="M40" i="1" s="1"/>
  <c r="P39" i="1"/>
  <c r="O39" i="1"/>
  <c r="M39" i="1"/>
  <c r="P38" i="1"/>
  <c r="O38" i="1"/>
  <c r="M38" i="1"/>
  <c r="P37" i="1"/>
  <c r="O37" i="1"/>
  <c r="M37" i="1"/>
  <c r="P36" i="1"/>
  <c r="O36" i="1"/>
  <c r="M36" i="1"/>
  <c r="P35" i="1"/>
  <c r="O35" i="1"/>
  <c r="M35" i="1"/>
  <c r="P34" i="1"/>
  <c r="O34" i="1"/>
  <c r="M34" i="1" s="1"/>
  <c r="P33" i="1"/>
  <c r="O33" i="1"/>
  <c r="M33" i="1" s="1"/>
  <c r="P32" i="1"/>
  <c r="O32" i="1"/>
  <c r="M32" i="1" s="1"/>
  <c r="P31" i="1"/>
  <c r="O31" i="1"/>
  <c r="M31" i="1"/>
  <c r="P30" i="1"/>
  <c r="O30" i="1"/>
  <c r="M30" i="1"/>
  <c r="P29" i="1"/>
  <c r="O29" i="1"/>
  <c r="M29" i="1"/>
  <c r="P28" i="1"/>
  <c r="O28" i="1"/>
  <c r="M28" i="1"/>
  <c r="P27" i="1"/>
  <c r="O27" i="1"/>
  <c r="M27" i="1"/>
  <c r="P26" i="1"/>
  <c r="O26" i="1"/>
  <c r="M26" i="1" s="1"/>
  <c r="P25" i="1"/>
  <c r="O25" i="1"/>
  <c r="M25" i="1" s="1"/>
  <c r="P24" i="1"/>
  <c r="O24" i="1"/>
  <c r="M24" i="1" s="1"/>
  <c r="P23" i="1"/>
  <c r="O23" i="1"/>
  <c r="M23" i="1"/>
  <c r="P22" i="1"/>
  <c r="L48" i="1" s="1"/>
  <c r="O22" i="1"/>
  <c r="M22" i="1" s="1"/>
  <c r="P21" i="1"/>
  <c r="O21" i="1"/>
  <c r="M21" i="1"/>
  <c r="P20" i="1"/>
  <c r="O20" i="1"/>
  <c r="M20" i="1"/>
  <c r="P19" i="1"/>
  <c r="O19" i="1"/>
  <c r="M19" i="1" s="1"/>
  <c r="P18" i="1"/>
  <c r="O18" i="1"/>
  <c r="N48" i="1" s="1"/>
  <c r="K16" i="1"/>
  <c r="J16" i="1"/>
  <c r="P15" i="1"/>
  <c r="P14" i="1"/>
  <c r="P13" i="1"/>
  <c r="P12" i="1"/>
  <c r="P11" i="1"/>
  <c r="P10" i="1"/>
  <c r="P9" i="1"/>
  <c r="P8" i="1"/>
  <c r="L6" i="1"/>
  <c r="K6" i="1"/>
  <c r="M5" i="1"/>
  <c r="N3" i="1"/>
  <c r="M3" i="1"/>
  <c r="L1" i="1"/>
  <c r="K1" i="1"/>
  <c r="N18" i="1" l="1"/>
  <c r="L16" i="1"/>
  <c r="M48" i="1"/>
  <c r="R106" i="7"/>
  <c r="R129" i="7"/>
  <c r="S126" i="7" s="1"/>
  <c r="O19" i="7"/>
  <c r="O75" i="7"/>
  <c r="O67" i="7"/>
  <c r="O74" i="7"/>
  <c r="O66" i="7"/>
  <c r="O73" i="7"/>
  <c r="O65" i="7"/>
  <c r="O80" i="7"/>
  <c r="O72" i="7"/>
  <c r="O79" i="7"/>
  <c r="O71" i="7"/>
  <c r="O78" i="7"/>
  <c r="O70" i="7"/>
  <c r="O77" i="7"/>
  <c r="O69" i="7"/>
  <c r="O76" i="7"/>
  <c r="O68" i="7"/>
  <c r="S111" i="7"/>
  <c r="M16" i="1"/>
  <c r="N8" i="1" s="1"/>
  <c r="S3" i="1"/>
  <c r="N5" i="1"/>
  <c r="W22" i="7"/>
  <c r="U22" i="7"/>
  <c r="S22" i="7"/>
  <c r="T22" i="7"/>
  <c r="R22" i="7"/>
  <c r="Y22" i="7"/>
  <c r="X22" i="7"/>
  <c r="V22" i="7"/>
  <c r="O20" i="7"/>
  <c r="O28" i="7"/>
  <c r="O32" i="7"/>
  <c r="O18" i="7"/>
  <c r="O21" i="7"/>
  <c r="O29" i="7"/>
  <c r="O17" i="7"/>
  <c r="O26" i="7"/>
  <c r="O30" i="7"/>
  <c r="AU6" i="7"/>
  <c r="O33" i="7"/>
  <c r="O27" i="7"/>
  <c r="O31" i="7"/>
  <c r="O25" i="7"/>
  <c r="O22" i="7"/>
  <c r="O24" i="7"/>
  <c r="AQ5" i="7"/>
  <c r="AQ8" i="7"/>
  <c r="AU3" i="7"/>
  <c r="AQ7" i="7"/>
  <c r="AQ6" i="7"/>
  <c r="AU7" i="7"/>
  <c r="AQ3" i="7"/>
  <c r="AU5" i="7"/>
  <c r="AH11" i="7"/>
  <c r="AI4" i="7" s="1"/>
  <c r="AD13" i="7"/>
  <c r="AE10" i="7" s="1"/>
  <c r="AL21" i="7"/>
  <c r="AM3" i="7" s="1"/>
  <c r="N12" i="7"/>
  <c r="X28" i="7" l="1"/>
  <c r="T41" i="7"/>
  <c r="S41" i="7"/>
  <c r="R41" i="7"/>
  <c r="Y41" i="7"/>
  <c r="X41" i="7"/>
  <c r="W41" i="7"/>
  <c r="V41" i="7"/>
  <c r="U41" i="7"/>
  <c r="S124" i="7"/>
  <c r="S122" i="7"/>
  <c r="S121" i="7"/>
  <c r="Q4" i="1"/>
  <c r="T35" i="7"/>
  <c r="U33" i="7"/>
  <c r="T29" i="7"/>
  <c r="V36" i="7"/>
  <c r="X34" i="7"/>
  <c r="S34" i="7"/>
  <c r="S36" i="7"/>
  <c r="X29" i="7"/>
  <c r="U25" i="7"/>
  <c r="R32" i="7"/>
  <c r="Y31" i="7"/>
  <c r="T31" i="7"/>
  <c r="Y26" i="7"/>
  <c r="W25" i="7"/>
  <c r="U26" i="7"/>
  <c r="V29" i="7"/>
  <c r="R28" i="7"/>
  <c r="Y34" i="7"/>
  <c r="W26" i="7"/>
  <c r="S35" i="7"/>
  <c r="W37" i="7"/>
  <c r="S33" i="7"/>
  <c r="R37" i="7"/>
  <c r="W30" i="7"/>
  <c r="S28" i="7"/>
  <c r="R31" i="7"/>
  <c r="U31" i="7"/>
  <c r="S31" i="7"/>
  <c r="W35" i="7"/>
  <c r="R26" i="7"/>
  <c r="W34" i="7"/>
  <c r="W36" i="7"/>
  <c r="X33" i="7"/>
  <c r="T30" i="7"/>
  <c r="R30" i="7"/>
  <c r="X27" i="7"/>
  <c r="S37" i="7"/>
  <c r="S25" i="7"/>
  <c r="V28" i="7"/>
  <c r="T37" i="7"/>
  <c r="U32" i="7"/>
  <c r="W28" i="7"/>
  <c r="V33" i="7"/>
  <c r="T25" i="7"/>
  <c r="Y36" i="7"/>
  <c r="X31" i="7"/>
  <c r="X25" i="7"/>
  <c r="Y30" i="7"/>
  <c r="U27" i="7"/>
  <c r="U36" i="7"/>
  <c r="X35" i="7"/>
  <c r="T33" i="7"/>
  <c r="V37" i="7"/>
  <c r="V30" i="7"/>
  <c r="T34" i="7"/>
  <c r="V25" i="7"/>
  <c r="R33" i="7"/>
  <c r="R27" i="7"/>
  <c r="W29" i="7"/>
  <c r="Y32" i="7"/>
  <c r="V35" i="7"/>
  <c r="U29" i="7"/>
  <c r="W33" i="7"/>
  <c r="V26" i="7"/>
  <c r="Y25" i="7"/>
  <c r="T28" i="7"/>
  <c r="S32" i="7"/>
  <c r="R35" i="7"/>
  <c r="X26" i="7"/>
  <c r="S26" i="7"/>
  <c r="R29" i="7"/>
  <c r="W32" i="7"/>
  <c r="R36" i="7"/>
  <c r="X30" i="7"/>
  <c r="V38" i="7"/>
  <c r="X40" i="7"/>
  <c r="W39" i="7"/>
  <c r="X39" i="7"/>
  <c r="X38" i="7"/>
  <c r="V39" i="7"/>
  <c r="Y38" i="7"/>
  <c r="W38" i="7"/>
  <c r="U39" i="7"/>
  <c r="V40" i="7"/>
  <c r="U40" i="7"/>
  <c r="R40" i="7"/>
  <c r="U38" i="7"/>
  <c r="S40" i="7"/>
  <c r="R39" i="7"/>
  <c r="S38" i="7"/>
  <c r="T40" i="7"/>
  <c r="S39" i="7"/>
  <c r="R38" i="7"/>
  <c r="T39" i="7"/>
  <c r="T38" i="7"/>
  <c r="Y39" i="7"/>
  <c r="Y40" i="7"/>
  <c r="W40" i="7"/>
  <c r="S30" i="7"/>
  <c r="Y28" i="7"/>
  <c r="X37" i="7"/>
  <c r="U34" i="7"/>
  <c r="V34" i="7"/>
  <c r="U35" i="7"/>
  <c r="T36" i="7"/>
  <c r="U28" i="7"/>
  <c r="S27" i="7"/>
  <c r="U30" i="7"/>
  <c r="X32" i="7"/>
  <c r="S29" i="7"/>
  <c r="Y27" i="7"/>
  <c r="W27" i="7"/>
  <c r="T27" i="7"/>
  <c r="Y37" i="7"/>
  <c r="X36" i="7"/>
  <c r="V31" i="7"/>
  <c r="Y33" i="7"/>
  <c r="V32" i="7"/>
  <c r="T32" i="7"/>
  <c r="U37" i="7"/>
  <c r="W31" i="7"/>
  <c r="V27" i="7"/>
  <c r="R34" i="7"/>
  <c r="T26" i="7"/>
  <c r="Y35" i="7"/>
  <c r="Y29" i="7"/>
  <c r="S119" i="7"/>
  <c r="AM6" i="7"/>
  <c r="AM7" i="7"/>
  <c r="R25" i="7"/>
  <c r="O5" i="7"/>
  <c r="O9" i="7"/>
  <c r="O10" i="7"/>
  <c r="O4" i="7"/>
  <c r="AM16" i="7"/>
  <c r="AE5" i="7"/>
  <c r="AE8" i="7"/>
  <c r="AE9" i="7"/>
  <c r="AE6" i="7"/>
  <c r="AE4" i="7"/>
  <c r="AM8" i="7"/>
  <c r="AM10" i="7"/>
  <c r="AI3" i="7"/>
  <c r="AM19" i="7"/>
  <c r="AM12" i="7"/>
  <c r="AM5" i="7"/>
  <c r="AM9" i="7"/>
  <c r="AM18" i="7"/>
  <c r="AI5" i="7"/>
  <c r="AM11" i="7"/>
  <c r="AM4" i="7"/>
  <c r="S115" i="7"/>
  <c r="AI6" i="7"/>
  <c r="AI7" i="7"/>
  <c r="AM14" i="7"/>
  <c r="AM17" i="7"/>
  <c r="AM13" i="7"/>
  <c r="AI8" i="7"/>
  <c r="AM15" i="7"/>
  <c r="AI9" i="7"/>
  <c r="AE11" i="7"/>
  <c r="O8" i="7"/>
  <c r="O3" i="7"/>
  <c r="O6" i="7"/>
  <c r="AE7" i="7"/>
  <c r="O7" i="7"/>
  <c r="AE3" i="7"/>
  <c r="S112" i="7"/>
  <c r="S116" i="7"/>
  <c r="S114" i="7"/>
  <c r="S118" i="7"/>
  <c r="S123" i="7"/>
  <c r="S127" i="7"/>
  <c r="S120" i="7"/>
  <c r="S113" i="7"/>
  <c r="S125" i="7"/>
  <c r="S117" i="7"/>
  <c r="Z41" i="7" l="1"/>
  <c r="Z26" i="7"/>
  <c r="Z36" i="7"/>
  <c r="Z37" i="7"/>
  <c r="Z35" i="7"/>
  <c r="Z29" i="7"/>
  <c r="Z30" i="7"/>
  <c r="Z33" i="7"/>
  <c r="Z32" i="7"/>
  <c r="Z31" i="7"/>
  <c r="Z28" i="7"/>
  <c r="Z27" i="7"/>
  <c r="Z38" i="7"/>
  <c r="Z34" i="7"/>
  <c r="Z40" i="7"/>
  <c r="Z39" i="7"/>
  <c r="Z25" i="7"/>
  <c r="T44" i="7"/>
  <c r="W44" i="7"/>
  <c r="U44" i="7"/>
  <c r="V44" i="7"/>
  <c r="Y44" i="7"/>
  <c r="S44" i="7"/>
  <c r="X44" i="7"/>
  <c r="R44" i="7"/>
  <c r="S98" i="7"/>
  <c r="S102" i="7"/>
  <c r="S101" i="7"/>
  <c r="S90" i="7"/>
  <c r="S96" i="7"/>
  <c r="S91" i="7"/>
  <c r="S93" i="7"/>
  <c r="S88" i="7"/>
  <c r="S103" i="7"/>
  <c r="S97" i="7"/>
  <c r="S100" i="7"/>
  <c r="S94" i="7"/>
  <c r="S95" i="7"/>
  <c r="S92" i="7"/>
  <c r="S99" i="7" l="1"/>
  <c r="S104" i="7"/>
  <c r="S89" i="7"/>
</calcChain>
</file>

<file path=xl/sharedStrings.xml><?xml version="1.0" encoding="utf-8"?>
<sst xmlns="http://schemas.openxmlformats.org/spreadsheetml/2006/main" count="18240" uniqueCount="2672">
  <si>
    <t>Informações da Conta</t>
  </si>
  <si>
    <t>Nome da Empresa</t>
  </si>
  <si>
    <t>Setor de Atuação</t>
  </si>
  <si>
    <t>Tamanho da Empresa (funcionários)</t>
  </si>
  <si>
    <t>Tamanho da Empresa (Fat/anual)</t>
  </si>
  <si>
    <t>Localização (Cidade)</t>
  </si>
  <si>
    <t>Site</t>
  </si>
  <si>
    <t>Página Linkedin</t>
  </si>
  <si>
    <t>Temos Case?</t>
  </si>
  <si>
    <t>Case do Fabricante ou similar?</t>
  </si>
  <si>
    <t>Probabilidade de Budet alocado</t>
  </si>
  <si>
    <t>Se a opção acima for 'Sim' ou mais de uma, especifique abaixo:</t>
  </si>
  <si>
    <t>Mapeamento obrigatório</t>
  </si>
  <si>
    <t>Nome</t>
  </si>
  <si>
    <t>Departamento</t>
  </si>
  <si>
    <t>Cargo atual</t>
  </si>
  <si>
    <t>E-mail (Corporativo)</t>
  </si>
  <si>
    <t>Telefone - Celular (Corporativo/Pessoal)</t>
  </si>
  <si>
    <t>LinkedIn</t>
  </si>
  <si>
    <t>Receptividade (Rapport) 1 - 5</t>
  </si>
  <si>
    <t>Dificuldade/ Facilidade de contato (Acessibilidade) 1- 5</t>
  </si>
  <si>
    <t>Posicionamento (Característica do contato)</t>
  </si>
  <si>
    <t>Potencial de contato</t>
  </si>
  <si>
    <t>Possibilidade de Sucesso: Alta direção</t>
  </si>
  <si>
    <t>Qual Solução de RPA?</t>
  </si>
  <si>
    <t>Conta ferramenta específica de Integração de de Dados?</t>
  </si>
  <si>
    <t>Quais as principais fontes de dados? (CRM, ERP, etc)</t>
  </si>
  <si>
    <t>CEO</t>
  </si>
  <si>
    <t>Diretor Financeiro (CFO)</t>
  </si>
  <si>
    <t>Se a opção acima for 'Outro' ou mais de uma, especifique abaixo</t>
  </si>
  <si>
    <t>Se a opção acima for 'Sim' ou mais de uma, especifique abaixo</t>
  </si>
  <si>
    <t>Especifique de quais fabricantes abaixo (Campo aberto):</t>
  </si>
  <si>
    <t xml:space="preserve">Diretor de Vendas/Marketing </t>
  </si>
  <si>
    <t>Operações</t>
  </si>
  <si>
    <t>Líder TI</t>
  </si>
  <si>
    <t>Dados (CDO ou equivalente)</t>
  </si>
  <si>
    <t>Principais desafios estratégicos em dados (Campo aberto):</t>
  </si>
  <si>
    <t>Inovação (CIO, CTO)</t>
  </si>
  <si>
    <t>Líder RH</t>
  </si>
  <si>
    <t>Demais contatos estratégicos</t>
  </si>
  <si>
    <t>Telefone/WhatsApp - Celular (Corporativo/Pessoal)</t>
  </si>
  <si>
    <t>Possibilidade de Sucesso: Contatos estratégicos</t>
  </si>
  <si>
    <t>Peso funcionários</t>
  </si>
  <si>
    <t>Peso Fat</t>
  </si>
  <si>
    <t>Peso posicionamento</t>
  </si>
  <si>
    <t>Sim</t>
  </si>
  <si>
    <t>Qlik</t>
  </si>
  <si>
    <t>AWS</t>
  </si>
  <si>
    <t>Automation Anywhere</t>
  </si>
  <si>
    <t>Data Robot</t>
  </si>
  <si>
    <t>Stakeholder</t>
  </si>
  <si>
    <t>01 - 10</t>
  </si>
  <si>
    <t>100 M</t>
  </si>
  <si>
    <t>Não</t>
  </si>
  <si>
    <t>Tableau</t>
  </si>
  <si>
    <t>GCP</t>
  </si>
  <si>
    <t>UI Path</t>
  </si>
  <si>
    <t>Gatekeeper</t>
  </si>
  <si>
    <t>11 - 50</t>
  </si>
  <si>
    <t>200 M</t>
  </si>
  <si>
    <t>Power BI</t>
  </si>
  <si>
    <t>Azure</t>
  </si>
  <si>
    <t>BotCity</t>
  </si>
  <si>
    <t>Chat GPT</t>
  </si>
  <si>
    <t>Decisor</t>
  </si>
  <si>
    <t>51 - 200</t>
  </si>
  <si>
    <t>500 M</t>
  </si>
  <si>
    <t>Outro</t>
  </si>
  <si>
    <t>Snowflake</t>
  </si>
  <si>
    <t>Power Automate</t>
  </si>
  <si>
    <t>Bard</t>
  </si>
  <si>
    <t>Comprador</t>
  </si>
  <si>
    <t>201 - 500</t>
  </si>
  <si>
    <t>1 B</t>
  </si>
  <si>
    <t>Nenhum</t>
  </si>
  <si>
    <t>Data Bricks</t>
  </si>
  <si>
    <t>Gemini</t>
  </si>
  <si>
    <t>Influenciador</t>
  </si>
  <si>
    <t>500 - 1000</t>
  </si>
  <si>
    <t>2 B</t>
  </si>
  <si>
    <t>Detrator</t>
  </si>
  <si>
    <t>1001 - 5000</t>
  </si>
  <si>
    <t>5 B +</t>
  </si>
  <si>
    <t>Embaixador</t>
  </si>
  <si>
    <t>5001 - 10000</t>
  </si>
  <si>
    <t>10000 +</t>
  </si>
  <si>
    <t>Tabela oculta de valores e cálculos</t>
  </si>
  <si>
    <t>Peso Data Viz</t>
  </si>
  <si>
    <t>Peso Data Cloud</t>
  </si>
  <si>
    <t>Peso RPA</t>
  </si>
  <si>
    <t>Peso IA</t>
  </si>
  <si>
    <t>Peso Data Integration</t>
  </si>
  <si>
    <t>Peso fonte de Dados</t>
  </si>
  <si>
    <t>O serviço e/ou licença é Grupo IN?</t>
  </si>
  <si>
    <t>Faturamento</t>
  </si>
  <si>
    <t>Funcionários</t>
  </si>
  <si>
    <t>Posicionamento do Contato</t>
  </si>
  <si>
    <t>AI</t>
  </si>
  <si>
    <t>RPA</t>
  </si>
  <si>
    <t>Cloud</t>
  </si>
  <si>
    <t>DataViz</t>
  </si>
  <si>
    <t>Peso de posicionamento</t>
  </si>
  <si>
    <t>Serviço Grupo IN</t>
  </si>
  <si>
    <t>Licença Grupo IN</t>
  </si>
  <si>
    <t>Possibilidade de Oportunidade</t>
  </si>
  <si>
    <t>H2O</t>
  </si>
  <si>
    <t>Qual Solução em IA?</t>
  </si>
  <si>
    <t>Qual Solução em Cloud?</t>
  </si>
  <si>
    <t>Qual Solução de DataViz?</t>
  </si>
  <si>
    <t>Conhecimento da Conta</t>
  </si>
  <si>
    <t xml:space="preserve"> Owner</t>
  </si>
  <si>
    <t>Pontuação</t>
  </si>
  <si>
    <t>O gráfico de linhas que representa cada marco no período de tempo correspondente está nesta célula.</t>
  </si>
  <si>
    <t>Etapas do projeto</t>
  </si>
  <si>
    <t>Data</t>
  </si>
  <si>
    <t>Marco</t>
  </si>
  <si>
    <t>Atribuído a</t>
  </si>
  <si>
    <t>Posição</t>
  </si>
  <si>
    <t>Linha de base</t>
  </si>
  <si>
    <t>Dica da Linha do Tempo do Projeto</t>
  </si>
  <si>
    <t xml:space="preserve">Início do Projeto </t>
  </si>
  <si>
    <t>Fábio</t>
  </si>
  <si>
    <t>Use o campo Posição na tabela Marcos do Projeto para inserir as etiquetas de marcos onde desejar! Use números positivos para posicioná-las acima da linha do tempo e números negativos para posicioná-las abaixo.</t>
  </si>
  <si>
    <t>Ferramenta de Mapeamento</t>
  </si>
  <si>
    <t>Envio das Contas Target</t>
  </si>
  <si>
    <t>Érico</t>
  </si>
  <si>
    <t>Distribuição da ferramenta</t>
  </si>
  <si>
    <t>Recebimento e Compilação do Mapeamento</t>
  </si>
  <si>
    <t>Vendas/Fábio</t>
  </si>
  <si>
    <t>Análise / Levantamento de ações</t>
  </si>
  <si>
    <t>Fábio/Camila/Vendas</t>
  </si>
  <si>
    <t>Desenvolvimento das ações</t>
  </si>
  <si>
    <t>Aprovação/ Ajuste das Ações</t>
  </si>
  <si>
    <t>Kick off</t>
  </si>
  <si>
    <t>Marketing/Vendas</t>
  </si>
  <si>
    <t>Levantamento de Pautas (Inbound)</t>
  </si>
  <si>
    <t>Fechamento de Pautas</t>
  </si>
  <si>
    <t>Tradução</t>
  </si>
  <si>
    <t>Mapeamento de Fluxos</t>
  </si>
  <si>
    <t>Play nos Fluxos</t>
  </si>
  <si>
    <t>Otimização de Fluxos</t>
  </si>
  <si>
    <t>Análise dos fluxos</t>
  </si>
  <si>
    <t>Geraldo</t>
  </si>
  <si>
    <t>Eduardo Felipe Sá de Camargo</t>
  </si>
  <si>
    <t>Comercial/TI</t>
  </si>
  <si>
    <t xml:space="preserve"> eduardo@pabu.com.br</t>
  </si>
  <si>
    <t>Pacaembu Autopeças</t>
  </si>
  <si>
    <t>Industria/Automibilistica</t>
  </si>
  <si>
    <t>São Paulo</t>
  </si>
  <si>
    <t>https://pabu.com.br/</t>
  </si>
  <si>
    <t>https://www.linkedin.com/company/aquiepabu/</t>
  </si>
  <si>
    <t>Comolatti</t>
  </si>
  <si>
    <t>Sadig</t>
  </si>
  <si>
    <t>Board</t>
  </si>
  <si>
    <t>Sandra Cristine Cassorla de Camargo</t>
  </si>
  <si>
    <t>Administrativo</t>
  </si>
  <si>
    <t>Diretora</t>
  </si>
  <si>
    <t>sandra@pabu.com.br</t>
  </si>
  <si>
    <t xml:space="preserve">Ana Paula Cassorla </t>
  </si>
  <si>
    <t>Compras/MKT</t>
  </si>
  <si>
    <t xml:space="preserve"> anapaula@pabu.com.br</t>
  </si>
  <si>
    <t>Simone Sorares</t>
  </si>
  <si>
    <t>Gestão</t>
  </si>
  <si>
    <t>simone.soares@pabu.com.br</t>
  </si>
  <si>
    <t>Estratégico</t>
  </si>
  <si>
    <t>Rodrigo Morokuma</t>
  </si>
  <si>
    <t>rodrigo.morokuma@pabu.com.br</t>
  </si>
  <si>
    <t xml:space="preserve"> 11 98330-8283</t>
  </si>
  <si>
    <t>https://www.linkedin.com/in/rodrigo-garcia-morokuma-34a43637/</t>
  </si>
  <si>
    <t>Gerente</t>
  </si>
  <si>
    <t>Inteligência de Mercado</t>
  </si>
  <si>
    <t>Líder técnico*</t>
  </si>
  <si>
    <t>- Estruturação dos dados - Arquitetura de dados/ Data Lake/ BI -  | Poc Snowflake e Qlik  |'- PyPlan em avaliação</t>
  </si>
  <si>
    <t>Obs</t>
  </si>
  <si>
    <t>Predilecta Alimentos</t>
  </si>
  <si>
    <t>Industria</t>
  </si>
  <si>
    <t>Matão - SP</t>
  </si>
  <si>
    <t>https://www.predilecta.com.br/</t>
  </si>
  <si>
    <t>https://www.linkedin.com/company/predilecta-alimentos/</t>
  </si>
  <si>
    <t>Comercial</t>
  </si>
  <si>
    <t>Se a opção ao lado for 'Sim' ou mais de uma, especifique abaixo:</t>
  </si>
  <si>
    <t>SAP</t>
  </si>
  <si>
    <t>Zezé</t>
  </si>
  <si>
    <t>zeze@predilecta.com.br</t>
  </si>
  <si>
    <t>Lucas Trevizaneli</t>
  </si>
  <si>
    <t>Vendas</t>
  </si>
  <si>
    <t xml:space="preserve">lucastrevizaneli@predilecta.com.br </t>
  </si>
  <si>
    <t>Diretor de Vendas</t>
  </si>
  <si>
    <t>Kleber</t>
  </si>
  <si>
    <t>Marketing</t>
  </si>
  <si>
    <t>kleber@predilecta.com.br</t>
  </si>
  <si>
    <t>Diretor de Marketing</t>
  </si>
  <si>
    <t>André Magro</t>
  </si>
  <si>
    <t>TI</t>
  </si>
  <si>
    <t>andre.magro@predilecta.com.br</t>
  </si>
  <si>
    <t>Diretor de TI</t>
  </si>
  <si>
    <t>Wittel Comunicações</t>
  </si>
  <si>
    <t>Tecnologia em comunicação</t>
  </si>
  <si>
    <t>http://www.wittel.com</t>
  </si>
  <si>
    <t>https://www.linkedin.com/company/wittel-comunicacoes/</t>
  </si>
  <si>
    <t>Carolline</t>
  </si>
  <si>
    <t>Rafael Lazaro</t>
  </si>
  <si>
    <t>Supply Chain</t>
  </si>
  <si>
    <t xml:space="preserve">Gerente </t>
  </si>
  <si>
    <t>rafael.lazaro@wittel.com</t>
  </si>
  <si>
    <t>2103-1826</t>
  </si>
  <si>
    <t>https://www.linkedin.com/in/rafael-lazaro-1302123/</t>
  </si>
  <si>
    <t>Giovana Suniga</t>
  </si>
  <si>
    <t>Contratos</t>
  </si>
  <si>
    <t>Coordenadora</t>
  </si>
  <si>
    <t>Giovana.Suniga@wittel.com</t>
  </si>
  <si>
    <t>https://www.linkedin.com/in/giovanasuniga/</t>
  </si>
  <si>
    <t>Robson Araujo</t>
  </si>
  <si>
    <t>Consultor de BI</t>
  </si>
  <si>
    <t>robson.araujo@wittel.com</t>
  </si>
  <si>
    <t xml:space="preserve"> 11 97748-9908</t>
  </si>
  <si>
    <t>https://www.linkedin.com/in/robson-silva-araujo/</t>
  </si>
  <si>
    <t>Igor Mendes</t>
  </si>
  <si>
    <t>Consultor de BI (terceiro)</t>
  </si>
  <si>
    <t>igor.mendes@wittel.com</t>
  </si>
  <si>
    <t xml:space="preserve"> 11 98333-1407</t>
  </si>
  <si>
    <t>https://www.linkedin.com/in/igor-mendes-83517a177/</t>
  </si>
  <si>
    <t>Não identificado</t>
  </si>
  <si>
    <t xml:space="preserve"> - Automatizar processos Power Automate
- Consultoria em Qlik</t>
  </si>
  <si>
    <t>http://www.fitinsur.com</t>
  </si>
  <si>
    <t>https://www.linkedin.com/company/fitinsurbrazil/</t>
  </si>
  <si>
    <t>Insurtech as a Service</t>
  </si>
  <si>
    <t>Ainda não estão muito claros, pois o responsável no assunto precisou colocar a casa em ordem durante esses 18 meses que está na empresa. Estamos marcando uma visita para tratarmos melhor do assunto.</t>
  </si>
  <si>
    <t>Denise Oliveira</t>
  </si>
  <si>
    <t>Geral</t>
  </si>
  <si>
    <t>denise.oliveira@fitinsur.com.br</t>
  </si>
  <si>
    <t>https://www.linkedin.com/in/denise-lima-de-oliveira-98992614/</t>
  </si>
  <si>
    <t>Bruno Rodrigues</t>
  </si>
  <si>
    <t>Head Data Science</t>
  </si>
  <si>
    <t>bruno.rodrigues@fitinsur.com.br</t>
  </si>
  <si>
    <t>https://www.linkedin.com/in/bbrodrigues/</t>
  </si>
  <si>
    <t>Carlos Oliveira</t>
  </si>
  <si>
    <t>CIO Owner</t>
  </si>
  <si>
    <t>carlos.oliveira@fitinsur.com.br</t>
  </si>
  <si>
    <t>https://www.linkedin.com/in/cwoliveira/</t>
  </si>
  <si>
    <t>Prysmian</t>
  </si>
  <si>
    <t>Cabeamento</t>
  </si>
  <si>
    <t>Sorocaba</t>
  </si>
  <si>
    <t>www.prysmian.com</t>
  </si>
  <si>
    <t>https://www.linkedin.com/company/prysmian/</t>
  </si>
  <si>
    <t>Qlik e PBI</t>
  </si>
  <si>
    <t>SalesFOrce, Excel, SAP BW, ECC e 4HANA</t>
  </si>
  <si>
    <t>Alejandro Quiroz</t>
  </si>
  <si>
    <t>CEO LATAM</t>
  </si>
  <si>
    <t>alejandro.centeno@prysmiangroup.com</t>
  </si>
  <si>
    <t>https://www.linkedin.com/in/alejandro-quiroz-centeno-964279a2/</t>
  </si>
  <si>
    <t>Alexandre Miranda</t>
  </si>
  <si>
    <t>Financeiro</t>
  </si>
  <si>
    <t>CFO LATAM</t>
  </si>
  <si>
    <t>alexandre.miranda@prysmiangroup.com</t>
  </si>
  <si>
    <t>11 99314-9633</t>
  </si>
  <si>
    <t>https://www.linkedin.com/in/alexandre-miranda-b299663/</t>
  </si>
  <si>
    <t>Felipe Mottn</t>
  </si>
  <si>
    <t>felipe.mottin@prysmiangroup.com</t>
  </si>
  <si>
    <t>https://www.linkedin.com/in/felipe-mottin-b876b420/</t>
  </si>
  <si>
    <t>Marcelo Denadai</t>
  </si>
  <si>
    <t>Gerente de Projetos e Processos</t>
  </si>
  <si>
    <t>marcelo.denadai@prysmiangroup.com</t>
  </si>
  <si>
    <t>https://www.linkedin.com/in/marcelo-denadai-24449021a/</t>
  </si>
  <si>
    <t>Diego Santos</t>
  </si>
  <si>
    <t>Gerente de BI e Analytics</t>
  </si>
  <si>
    <t>diego.santos@prysmiangroup.com</t>
  </si>
  <si>
    <t>15 98145-4838</t>
  </si>
  <si>
    <t>https://www.linkedin.com/in/diegopmp/</t>
  </si>
  <si>
    <t>Paulo Morais</t>
  </si>
  <si>
    <t>CIO LATAM</t>
  </si>
  <si>
    <t>paulo.morais@prysmiangroup.com</t>
  </si>
  <si>
    <t>https://www.linkedin.com/in/paulo-morais-88811111/</t>
  </si>
  <si>
    <t>Kauany Nunes</t>
  </si>
  <si>
    <t>Compras</t>
  </si>
  <si>
    <t>Compradora</t>
  </si>
  <si>
    <t>kauany.nunes.ex@prysmiangroup.com</t>
  </si>
  <si>
    <t>15 99856-8389</t>
  </si>
  <si>
    <t>https://www.linkedin.com/in/kauany-n-a45776123/</t>
  </si>
  <si>
    <t>Juliana Morgado</t>
  </si>
  <si>
    <t>Jurídico</t>
  </si>
  <si>
    <t>Advogada</t>
  </si>
  <si>
    <t>juliana.morgado.ex@prysmiangroup.com</t>
  </si>
  <si>
    <t>https://www.linkedin.com/in/juliana-morgado-205a26178/</t>
  </si>
  <si>
    <t>Lucas Alves da Mota</t>
  </si>
  <si>
    <t>Coordenador de BI LATAM</t>
  </si>
  <si>
    <t>lucas.mota@prysmiangroup.com</t>
  </si>
  <si>
    <t>https://www.linkedin.com/in/lucasmota27/</t>
  </si>
  <si>
    <t>Air Products</t>
  </si>
  <si>
    <t>Gases Industriais</t>
  </si>
  <si>
    <t>http://www.airproducts.com</t>
  </si>
  <si>
    <t>https://www.linkedin.com/company/air-products/</t>
  </si>
  <si>
    <t xml:space="preserve"> https://drive.google.com/drive/search?q=next%20steps</t>
  </si>
  <si>
    <t>É uma empresa muito criteriosa para contratar terceiros, por isso preferem capacitar os colaboradores e desenvolver tudo em casa, o que na maioria das vezes, leva mais tempo do que gostariam para trazer resultados. Data estimada para março sobre o assunto IA Generativa e apresentação do gerente de TI</t>
  </si>
  <si>
    <t>Diego Leal</t>
  </si>
  <si>
    <t>Melhoria contínua e Transf. Digital</t>
  </si>
  <si>
    <t>Gerente de Transformação Digital LATAM</t>
  </si>
  <si>
    <t>lealdm@airproducts.com</t>
  </si>
  <si>
    <t>11 99871-2962</t>
  </si>
  <si>
    <t>https://www.linkedin.com/in/diego-leal-483a1223/</t>
  </si>
  <si>
    <t>Maria Denise</t>
  </si>
  <si>
    <t>Gerente de Marketing America do Sul</t>
  </si>
  <si>
    <t>ARENALMD@airproducts.com</t>
  </si>
  <si>
    <t>https://www.linkedin.com/in/denisearenales/</t>
  </si>
  <si>
    <t>Raiane Casusa</t>
  </si>
  <si>
    <t>Procurement</t>
  </si>
  <si>
    <t>caldeirc@airproducts.com</t>
  </si>
  <si>
    <t>11 9.4392-1800</t>
  </si>
  <si>
    <t>https://www.linkedin.com/in/raiane-casusa-caldeira-09454517a/</t>
  </si>
  <si>
    <t>Guarany</t>
  </si>
  <si>
    <t>Fabricação de Máquinas e Equipamentos para agricultura em geral</t>
  </si>
  <si>
    <t xml:space="preserve">ITU </t>
  </si>
  <si>
    <t>http://www.guaranyind.com.br</t>
  </si>
  <si>
    <t>https://www.linkedin.com/company/guarany-ind-stria-&amp;-com-rcio-ltda/</t>
  </si>
  <si>
    <t>AWS e Azure</t>
  </si>
  <si>
    <t>CRM, ERP e Planilhas</t>
  </si>
  <si>
    <t>Realizaram o ROADMAP no final de 2023, quando atualizaram o ERP, migrando para uma versão mais atual e aderiram ao AMP da Qlik. Estou com previsão para falar sobre as iniciativas  na próxima semana, onde discutiremos também sobre RPA</t>
  </si>
  <si>
    <t>Alida Bellandi</t>
  </si>
  <si>
    <t>Presidente</t>
  </si>
  <si>
    <t>https://www.linkedin.com/in/alida-bellandi-21970856/</t>
  </si>
  <si>
    <t>Iran de Alencar</t>
  </si>
  <si>
    <t>CFO</t>
  </si>
  <si>
    <t>iran.machado@guaranyind.com.br</t>
  </si>
  <si>
    <t>https://www.linkedin.com/in/iran-alencar-machado/</t>
  </si>
  <si>
    <t>Francisco Sampaio</t>
  </si>
  <si>
    <t>Vendas e MKT</t>
  </si>
  <si>
    <t>Diretor Comercial</t>
  </si>
  <si>
    <t>Carlos Perim</t>
  </si>
  <si>
    <t>Industrial</t>
  </si>
  <si>
    <t>Diretor Industrial</t>
  </si>
  <si>
    <t>carlos.perim@guaranyind.com.br</t>
  </si>
  <si>
    <t>Roberto Alcântara</t>
  </si>
  <si>
    <t>RH</t>
  </si>
  <si>
    <t>Gerente de RH</t>
  </si>
  <si>
    <t>roberto.alcantara@guaranyind.com.br</t>
  </si>
  <si>
    <t>https://www.linkedin.com/in/roberto-alc%C3%A2ntara-50b71053/</t>
  </si>
  <si>
    <t>Elaine Araujo</t>
  </si>
  <si>
    <t>Analista Senior</t>
  </si>
  <si>
    <t>elaine.araujo@guaranyind.com.br</t>
  </si>
  <si>
    <t>Julio Reis</t>
  </si>
  <si>
    <t>Coordenador de TI</t>
  </si>
  <si>
    <t>julio.reis@guaranyind.com.br</t>
  </si>
  <si>
    <t>11 97592-5128</t>
  </si>
  <si>
    <t>https://www.linkedin.com/in/julio-reis/</t>
  </si>
  <si>
    <t>Claudia Regina</t>
  </si>
  <si>
    <t>Suply Chain</t>
  </si>
  <si>
    <t>Analista de compras</t>
  </si>
  <si>
    <t>claudia.carlota@guaranyind.com.br</t>
  </si>
  <si>
    <t>11 99636-7999</t>
  </si>
  <si>
    <t xml:space="preserve">TIM </t>
  </si>
  <si>
    <t>Telecomunicações</t>
  </si>
  <si>
    <t>Rio de Janeiro</t>
  </si>
  <si>
    <t>http://www.tim.com.br</t>
  </si>
  <si>
    <t>https://www.linkedin.com/company/timbrasil/life/3ed00235-e14c-4034-ba06-9ba6e0b56e6e/</t>
  </si>
  <si>
    <t>Case gerado com a Camila na area de PMO CORPORATIVO com Qlik e case sendp gerado na area de MKT com DataRobot</t>
  </si>
  <si>
    <t>Vide Portal</t>
  </si>
  <si>
    <t>Qlik e Power BI</t>
  </si>
  <si>
    <t>SAP, Salesforce</t>
  </si>
  <si>
    <t>Alberto Griselli</t>
  </si>
  <si>
    <t>agriselli@timbrasil.com.br</t>
  </si>
  <si>
    <t>Leonardo Siqueira</t>
  </si>
  <si>
    <t>CDO</t>
  </si>
  <si>
    <t>lsiqueira@timbrasil.com.br</t>
  </si>
  <si>
    <t>linkedin.com/in/leonardo-siqueira-a163922</t>
  </si>
  <si>
    <t>Auana Mattar Lima</t>
  </si>
  <si>
    <t>CIO</t>
  </si>
  <si>
    <t>amattar@timbrasil.com.br</t>
  </si>
  <si>
    <t>Salomão</t>
  </si>
  <si>
    <t>Rodrigo Almeida</t>
  </si>
  <si>
    <t>CPO TI</t>
  </si>
  <si>
    <t>rocdalmeida@timbrasil.com.br</t>
  </si>
  <si>
    <t>021 98113-1509</t>
  </si>
  <si>
    <t>Alexandre Friedler</t>
  </si>
  <si>
    <t>CPO</t>
  </si>
  <si>
    <t>afriedler@timbrasil.com.br</t>
  </si>
  <si>
    <t>Carlos Pamplona</t>
  </si>
  <si>
    <t xml:space="preserve">Marketing </t>
  </si>
  <si>
    <t>Leader de Martech e Analytics</t>
  </si>
  <si>
    <t>cpdsouza@timbrasil.com.br</t>
  </si>
  <si>
    <t>Macio Webber</t>
  </si>
  <si>
    <t>Doretor</t>
  </si>
  <si>
    <t>mwebber@timbrasil.com.br</t>
  </si>
  <si>
    <t>Alessandra Suguiuti</t>
  </si>
  <si>
    <t>AI Competence Center</t>
  </si>
  <si>
    <t>asuguiuti@timbrasil.com.br</t>
  </si>
  <si>
    <t>Eliton Matos de Oliveira</t>
  </si>
  <si>
    <t>Big data, IA e ML</t>
  </si>
  <si>
    <t>elmdoliveira@timbrasil.com.br</t>
  </si>
  <si>
    <t>021 981131844</t>
  </si>
  <si>
    <t>Paulo Robeto Band</t>
  </si>
  <si>
    <t>Bid Data</t>
  </si>
  <si>
    <t>Gerente Geral</t>
  </si>
  <si>
    <t>pband@timbrasil.com.br</t>
  </si>
  <si>
    <t>Marco Di Constanza</t>
  </si>
  <si>
    <t>CTO</t>
  </si>
  <si>
    <t>mconstanza@timbrasil.com.br</t>
  </si>
  <si>
    <t>Sem parâmetro</t>
  </si>
  <si>
    <t>Closed Lost</t>
  </si>
  <si>
    <t>Goal Confirmed</t>
  </si>
  <si>
    <t>Talend</t>
  </si>
  <si>
    <t>Goal Identified</t>
  </si>
  <si>
    <t>Negotiating</t>
  </si>
  <si>
    <t>Código da Oportunidade</t>
  </si>
  <si>
    <t>Oportunidade</t>
  </si>
  <si>
    <t>Tecnologia</t>
  </si>
  <si>
    <t>Estágio</t>
  </si>
  <si>
    <t>Tipo de Oportunidade</t>
  </si>
  <si>
    <t>Grupo IN</t>
  </si>
  <si>
    <t>Data de Previsão de Fechamento</t>
  </si>
  <si>
    <t>Data do Closed Won</t>
  </si>
  <si>
    <t>Valor Total da Venda</t>
  </si>
  <si>
    <t>RENOVAÇÃO 2018 - Predilecta</t>
  </si>
  <si>
    <t>Closed Won</t>
  </si>
  <si>
    <t>Renovação - Perpétua</t>
  </si>
  <si>
    <t>Renovação</t>
  </si>
  <si>
    <t>RENOVAÇÃO 2016 - 2017 - Predilecta</t>
  </si>
  <si>
    <t>Predilecta - Reativação Suporte + Conversão pra SaaS + Whistler 3Y (62.740)</t>
  </si>
  <si>
    <t>Renovação - Subscrição</t>
  </si>
  <si>
    <t>RENOVAÇÃO SUBSCRIÇÃO 2025 - PREDILECTA ALIMENTOS LTDA</t>
  </si>
  <si>
    <t>RENOVAÇÃO 2020-2021 - Predilecta</t>
  </si>
  <si>
    <t>RENOVAÇÃO 2019 - Predilecta - com Uplift Dual User</t>
  </si>
  <si>
    <t>IN - PREDILECTA - WHISTLER</t>
  </si>
  <si>
    <t>Expand - Subscrição</t>
  </si>
  <si>
    <t>IN Master</t>
  </si>
  <si>
    <t>Predilecta - Expand (09N + 01N)</t>
  </si>
  <si>
    <t>Expand - Perpétua</t>
  </si>
  <si>
    <t>Industria e Comercio de Conservas Alimentici - Land</t>
  </si>
  <si>
    <t>Land - Perpétua</t>
  </si>
  <si>
    <t>A10 - Predilecta - Consultoria Qlik</t>
  </si>
  <si>
    <t>Predilecta - Land</t>
  </si>
  <si>
    <t>Predilecta - Expand Licenças</t>
  </si>
  <si>
    <t>PREDILECTA ALIMENTOS - Qlik Alerting</t>
  </si>
  <si>
    <t>Treinamento Qlik Master Class - Predilecta</t>
  </si>
  <si>
    <t>Academia</t>
  </si>
  <si>
    <t>Academia IN - Modelagem de dados - Predilecta</t>
  </si>
  <si>
    <t>Treinamento QlikView Developer - Predilecta</t>
  </si>
  <si>
    <t>Academia IN - 1 aluno - Modelagem de dados - Predilecta</t>
  </si>
  <si>
    <t>A10 Novas Tecnologias</t>
  </si>
  <si>
    <t>A10 - Predilecta - Consultoria Qlik (200 horas)</t>
  </si>
  <si>
    <t>A10 - PREDILECTA - APLICAÇÃO DE ESTOQUES</t>
  </si>
  <si>
    <t>Prove Value</t>
  </si>
  <si>
    <t>A10 - PREDILECTA - BANCO DE HORAS</t>
  </si>
  <si>
    <t>A10 - Pacaembu Autopeças - LGPD</t>
  </si>
  <si>
    <t>A10 - PACAEMBU - SNOWFLAKE - SERVIÇOS</t>
  </si>
  <si>
    <t>A10 - PACAEMBU - TALEND</t>
  </si>
  <si>
    <t>A10 - Pacaembu - RPA</t>
  </si>
  <si>
    <t>Goal Rejected</t>
  </si>
  <si>
    <t>Land - Subscrição</t>
  </si>
  <si>
    <t>A10 - PACAEMBU - QLIK</t>
  </si>
  <si>
    <t>A10 - PACAEMBU - SNOWFLAKE - LICENCIAMENTO</t>
  </si>
  <si>
    <t>A10 - PACAEMBU AUTOPECAS LTDA / Snowflake</t>
  </si>
  <si>
    <t>Arquitetura de Dados</t>
  </si>
  <si>
    <t>RENOVAÇÃO SUBSCRIÇÃO 2024 - WITTEL COMUNICACOES LTDA</t>
  </si>
  <si>
    <t>Wittel - Expand - QSA SaaS - Pro-rata 11 meses</t>
  </si>
  <si>
    <t>WITTEL COMUNICACOES LTDA - Licenças QLIK - Transferência de Master Reseller</t>
  </si>
  <si>
    <t>Wittel - Qlik_Analyzer Capacity_Pro rata</t>
  </si>
  <si>
    <t>RENOVAÇÃO SUBSCRIÇÃO 2024 - FITINSUR DESENVOLVIMENTO E LICENCIAMENTO DE SISTEMAS LTDA</t>
  </si>
  <si>
    <t>RENOVAÇÃO SUBSCRIÇÃO 2027 - FITINSUR DESENVOLVIMENTO E LICENCIAMENTO DE SISTEMAS LTDA</t>
  </si>
  <si>
    <t>Fitinsur Desenvolvimento e Licenciamento de - Land</t>
  </si>
  <si>
    <t>A10 Solution Provider</t>
  </si>
  <si>
    <t>Fitinsur Desenvolvimento e Licenciamento de - Expand</t>
  </si>
  <si>
    <t>Serviços Gerenciados - Fitinsur - Customização</t>
  </si>
  <si>
    <t>FitInsur - Alocação de consultor - Extensão do contrato</t>
  </si>
  <si>
    <t>A10 - FitInsur - 40 horas</t>
  </si>
  <si>
    <t>Alocação de Consultor Qlik Mashup</t>
  </si>
  <si>
    <t>A10 - Fitinsur - Habitat</t>
  </si>
  <si>
    <t>A10 - FitInsur - Suporte</t>
  </si>
  <si>
    <t>FitInsur - Alocação de consultor</t>
  </si>
  <si>
    <t>FITINSUR</t>
  </si>
  <si>
    <t>RENOVAÇÃO SUBSCRIÇÃO 2027 - PRYSMIAN CABOS E SISTEMAS DO BRASIL S/A</t>
  </si>
  <si>
    <t>Prysmian Cabos e Sistemas do Brasil - Troca de Master Reseller QLIK</t>
  </si>
  <si>
    <t>Prysmian - Troca de Master Reseller QLIK</t>
  </si>
  <si>
    <t>A10 - Prysmian - Talend</t>
  </si>
  <si>
    <t>A10 - Prysmian - Serviços_Insight Advisor</t>
  </si>
  <si>
    <t>A10 - Prysmian - Configuração ambiente Snowflake</t>
  </si>
  <si>
    <t>A10 - Prysmian Group - RPA</t>
  </si>
  <si>
    <t>A10 - Prysmian - Expand 7 Capacitys</t>
  </si>
  <si>
    <t>A10 - Prysmian - QDI</t>
  </si>
  <si>
    <t>Prysmian - Banco de Horas</t>
  </si>
  <si>
    <t>A10 - Prysmian - Snowflake</t>
  </si>
  <si>
    <t>A10 School - Treinamento QS Fundamental - Air Products</t>
  </si>
  <si>
    <t>A10 School</t>
  </si>
  <si>
    <t>AirProducts - Treinamento Qlik Sense Fundamentals</t>
  </si>
  <si>
    <t>Air Products - 120 Horas Mentoria</t>
  </si>
  <si>
    <t>Serviços Gerenciados</t>
  </si>
  <si>
    <t>Champion</t>
  </si>
  <si>
    <t>AirProducts - H2O.ai</t>
  </si>
  <si>
    <t>H2O.ai</t>
  </si>
  <si>
    <t>Cliente</t>
  </si>
  <si>
    <t>RENOVAÇÃO 2021 - GUARANY</t>
  </si>
  <si>
    <t>RENOVAÇÃO 2022 - GUARANY</t>
  </si>
  <si>
    <t>RENOVAÇÃO 2019 - Guarany</t>
  </si>
  <si>
    <t>RENOVAÇÃO 2023 - GUARANY</t>
  </si>
  <si>
    <t>Conversão para Subscrição SaaS - Guarany - 3Y</t>
  </si>
  <si>
    <t>RENOVAÇÃO SUBSCRIÇÃO 2026 - GUARANY INDUSTRIA E COMERCIO LTDA</t>
  </si>
  <si>
    <t>RENOVAÇÃO 2017 - Guarany</t>
  </si>
  <si>
    <t>RENOVAÇÃO 2014 - Guarany</t>
  </si>
  <si>
    <t>RENOVAÇÃO 2016 - Guarany</t>
  </si>
  <si>
    <t>RENOVAÇÃO 2015 - Guarany</t>
  </si>
  <si>
    <t>RENOVAÇÃO 2013 - Guarany</t>
  </si>
  <si>
    <t>RENOVAÇÃO 2018 - Guarany</t>
  </si>
  <si>
    <t>Renovação 2020 - Guarany</t>
  </si>
  <si>
    <t>RENOVAÇÃO 2024 - GUARANY</t>
  </si>
  <si>
    <t>Academia IN - Deploy &amp; Administração do Ambiente QS - Guarany</t>
  </si>
  <si>
    <t>Academia IN - Criando uma organização Alfabetizada em Dados - Guarany</t>
  </si>
  <si>
    <t>A10 School - Qlik Sense Developer I_Online - Guarany</t>
  </si>
  <si>
    <t>A10 School - Treinamento Qlik Sense Fundamental - Guarany</t>
  </si>
  <si>
    <t>Guarany - Suporte para migração SaaS - Qlik</t>
  </si>
  <si>
    <t>Guarany - Migração de dados para Sense SaaS</t>
  </si>
  <si>
    <t>RENOVAÇÃO DATAROBOT 2024 - TIM S/A</t>
  </si>
  <si>
    <t>DataRobot</t>
  </si>
  <si>
    <t>RENOVAÇÃO SUBSCRIÇÃO 2024 - TIM S/A - [NPrinting]</t>
  </si>
  <si>
    <t>Renovação Perpétua 2022 - TIM Celular (61.528)</t>
  </si>
  <si>
    <t>Renovação QLIK Perpétua 2023 - TIM S/A</t>
  </si>
  <si>
    <t>TIM - Renovação DataRobot</t>
  </si>
  <si>
    <t>RENOVAÇÃO SUBSCRIÇÃO 2023 - TIM S/A - [NPrinting]</t>
  </si>
  <si>
    <t>RENOVAÇÃO 2018 - TIM Celular</t>
  </si>
  <si>
    <t>RENOVAÇÃO 2016 - 2018 - TIM Celular</t>
  </si>
  <si>
    <t>Renovação QLIK Subscrição 2023 - TIM S/A</t>
  </si>
  <si>
    <t>TIM - Expand</t>
  </si>
  <si>
    <t>TIM Celular S.A. - Land</t>
  </si>
  <si>
    <t>TIM Celular S.A. Expand 300 QSA + QS Test Prd Cpcty</t>
  </si>
  <si>
    <t>TIM Celular S.A. Depto. Receitas</t>
  </si>
  <si>
    <t>TIM Celular S.A. Vizlib</t>
  </si>
  <si>
    <t>TIM Celular Expand 10N60D</t>
  </si>
  <si>
    <t>TIM CELULAR S.A.</t>
  </si>
  <si>
    <t>TIM - NPrinting - Subscrição</t>
  </si>
  <si>
    <t>TIM Celular S.A. 05N 20D</t>
  </si>
  <si>
    <t>IN GOV</t>
  </si>
  <si>
    <t>A10 - Tim - Data Robot</t>
  </si>
  <si>
    <t>TIM Celular - Renovação e Ampliação VizLib e AnyChart</t>
  </si>
  <si>
    <t>TIM</t>
  </si>
  <si>
    <t>A10 - TIM Celular - Consultoria Accenture</t>
  </si>
  <si>
    <t>TIM Celular - VizLib</t>
  </si>
  <si>
    <t>A10 - TIM Ambiente de Teste e Homologação</t>
  </si>
  <si>
    <t>TIM Celular - xViz</t>
  </si>
  <si>
    <t>TIM Celular - Renovação e Ampliação VizLib</t>
  </si>
  <si>
    <t>TIM Celular - DataRobot</t>
  </si>
  <si>
    <t>TIM Celular - Data Robot - Commercial area.</t>
  </si>
  <si>
    <t>TIM Celular - Renovação e Ampliação AnyChart</t>
  </si>
  <si>
    <t>TIM - AnyChart</t>
  </si>
  <si>
    <t>TIM Celular - Gestão de Capex</t>
  </si>
  <si>
    <t>TIM - Expand Nprinting - SMB to Server</t>
  </si>
  <si>
    <t>TIM Celular - Sistemas Gestão de Capex - WS2432847858</t>
  </si>
  <si>
    <t>TIM Celular - AnyChart</t>
  </si>
  <si>
    <t>TIM Celular - Renovação Xviz</t>
  </si>
  <si>
    <t>TIM -RFP DesEnvolvimento e Operação Portais Governança 2021</t>
  </si>
  <si>
    <t>A10 - PREDILECTA - RPA</t>
  </si>
  <si>
    <t>Tokio Marine</t>
  </si>
  <si>
    <t>Seguros</t>
  </si>
  <si>
    <t>https://www.tokiomarine.com.br/</t>
  </si>
  <si>
    <t>https://www.linkedin.com/company/tokio-marine-seguradora-s-a/</t>
  </si>
  <si>
    <t>Não Mapeado</t>
  </si>
  <si>
    <t>Jose Adalberto Ferrara</t>
  </si>
  <si>
    <t>Diretor Presidente</t>
  </si>
  <si>
    <t>https://www.linkedin.com/in/jose-adalberto-ferrara-56331046/</t>
  </si>
  <si>
    <t>Adilson Lavrador</t>
  </si>
  <si>
    <t>Director of Operations, IT and Claims</t>
  </si>
  <si>
    <t>https://www.linkedin.com/in/adilson-lavrador-610573255/</t>
  </si>
  <si>
    <t>Sergio Miotto</t>
  </si>
  <si>
    <t>Diretor de Tecnologia</t>
  </si>
  <si>
    <t>https://www.linkedin.com/in/sergio-miotto-8157a81a/</t>
  </si>
  <si>
    <t>Miguel Brito</t>
  </si>
  <si>
    <t>Dados</t>
  </si>
  <si>
    <t>Gerente Data Analytics, BI, Web Analytics e CRM</t>
  </si>
  <si>
    <t>https://www.linkedin.com/in/miguel-joao-brito/</t>
  </si>
  <si>
    <t>Jéssica Calixto</t>
  </si>
  <si>
    <t>Inovação</t>
  </si>
  <si>
    <t>Coordenadora de Inovação e Inteligência Artificial</t>
  </si>
  <si>
    <t>https://www.linkedin.com/in/j%C3%A9ssica-calixto-62806954/</t>
  </si>
  <si>
    <t>Ricardo</t>
  </si>
  <si>
    <t>Andrea Ribeiro</t>
  </si>
  <si>
    <t>https://www.linkedin.com/in/andrea-ribeiro-79907222/</t>
  </si>
  <si>
    <t>Gabriel Marchini Nery Colombi</t>
  </si>
  <si>
    <t>Gerente de Tecnologia, Inovação e Canais Digitais</t>
  </si>
  <si>
    <t>https://www.linkedin.com/in/gabriel-marchini-nery-colombi-20a52750/</t>
  </si>
  <si>
    <t>Qualicorp</t>
  </si>
  <si>
    <t>https://linktr.ee/Qualicorp</t>
  </si>
  <si>
    <t>https://www.linkedin.com/company/qualicorp</t>
  </si>
  <si>
    <t>Alteryx</t>
  </si>
  <si>
    <t xml:space="preserve">Mauricio Lopes </t>
  </si>
  <si>
    <t>https://www.linkedin.com/in/mauricioslopes/</t>
  </si>
  <si>
    <t>Carlos Vasques</t>
  </si>
  <si>
    <t>Financial Management &amp; Investments</t>
  </si>
  <si>
    <t>https://www.linkedin.com/in/carlos-vasques-3001a3120/</t>
  </si>
  <si>
    <t>Marco Afonso</t>
  </si>
  <si>
    <t>CMO e CPO - Diretor de Marketing e Produtos</t>
  </si>
  <si>
    <t>https://www.linkedin.com/in/marco-afonso-7214ba/</t>
  </si>
  <si>
    <t xml:space="preserve">Marcia Wolff
 </t>
  </si>
  <si>
    <t>https://www.linkedin.com/in/wolffmarcia/</t>
  </si>
  <si>
    <t>José Luiz Brugnara Junior</t>
  </si>
  <si>
    <t>Data &amp; Analytics / Market Intelligence</t>
  </si>
  <si>
    <t>https://www.linkedin.com/in/jos%C3%A9-luiz-brugnara-junior-10b30715/</t>
  </si>
  <si>
    <t>Luciano Lima</t>
  </si>
  <si>
    <t xml:space="preserve">Diretor </t>
  </si>
  <si>
    <t>https://www.linkedin.com/in/luciano-lima-2b767842/</t>
  </si>
  <si>
    <t>Urbano</t>
  </si>
  <si>
    <t>Agro</t>
  </si>
  <si>
    <t>Jaraguá do Sul</t>
  </si>
  <si>
    <t>https://www.urbano.com.br/</t>
  </si>
  <si>
    <t>https://www.linkedin.com/company/urbanoalimentos</t>
  </si>
  <si>
    <t>Jaime Franzner Junior</t>
  </si>
  <si>
    <t>https://www.linkedin.com/in/jaime-franzner-junior-838178138/</t>
  </si>
  <si>
    <t>Anderson Wagenknecht</t>
  </si>
  <si>
    <t>https://www.linkedin.com/in/anderson-wagenknecht/</t>
  </si>
  <si>
    <t>Cristiano Zilz</t>
  </si>
  <si>
    <t>https://www.linkedin.com/in/cristiano-zilz-ab853115/</t>
  </si>
  <si>
    <t xml:space="preserve">Paulo Lima
  </t>
  </si>
  <si>
    <t>https://www.linkedin.com/in/paulorglima/</t>
  </si>
  <si>
    <t>Coordenador de Sistemas</t>
  </si>
  <si>
    <t>Unimed Campinas</t>
  </si>
  <si>
    <t>Saúde</t>
  </si>
  <si>
    <t>Campinas</t>
  </si>
  <si>
    <t>https://www.unimedcampinas.com.br/</t>
  </si>
  <si>
    <t>https://www.linkedin.com/company/unimed-campinas/</t>
  </si>
  <si>
    <t xml:space="preserve">RPA </t>
  </si>
  <si>
    <t>ERP</t>
  </si>
  <si>
    <t xml:space="preserve"> Dr. Gerson Muraro Laurito</t>
  </si>
  <si>
    <t>Elem Regina Serafim</t>
  </si>
  <si>
    <t>Superintende Geral</t>
  </si>
  <si>
    <t>https://www.linkedin.com/in/elem-regina-serafim-martins-5082a515/</t>
  </si>
  <si>
    <t>Miguel Carlos Hyssa Brondi</t>
  </si>
  <si>
    <t xml:space="preserve">Diretor Comercial </t>
  </si>
  <si>
    <t>https://www.linkedin.com/in/miguel-brondi/</t>
  </si>
  <si>
    <t xml:space="preserve">William Camassari Itabashi
 </t>
  </si>
  <si>
    <t>Superintendente de Estratégia e Finanças / CFO</t>
  </si>
  <si>
    <t>https://www.linkedin.com/in/william-camassari-itabashi-92a5706a/</t>
  </si>
  <si>
    <t>Helio Zechin Pereira</t>
  </si>
  <si>
    <t>Gerente de TI</t>
  </si>
  <si>
    <t>zechin@unimedcampinas.com.br</t>
  </si>
  <si>
    <t>https://www.linkedin.com/in/heliozechin/</t>
  </si>
  <si>
    <t>Thais Bonventre Coelho</t>
  </si>
  <si>
    <t>tcoelho@unimedcampinas.com.br</t>
  </si>
  <si>
    <t>https://www.linkedin.com/in/thaisbcoelho/</t>
  </si>
  <si>
    <t>Bruna Neves Migliorini</t>
  </si>
  <si>
    <t>Intraempreendedorismo | Cultura e Inovação</t>
  </si>
  <si>
    <t>https://www.linkedin.com/in/brunanevesmigliorini/</t>
  </si>
  <si>
    <t>Adriana Ruiz</t>
  </si>
  <si>
    <t>Superintendente de Pessoas, Cultura e Tecnologia</t>
  </si>
  <si>
    <t>https://www.linkedin.com/in/adrianaruizrecursoshumanos/</t>
  </si>
  <si>
    <t>Jonnata Monteiro</t>
  </si>
  <si>
    <t>Financeiro-Analista Crédito e Cobrança</t>
  </si>
  <si>
    <t>jonnata@unimedcampinas.com.br</t>
  </si>
  <si>
    <t>19 98235-6227</t>
  </si>
  <si>
    <t>linkedin.com/in/jonnatamonteiro</t>
  </si>
  <si>
    <t>Thiago Fernandes Rosa</t>
  </si>
  <si>
    <t>Especialista Financeiro Informações Gerenciais</t>
  </si>
  <si>
    <t>tfernandes@unimedcampinas.com.br</t>
  </si>
  <si>
    <t>https://www.linkedin.com/in/thiago-fernandes-rosa-10283056</t>
  </si>
  <si>
    <t>Juliana Parreira Lopes</t>
  </si>
  <si>
    <t>https://www.linkedin.com/in/juliana-parreira-lopes/</t>
  </si>
  <si>
    <t>José Rodrigo Francklin</t>
  </si>
  <si>
    <t>https://www.linkedin.com/in/jos%C3%A9-rodrigo-francklin/</t>
  </si>
  <si>
    <t>Luiz Pipoli</t>
  </si>
  <si>
    <t xml:space="preserve">luiz.pipoli@predilecta.com.br </t>
  </si>
  <si>
    <t>Salesforce</t>
  </si>
  <si>
    <t>https://www.linkedin.com/in/eduardo-felipe-s%C3%A1-de-camargo-037999224/</t>
  </si>
  <si>
    <t>https://www.linkedin.com/in/sandra-cassorla-de-camargo-69417369/</t>
  </si>
  <si>
    <t>https://www.linkedin.com/in/anapaulacassorla/</t>
  </si>
  <si>
    <t>ALD AUTOMOTIVE</t>
  </si>
  <si>
    <t>Gestão Frota Veículos</t>
  </si>
  <si>
    <t>https://www.aldautomotive.com.br/</t>
  </si>
  <si>
    <t>https://www.linkedin.com/company/ald-automotive/</t>
  </si>
  <si>
    <t>Comercial, qualidade, financeiro, pós venda</t>
  </si>
  <si>
    <t>Azure e AWS</t>
  </si>
  <si>
    <t>Pedro Reis</t>
  </si>
  <si>
    <t>pedro.reis@aldautomotive.com</t>
  </si>
  <si>
    <t>https://www.linkedin.com/in/pedro-reis-25b1115/</t>
  </si>
  <si>
    <t>Alessandra Bazarian</t>
  </si>
  <si>
    <t>Diretor</t>
  </si>
  <si>
    <t>https://www.linkedin.com/in/alessandrabazarian/</t>
  </si>
  <si>
    <t>Alexandre Valadão</t>
  </si>
  <si>
    <t>alexandre.valadao@aldautomotive.com</t>
  </si>
  <si>
    <t>https://www.linkedin.com/in/alexandre-valad%C3%A3o-ab36262b/?originalSubdomain=br</t>
  </si>
  <si>
    <t>Patricia Lopes Prando</t>
  </si>
  <si>
    <t>patricia.prando@aldautomotive.com</t>
  </si>
  <si>
    <t>https://www.linkedin.com/in/patr%C3%ADcia-lopes-prando-354829a8/</t>
  </si>
  <si>
    <t xml:space="preserve"> Alex Souza</t>
  </si>
  <si>
    <t>Data Manager</t>
  </si>
  <si>
    <t xml:space="preserve"> alex.souza@aldautomotive.com</t>
  </si>
  <si>
    <t>https://www.linkedin.com/in/alexrodriguesdesouza/</t>
  </si>
  <si>
    <t>Rogerio Bento</t>
  </si>
  <si>
    <t xml:space="preserve">	
 rogerio.pereira@leaseplan.com</t>
  </si>
  <si>
    <t>Leandro Rodrigues</t>
  </si>
  <si>
    <t xml:space="preserve">leandro.rodrigues@aldautomotive.com
</t>
  </si>
  <si>
    <t>https://www.linkedin.com/in/leandroizarrodrigues/?originalSubdomain=br</t>
  </si>
  <si>
    <t>Avaliação de novos serviços em Engenharia de dados</t>
  </si>
  <si>
    <t>Aramis</t>
  </si>
  <si>
    <t>Varejo</t>
  </si>
  <si>
    <t>https://www.aramis.com.br/</t>
  </si>
  <si>
    <t>https://www.linkedin.com/company/aramis/</t>
  </si>
  <si>
    <t>Qlik/PowerBI</t>
  </si>
  <si>
    <t>Desenvolvimento de terceiro</t>
  </si>
  <si>
    <t>DataBricks</t>
  </si>
  <si>
    <t>Links</t>
  </si>
  <si>
    <t>Oportunidade em SnowGraph e seviços em Power BI</t>
  </si>
  <si>
    <t>Richard Stad</t>
  </si>
  <si>
    <t>Ceo</t>
  </si>
  <si>
    <t>richard.stad@aramis.com</t>
  </si>
  <si>
    <t>https://www.linkedin.com/in/richardstad/</t>
  </si>
  <si>
    <t>Fabio Davidovici</t>
  </si>
  <si>
    <t xml:space="preserve">fabio.davidovici@aramis.com.br
</t>
  </si>
  <si>
    <t>https://www.linkedin.com/in/fabiodavidovici/</t>
  </si>
  <si>
    <t>Juliana Sinatora</t>
  </si>
  <si>
    <t>https://www.linkedin.com/in/juliana-sinatora-a68a2917/</t>
  </si>
  <si>
    <t>Fernando Mutarelli</t>
  </si>
  <si>
    <t>COO</t>
  </si>
  <si>
    <t>fernando.mutarelli@aramisinc.com.br</t>
  </si>
  <si>
    <t>https://www.linkedin.com/in/fernando-mutarelli-233484/</t>
  </si>
  <si>
    <t>Willam Spinola</t>
  </si>
  <si>
    <t xml:space="preserve">william.spinola@aramisinc.com.br </t>
  </si>
  <si>
    <t>https://www.linkedin.com/in/williamspinola/</t>
  </si>
  <si>
    <t>Maycol Brandão</t>
  </si>
  <si>
    <t>maycol.brandao@aramisinc.com.br</t>
  </si>
  <si>
    <t>https://www.linkedin.com/in/maycol-brand%C3%A3o/</t>
  </si>
  <si>
    <t>Marcos Borges</t>
  </si>
  <si>
    <t>Especialista</t>
  </si>
  <si>
    <t xml:space="preserve">marcos.borges@aramisinc.com.br
</t>
  </si>
  <si>
    <t>https://www.linkedin.com/in/marcos-borges-6a649524/</t>
  </si>
  <si>
    <t xml:space="preserve">Gerente Financeiro </t>
  </si>
  <si>
    <t>Coordenadora de Planejamento TI</t>
  </si>
  <si>
    <t>Grupo Santa Cruz</t>
  </si>
  <si>
    <t>Distribuição de Medicamentos</t>
  </si>
  <si>
    <t>São Paulo, Curitiba</t>
  </si>
  <si>
    <t>https://stcruz.com.br/</t>
  </si>
  <si>
    <t>https://www.linkedin.com/company/gruposc-distribui%C3%A7%C3%A3o-de-medicamentos/</t>
  </si>
  <si>
    <t>Comercial, Financeiro, RH</t>
  </si>
  <si>
    <t>Pablo Alan Silva</t>
  </si>
  <si>
    <t>pablo.silva@gruposc.com.br</t>
  </si>
  <si>
    <t>https://www.linkedin.com/in/pablo-alan-silva-88a94224/</t>
  </si>
  <si>
    <t xml:space="preserve">Pedro Fittipaldi
 </t>
  </si>
  <si>
    <t xml:space="preserve">edro.fittipaldi@stcruz.com.br
</t>
  </si>
  <si>
    <t>https://www.linkedin.com/in/pedro-fittipaldi-50b19491/</t>
  </si>
  <si>
    <t>Marcelo Rocha</t>
  </si>
  <si>
    <t>Operaçõies</t>
  </si>
  <si>
    <t>https://www.linkedin.com/in/marcelo-rocha-5374a718/</t>
  </si>
  <si>
    <t>Nilton Baleeiro</t>
  </si>
  <si>
    <t>nilton.baleeiro@gruposc.com.br</t>
  </si>
  <si>
    <t>https://www.linkedin.com/in/niltonbaleeiro/</t>
  </si>
  <si>
    <t>Rodrigo Souza</t>
  </si>
  <si>
    <t xml:space="preserve">rodrigo.souza@gruposc.com.br
</t>
  </si>
  <si>
    <t>https://www.linkedin.com/in/rodrigosouza76/</t>
  </si>
  <si>
    <t>Miquéas Matos</t>
  </si>
  <si>
    <t>miqueas.matos@gruposc.com.br</t>
  </si>
  <si>
    <t>https://www.linkedin.com/in/miqu%C3%A9as-matos-6539a320/</t>
  </si>
  <si>
    <t>José Wellington</t>
  </si>
  <si>
    <t>wellington.santos@gruposc.com.br</t>
  </si>
  <si>
    <t>Guilhereme Nunes</t>
  </si>
  <si>
    <t>Coordenador</t>
  </si>
  <si>
    <t>guilherme.nunes@gruposc.com.br</t>
  </si>
  <si>
    <t xml:space="preserve">José Maria Gomes
 </t>
  </si>
  <si>
    <t>jose.gomes@gruposc.com.br</t>
  </si>
  <si>
    <t>Robson Silva</t>
  </si>
  <si>
    <t>Gerente de Planejamento Logístico</t>
  </si>
  <si>
    <t xml:space="preserve">robson.franca@gruposc.com.br
</t>
  </si>
  <si>
    <t>SMC Automação</t>
  </si>
  <si>
    <t>São Bernardo do Campo</t>
  </si>
  <si>
    <t>https://smcbr.com.br/</t>
  </si>
  <si>
    <t>https://www.linkedin.com/company/smc-automacao-do-brasil/</t>
  </si>
  <si>
    <t>TOTVS</t>
  </si>
  <si>
    <t>Expand de licenças e serviços em Qlik</t>
  </si>
  <si>
    <t>José Teixeira Brandão Neto</t>
  </si>
  <si>
    <t xml:space="preserve">jbneto@smcbr.com.br
</t>
  </si>
  <si>
    <t>https://www.linkedin.com/in/jose-teixeira-brandao-neto/</t>
  </si>
  <si>
    <t xml:space="preserve">Mauricio Vasallo Grande </t>
  </si>
  <si>
    <t>mgrande@smcbr.com.br</t>
  </si>
  <si>
    <t>https://www.linkedin.com/in/mauricio-vasallo-grande-b86482234/</t>
  </si>
  <si>
    <t>Alexandre Braziel</t>
  </si>
  <si>
    <t>Gerente Industrial / Gerente de Produção/ Gestor de Operações</t>
  </si>
  <si>
    <t xml:space="preserve">abraziel@smcbr.com.br
</t>
  </si>
  <si>
    <t>https://www.linkedin.com/in/alexandre-braziel-03820040/</t>
  </si>
  <si>
    <t>Adriano J.B. Oliveira</t>
  </si>
  <si>
    <t>aoliveira@smcbr.com.br</t>
  </si>
  <si>
    <t>https://www.linkedin.com/in/adriano-bueno-de-oliveira-42175622/</t>
  </si>
  <si>
    <t>Mauricio Dall'​ Acqua</t>
  </si>
  <si>
    <t>https://www.linkedin.com/in/mauricioda/</t>
  </si>
  <si>
    <t>MARCIO MEDINA</t>
  </si>
  <si>
    <t xml:space="preserve">mmedina@smcbr.com.br
</t>
  </si>
  <si>
    <t>https://www.linkedin.com/in/marcio-medina-9a952922/?originalSubdomain=br</t>
  </si>
  <si>
    <t>Mauricio Devai Alcantara</t>
  </si>
  <si>
    <t>Head of Suppy Chain | Planejamento | Com. Exterior | Relações Internacionais | Compras | Armazém | Distribuição | Transportes | Logistica</t>
  </si>
  <si>
    <t>malcantara@smcbr.com.br</t>
  </si>
  <si>
    <t>https://www.linkedin.com/in/mauricio-devai-alcantara-91770916/</t>
  </si>
  <si>
    <t>Alto Exectivo ou Estratégico</t>
  </si>
  <si>
    <t>Alto Executivo</t>
  </si>
  <si>
    <t>Diretora de Operações</t>
  </si>
  <si>
    <t>Diretor Financeiro</t>
  </si>
  <si>
    <t>Gerente Corporativo de TI</t>
  </si>
  <si>
    <t>Analista de BI</t>
  </si>
  <si>
    <t>Head de Tecnologia</t>
  </si>
  <si>
    <t>Conta CRM</t>
  </si>
  <si>
    <t>https://in1.sugarondemand.com/#Accounts/143ad234-59ee-11ed-966a-02ae981fbade</t>
  </si>
  <si>
    <t>https://in1.sugarondemand.com/#Accounts/156c9408-cabc-11ea-bd4e-022c40d974e6</t>
  </si>
  <si>
    <t>https://in1.sugarondemand.com/#Accounts/790f7276-d525-11ec-82d9-0630baf9dcb8</t>
  </si>
  <si>
    <t>https://in1.sugarondemand.com/#Accounts/40f92a0e-dacd-11ed-a4b5-02b0ee514bc7</t>
  </si>
  <si>
    <t>https://in1.sugarondemand.com/#Accounts/68d368fe-fd33-11e8-bfe1-069e4f790264</t>
  </si>
  <si>
    <t>https://in1.sugarondemand.com/#Accounts/78e76ff4-ec36-11e9-83a8-02ae981fbade</t>
  </si>
  <si>
    <t>https://in1.sugarondemand.com/#Accounts/609cf0e2-fd33-11e8-8df8-069e4f790264</t>
  </si>
  <si>
    <t>https://in1.sugarondemand.com/#Accounts/6e2ff948-fd33-11e8-8fe4-069e4f790264</t>
  </si>
  <si>
    <t>https://in1.sugarondemand.com/#Accounts/f152ba68-7090-11eb-85fa-02ae981fbade</t>
  </si>
  <si>
    <t>https://in1.sugarondemand.com/#Accounts/6b04d572-fd33-11e8-9d19-069e4f790264</t>
  </si>
  <si>
    <t>https://in1.sugarondemand.com/#Accounts/b814ffd0-d4c0-11e9-9851-02ae981fbade</t>
  </si>
  <si>
    <t>https://in1.sugarondemand.com/#Accounts/22c8b196-e969-11eb-b7a5-02ae981fbade</t>
  </si>
  <si>
    <t>https://in1.sugarondemand.com/#Accounts/4ac1e826-0318-11eb-a187-0630baf9dcb8</t>
  </si>
  <si>
    <t>https://in1.sugarondemand.com/#Accounts/4d9673d4-7f18-11ea-b667-0630baf9dcb8</t>
  </si>
  <si>
    <t>https://in1.sugarondemand.com/#Accounts/9ab870fc-1092-11eb-a5c1-0630baf9dcb8</t>
  </si>
  <si>
    <t>https://in1.sugarondemand.com/#Accounts/8814a070-fd33-11e8-be2d-069e4f790264</t>
  </si>
  <si>
    <t>ALD Automotive</t>
  </si>
  <si>
    <t>Renovação 2019 - ALD Automotive</t>
  </si>
  <si>
    <t>RENOVAÇÃO 2020 - ALD AUTOMOTIVE</t>
  </si>
  <si>
    <t>Renovação 2021 - ALD Automotive</t>
  </si>
  <si>
    <t>RENOVAÇÃO 2017 - ALD Automotive</t>
  </si>
  <si>
    <t>RENOVAÇÃO 2016 - ALD Automotive</t>
  </si>
  <si>
    <t>RENOVAÇÃO 2018 - ALD Automotive</t>
  </si>
  <si>
    <t>ALD Automotive S.A 01SBE 05N 20D</t>
  </si>
  <si>
    <t>Ald Aurtomotive - Expand - 3 QSA</t>
  </si>
  <si>
    <t>Ald Automotive - Expand - Nprinting</t>
  </si>
  <si>
    <t>ALD - Treinamento Qlik Sense Developer - Modulo I</t>
  </si>
  <si>
    <t>ALD Automotive Treinamento QlikSense Developer</t>
  </si>
  <si>
    <t>ALD - Treinamento Qlik Sense Server</t>
  </si>
  <si>
    <t>ALD AUTOMOTIVE - ALOCAÇÃO 2024</t>
  </si>
  <si>
    <t>Microsoft</t>
  </si>
  <si>
    <t>ALD Automotive - Consultoria Power BI, SSIS e SQL Server</t>
  </si>
  <si>
    <t>A10 - ALD - BANCO DE HORAS</t>
  </si>
  <si>
    <t>A10 - ALD Automotive - Consultoria Qlik</t>
  </si>
  <si>
    <t>ALD Consultoria Especializada Qlik (Business Review)</t>
  </si>
  <si>
    <t>ALD - A10 - CONSULTORIA - NEGOCIOS/MERCADO</t>
  </si>
  <si>
    <t>A10 - ALD - SERVIÇOS A10</t>
  </si>
  <si>
    <t>ALD Consultoria Especializada PowerBI</t>
  </si>
  <si>
    <t>RENOVAÇÃO PYPLAN 2025 - VCI VANGUARD CONFECÇÕES (ARAMIS)</t>
  </si>
  <si>
    <t>PyPlan</t>
  </si>
  <si>
    <t>A10 - ARAMIS - ALTERYX DESIGNER CLOUD</t>
  </si>
  <si>
    <t>Aramis - RPA Tesouraria</t>
  </si>
  <si>
    <t>IBM</t>
  </si>
  <si>
    <t>A10 - ARAMIS - ALOCAÇÃO 24</t>
  </si>
  <si>
    <t>A10 - ARAMIS - QDI</t>
  </si>
  <si>
    <t>A10 - ARAMIS - FIVETRAN</t>
  </si>
  <si>
    <t>Fivetran</t>
  </si>
  <si>
    <t>A10 - ARAMIS - BANCO DE HORAS</t>
  </si>
  <si>
    <t>A10 - ARAMIS - POWERBI</t>
  </si>
  <si>
    <t>Aramis - Pyplan (4Y)</t>
  </si>
  <si>
    <t>Snowflake Aramis</t>
  </si>
  <si>
    <t>A10 - ARAMIS - SNOWFLAKE</t>
  </si>
  <si>
    <t>Consultor QlikSense Senior - Aramis</t>
  </si>
  <si>
    <t>RENOVAÇÃO 2020 - DISTRIBUIDORA DE MEDICAMENTOS SANTA CRUZ</t>
  </si>
  <si>
    <t>RENOVAÇÃO SUBSCRIÇÃO QLIK 2025 - DISTRIBUIDORA DE MEDICAMENTOS SANTA CRUZ</t>
  </si>
  <si>
    <t>RENOVAÇÃO SUBSCRIÇÃO 2026 - SANTA CRUZ - Portal da Indústria - Expand Licenças QLIK (COSELL)</t>
  </si>
  <si>
    <t>RENOVAÇÃO 2021 - DISTRIBUIDORA DE MEDICAMENTOS SANTA CRUZ</t>
  </si>
  <si>
    <t>RENOVAÇÃO 2019 - DISTRIBUIDORA DE MEDICAMENTOS SANTA CRUZ</t>
  </si>
  <si>
    <t>Distribuidora de Medicamentos Santa Cruz - AMP - SaaS - 3Y (60.501)</t>
  </si>
  <si>
    <t>RENOVAÇÃO 2017 - DISTRIBUIDORA DE MEDICAMENTOS SANTA CRUZ</t>
  </si>
  <si>
    <t>SANTA CRUZ - Portal da Indústria - Expand Licenças QLIK (COSELL)</t>
  </si>
  <si>
    <t>SANTA CRUZ - GEO ANALYTICS</t>
  </si>
  <si>
    <t>DISTRIBUIDORA DE MEDICAMENTOS SANTA CRUZ - Expand - NPrinting SMB para Server Distribuidora de Medicamentos Santa Cruz Ltda Expand ID 0766379</t>
  </si>
  <si>
    <t>DISTRIBUIDORA DE MEDICAMENTOS SANTA CRUZ - Expand - Publish</t>
  </si>
  <si>
    <t>Treinamento QS Fundamental - Grupo SC</t>
  </si>
  <si>
    <t>DISTRIBUIDORA DE MEDICAMENTOS SANTA CRUZ - Treinamento Qlik Master Class</t>
  </si>
  <si>
    <t>A10 - GRUPO SANTA CRUZ - APLICATIVO COMERCIAL - QLIK EXPAND</t>
  </si>
  <si>
    <t>A10 - GRUPO SANTA CRUZ - FRAMEWORK - IMERSÃO ARQUITETURA DE DADOS</t>
  </si>
  <si>
    <t>A10 - GRUPO SANTA CRUZ - CONSULTORIA QLIK</t>
  </si>
  <si>
    <t>A10 - SANTA CRUZ - DATA SQUAD</t>
  </si>
  <si>
    <t>A10 - DISTRIBUIDORA DE MEDICAMENTOS SANTA CRUZ - Consultoria Projeto QlikView (3 meses)</t>
  </si>
  <si>
    <t>A10 - DISTRIBUIDORA DE MEDICAMENTOS SANTA CRUZ - Consultoria Projeto QlikView ( 1 Mès )</t>
  </si>
  <si>
    <t>A10 - DISTRIBUIDORA DE MEDICAMENTOS SANTA CRUZ - QA Ambiente para Atualização NPrinting</t>
  </si>
  <si>
    <t>A10 - SANTA CRUZ - SERVIÇOS AUTOMATION</t>
  </si>
  <si>
    <t>A10 - GRUPO SANTA CRUZ - SNOWFLAKE</t>
  </si>
  <si>
    <t>Grupo Santa Cruz - Assessment</t>
  </si>
  <si>
    <t>A10 - SANTA CRUZ - TALEND</t>
  </si>
  <si>
    <t>A10 - DISTRIBUIDORA DE MEDICAMENTOS SANTA CRUZ - Proposta QA Ambiente Implementação Nó Cluster</t>
  </si>
  <si>
    <t>A10 - SANTA CRUZ - MIGRAÇÃO SERVIDORES QLIK</t>
  </si>
  <si>
    <t>IN - GRUPO SANTA CRUZ - EXPAND QLIK</t>
  </si>
  <si>
    <t>A10 - GRUPO SANTA CRUZ - MIGRAÇÃO AMBIENTE QLIK</t>
  </si>
  <si>
    <t>A10 - DISTRIBUIDORA DE MEDICAMENTOS SANTA CRUZ - Proposta Alteração Arquitetura QlikView</t>
  </si>
  <si>
    <t>A10 - SANTA CRUZ - PORTAL DA INDUSTRIA - EXPAND QLIK 2</t>
  </si>
  <si>
    <t>A10 - SANTA CRUZ - MIGRAÇÃO QLIKVIEW</t>
  </si>
  <si>
    <t>SMC AUTOMACAO DO BRASIL - Contrato NPrinting (17 meses)</t>
  </si>
  <si>
    <t>SMC - Treinamento Qlik Sense</t>
  </si>
  <si>
    <t>IN - SMC - NOVOS PROJETOS</t>
  </si>
  <si>
    <t>A10 School - Treinamento QS Mashup do Básico ao Avançado - SMC</t>
  </si>
  <si>
    <t>A10 - SMC - CONSULTORIA</t>
  </si>
  <si>
    <t>A10 - SMC - ANALYTICS FASE 3</t>
  </si>
  <si>
    <t>A10 - SMC - FASE 3</t>
  </si>
  <si>
    <t>A10 - SMC - BANCO DE HORAS</t>
  </si>
  <si>
    <t>A10 - SMC - ATUALIZAÇÃO POSTGRES</t>
  </si>
  <si>
    <t>A10 - SMC - Consultoria Analytics</t>
  </si>
  <si>
    <t>A10 - SMC - CONSULTORIA - FASE 2</t>
  </si>
  <si>
    <t>A10 - SMC - PROJETO QLIK</t>
  </si>
  <si>
    <t>RENOVAÇÃO DATAROBOT 2025 - TOKIO MARINE</t>
  </si>
  <si>
    <t>RENOVAÇÃO DATAROBOT 2023-2025 TOKIO MARINE (com Expansão)</t>
  </si>
  <si>
    <t>A10 - Tokio Marine - DataRobot</t>
  </si>
  <si>
    <t>QDI Tokio Marine</t>
  </si>
  <si>
    <t>Serviços Azure , Power BI, GCP e Web Analytics...</t>
  </si>
  <si>
    <t>TOKIO MARINE ALATION</t>
  </si>
  <si>
    <t>Tokio DataRobot Expan. 2023 - Renovação Anual e Dob. # Modelos de AutoML</t>
  </si>
  <si>
    <t>Snowflake Tokio Marine</t>
  </si>
  <si>
    <t>TOKIO MARINE - Denodo</t>
  </si>
  <si>
    <t>Denodo</t>
  </si>
  <si>
    <t>RENOVAÇÃO ALTERYX 2024 - QUALICORP [COMPLIANCE E RISCOS]</t>
  </si>
  <si>
    <t>RENOVAÇÃO ALTERYX 2024 - QUALICORP [RENATO FORTE]</t>
  </si>
  <si>
    <t>RENOVAÇÃO ALTERYX 2023 - QUALICORP</t>
  </si>
  <si>
    <t>A10 - Qualicorp - Alteryx Server</t>
  </si>
  <si>
    <t>A10 - Qualicorp - Alteryx</t>
  </si>
  <si>
    <t>A10 - Alteryx - Qualicorp - Ponte com Área de TI Neo4j</t>
  </si>
  <si>
    <t>A10 - Qualicorp - Riscos - 2 Designers Alteryx</t>
  </si>
  <si>
    <t>QUALICORP Alteryx Server</t>
  </si>
  <si>
    <t>A10 - Qualicorp - Alteryx - Adotion</t>
  </si>
  <si>
    <t>Qualicorp - Snowflake</t>
  </si>
  <si>
    <t>RFQ de 31/08/2023 1 Designer e 12 meses suporte serviço as-is</t>
  </si>
  <si>
    <t>A10 - Qualicorp - 3 Designers - Renato Forte</t>
  </si>
  <si>
    <t>QUALICORP - Suporte Mensal Área de Auditoria Alteryx</t>
  </si>
  <si>
    <t>QUALICORP - Denodo</t>
  </si>
  <si>
    <t>A10 School - Treinamento RPA &amp; Automation Anywhere - Urbano</t>
  </si>
  <si>
    <t>A10 School - Treinamento Qlik Sense - Urbano</t>
  </si>
  <si>
    <t>Urbano - Alocação Analista RPA - 12 Meses 2024</t>
  </si>
  <si>
    <t>A10 - Urbano - Qlik - Somente Serviços</t>
  </si>
  <si>
    <t>Urbano - Alocação RPA - Ago/23 a Dez/23</t>
  </si>
  <si>
    <t>Urbano Alimentos - Hyper Reports</t>
  </si>
  <si>
    <t>Hyper Report</t>
  </si>
  <si>
    <t>Urbano - RPA - Document Automation</t>
  </si>
  <si>
    <t>Urbano QDI</t>
  </si>
  <si>
    <t>Urbano - RPA - Automation 360 Creator Pack</t>
  </si>
  <si>
    <t>Urbano - Alocação RPA - Março a Julho 2023</t>
  </si>
  <si>
    <t>Urbano - Alocação Analista RPA pelo período de 12 meses</t>
  </si>
  <si>
    <t>Urbano - Migração RPA Automation Anywhere</t>
  </si>
  <si>
    <t>Urbano PyPlan</t>
  </si>
  <si>
    <t>URBANO AGROINDUSTRIAL LTDA - RA It Solution</t>
  </si>
  <si>
    <t>Urbano - Alocação Analista RPA (63.951)</t>
  </si>
  <si>
    <t>Snowflake Urbano</t>
  </si>
  <si>
    <t>Urbano - Sustentação RPA Automation Anywhere</t>
  </si>
  <si>
    <t>URBANO ALTERYX</t>
  </si>
  <si>
    <t>Urbano Agroindustrial</t>
  </si>
  <si>
    <t>RENOVAÇÃO AA 2024 - UNIMED CAMPINAS [LICENÇAS]</t>
  </si>
  <si>
    <t>UNIMED CAMPINAS - Renovação Automation Anywhere 2023</t>
  </si>
  <si>
    <t>Unimed Campinas - Alocação RPA - 12 Meses 2024</t>
  </si>
  <si>
    <t>Unimed Campinas Alocação de Engenheiro de Dados</t>
  </si>
  <si>
    <t>Unimed Campinas - Alocação RPA - Jul/23 a Dez/23</t>
  </si>
  <si>
    <t>Unimed Campinas - Alocação RPA</t>
  </si>
  <si>
    <t>Unimed Campinas PyPlan</t>
  </si>
  <si>
    <t>Unimed Campinas - RPA</t>
  </si>
  <si>
    <t>A10 - Unimed Campinas - RPA Licença Renovação por 1 Ano</t>
  </si>
  <si>
    <t>Unimed Campinas desafio de modelagem preditiva relacionada à fraude</t>
  </si>
  <si>
    <t>Unimed Campinas Assessment Governança de Dados</t>
  </si>
  <si>
    <t>Total</t>
  </si>
  <si>
    <t>Energia</t>
  </si>
  <si>
    <t>Indústria Pesada</t>
  </si>
  <si>
    <t>Automotivo</t>
  </si>
  <si>
    <t>Distribuição</t>
  </si>
  <si>
    <t>Agroindustrial</t>
  </si>
  <si>
    <t>Segmento</t>
  </si>
  <si>
    <t>Setor</t>
  </si>
  <si>
    <t>Total por estágio</t>
  </si>
  <si>
    <t>Proporção por setor</t>
  </si>
  <si>
    <t>Proporção por estágio</t>
  </si>
  <si>
    <t>Treinamento</t>
  </si>
  <si>
    <t>Serviço</t>
  </si>
  <si>
    <t>Suporte</t>
  </si>
  <si>
    <t>Qtd</t>
  </si>
  <si>
    <t>%</t>
  </si>
  <si>
    <t>Aldo</t>
  </si>
  <si>
    <t>AFIP - Associação Fundo de Incentivo à Pesquisa</t>
  </si>
  <si>
    <t>Pesquisa científica na área da saúde</t>
  </si>
  <si>
    <t>SÃO PAULO</t>
  </si>
  <si>
    <t>www.afip.com.br</t>
  </si>
  <si>
    <t>https://www.linkedin.com/company/afip-associacaofundodeincentivoapesquisa/</t>
  </si>
  <si>
    <t>Melhora contínua de postura do consultor - Bruno / Squad Services</t>
  </si>
  <si>
    <t>Milton Vicente Vieira Júnior</t>
  </si>
  <si>
    <t>milton.junior@afip.com.br</t>
  </si>
  <si>
    <t>https://www.linkedin.com/in/milton-vicente-vieira-junior-a7563243/</t>
  </si>
  <si>
    <t>Fabio Sato Sasahara</t>
  </si>
  <si>
    <t>Gerente de Sistemas</t>
  </si>
  <si>
    <t>fabio.sasahara@afip.com.br</t>
  </si>
  <si>
    <t>112388-0852</t>
  </si>
  <si>
    <t>https://www.linkedin.com/in/fabio-sato-sasahara-24155225/</t>
  </si>
  <si>
    <t>Claudio</t>
  </si>
  <si>
    <t>Kopenhagen (NIBS)</t>
  </si>
  <si>
    <t>Alimentício</t>
  </si>
  <si>
    <t>Extrema</t>
  </si>
  <si>
    <t>http://www.kopenhagen.com.br/</t>
  </si>
  <si>
    <t>https://www.linkedin.com/company/grupocrm/about/</t>
  </si>
  <si>
    <t>Pyplan</t>
  </si>
  <si>
    <t>ERP e CRM</t>
  </si>
  <si>
    <t>Expansão digital da empresa</t>
  </si>
  <si>
    <t>Renata Vichi</t>
  </si>
  <si>
    <t>Administração</t>
  </si>
  <si>
    <t>renata.moraes@grupocrm.com.br</t>
  </si>
  <si>
    <t>11-4689-8180</t>
  </si>
  <si>
    <t>https://www.linkedin.com/in/renata-moraes-vichi-54014b2a/</t>
  </si>
  <si>
    <t>Matias Michaelsen</t>
  </si>
  <si>
    <t>matias.michaelsen@kopenhagen.com.br</t>
  </si>
  <si>
    <t>https://www.linkedin.com/in/oimatias/</t>
  </si>
  <si>
    <t>Carlos Paschoal</t>
  </si>
  <si>
    <t>Diretor Executivo</t>
  </si>
  <si>
    <t>carlos.paschoal@kopenhagen.com.br</t>
  </si>
  <si>
    <t>https://www.linkedin.com/in/carlos-paschoal-1356082/</t>
  </si>
  <si>
    <t>Fernando J Francalassi</t>
  </si>
  <si>
    <t xml:space="preserve">Diretor Industrial </t>
  </si>
  <si>
    <t>fernando.francalassi@kopenhagen.com.br</t>
  </si>
  <si>
    <t>https://www.linkedin.com/in/fernando-j-francalassi-81aa5321/</t>
  </si>
  <si>
    <t>Fabio Machado</t>
  </si>
  <si>
    <t>Head Of Technology</t>
  </si>
  <si>
    <t>fabio.machado@kopenhagen.com.br</t>
  </si>
  <si>
    <t>https://www.linkedin.com/in/fabio-vilas-boas-machado-98096922/</t>
  </si>
  <si>
    <t xml:space="preserve">Fernando Guglielmetti </t>
  </si>
  <si>
    <t>fernando.guglielmetti@kopenhagen.com.br</t>
  </si>
  <si>
    <t>Bruno Costa</t>
  </si>
  <si>
    <t>bruno.costa@kopenhagen.com.br</t>
  </si>
  <si>
    <t>https://www.linkedin.com/in/brunocosta/</t>
  </si>
  <si>
    <t>Rita Pellegrino</t>
  </si>
  <si>
    <t>CHRO</t>
  </si>
  <si>
    <t>rita.pellegrino@kopenhagen.com.br</t>
  </si>
  <si>
    <t>https://www.linkedin.com/in/rita-pellegrino-440036100/</t>
  </si>
  <si>
    <t>Hugo Chagas Nascimento</t>
  </si>
  <si>
    <t>Supply</t>
  </si>
  <si>
    <t>Gerente S&amp;OP, S&amp;OE</t>
  </si>
  <si>
    <t>hugo.nascimento@grupocrm.com.br</t>
  </si>
  <si>
    <t>11-995535296</t>
  </si>
  <si>
    <t>https://www.linkedin.com/in/hugochagasnascimento/</t>
  </si>
  <si>
    <t>BO Paper</t>
  </si>
  <si>
    <t>Papel e Celulose</t>
  </si>
  <si>
    <t>Arapoti - PR</t>
  </si>
  <si>
    <t>https://www.bopaper.com.br/</t>
  </si>
  <si>
    <t>https://www.linkedin.com/company/bo-paper/</t>
  </si>
  <si>
    <t>Antes centrada em papel para impressão, a Bo Paper teve de se reciclar diante do avanço de meios digitais, e se voltou para o mundo das embalagens</t>
  </si>
  <si>
    <t>André Arantes</t>
  </si>
  <si>
    <t>Diretor Geral</t>
  </si>
  <si>
    <t>andre.arantes@bopaper.com.br</t>
  </si>
  <si>
    <t>43-3512-2438</t>
  </si>
  <si>
    <t>https://www.linkedin.com/in/andre-arantes-368ba122/</t>
  </si>
  <si>
    <t>André Pauzer</t>
  </si>
  <si>
    <t>andre.pauzer@bopaper.com.br</t>
  </si>
  <si>
    <t>https://www.linkedin.com/in/andrepauzer/</t>
  </si>
  <si>
    <t>Luis Coelho</t>
  </si>
  <si>
    <t>Operations Director</t>
  </si>
  <si>
    <t>luis.coelho@bopaper.com.br</t>
  </si>
  <si>
    <t>https://www.linkedin.com/in/luis-fernando-tabai-coelho-b2b0561/</t>
  </si>
  <si>
    <t>Paulo Silva</t>
  </si>
  <si>
    <t>paulo.silva@bopaper.com.br</t>
  </si>
  <si>
    <t>43 3512-2268</t>
  </si>
  <si>
    <t>https://www.linkedin.com/in/paulo-silas-alves-da-silva-3a27201a/</t>
  </si>
  <si>
    <t>Barbara Lorencini</t>
  </si>
  <si>
    <t>Gerente de recursos humanos</t>
  </si>
  <si>
    <t>barbara.lorencini@bopaper.com.br</t>
  </si>
  <si>
    <t>https://www.linkedin.com/in/barbaralorencini/</t>
  </si>
  <si>
    <t>Eduardo Panzuto</t>
  </si>
  <si>
    <t>Sypply</t>
  </si>
  <si>
    <t xml:space="preserve">Executive Supply Chain S&amp;OP and Logistics Manager
</t>
  </si>
  <si>
    <t>eduardo.panzuto@bopaper.com.br</t>
  </si>
  <si>
    <t>41-995662976</t>
  </si>
  <si>
    <t>https://www.linkedin.com/in/eduardo-panzuto-supplychain/</t>
  </si>
  <si>
    <t>Mauro Filho</t>
  </si>
  <si>
    <t>Suprimentos</t>
  </si>
  <si>
    <t>Coordenador em Suprimentos</t>
  </si>
  <si>
    <t>mauro.filho@bopaper.com.br</t>
  </si>
  <si>
    <t>(43) 3512 2123</t>
  </si>
  <si>
    <t>https://www.linkedin.com/in/mauro-carvalho-dos-santos-filho-3b82913b/</t>
  </si>
  <si>
    <t>Catupiry</t>
  </si>
  <si>
    <t>Alimentos</t>
  </si>
  <si>
    <t>https://catupiry.com.br/</t>
  </si>
  <si>
    <t>https://www.linkedin.com/company/laticinios-catupiry-ltda/</t>
  </si>
  <si>
    <t>Totvs</t>
  </si>
  <si>
    <t>Modernização do BI / Implantação de Data Center / Implantação de RPA / Oportunidade de Pyplan a ser identificada</t>
  </si>
  <si>
    <t>Daniel Zanuto de Moraes</t>
  </si>
  <si>
    <t>daniel.zanuto@catupiry.com.br</t>
  </si>
  <si>
    <t>(11) 96328 1035</t>
  </si>
  <si>
    <t>https://www.linkedin.com/in/danielzanuto/</t>
  </si>
  <si>
    <t xml:space="preserve">Nicolau Ahn
 </t>
  </si>
  <si>
    <t>nicolau.ahn@catupiry.com.br</t>
  </si>
  <si>
    <t>(11) 3226-3155</t>
  </si>
  <si>
    <t>https://www.linkedin.com/in/nicolauahn/</t>
  </si>
  <si>
    <t>Rogerio Neves</t>
  </si>
  <si>
    <t xml:space="preserve">Superintendente de operações
</t>
  </si>
  <si>
    <t>rogerio.neves@catupiry.com.br</t>
  </si>
  <si>
    <t>https://www.linkedin.com/in/rog%C3%A9rio-neves-412487187/</t>
  </si>
  <si>
    <t xml:space="preserve">Gabriela Zanelle </t>
  </si>
  <si>
    <t>Coordenadora de TI</t>
  </si>
  <si>
    <t>gabriela.zanelle@catupiry.com.br</t>
  </si>
  <si>
    <t>(11) 974803024</t>
  </si>
  <si>
    <t>https://www.linkedin.com/in/gabriela-zanelle/</t>
  </si>
  <si>
    <t xml:space="preserve">Felipe Martins </t>
  </si>
  <si>
    <t>Coordenador de BI</t>
  </si>
  <si>
    <t>felipe.martins@catupiry.com.br</t>
  </si>
  <si>
    <t>(11) 99891-5607</t>
  </si>
  <si>
    <t>https://www.linkedin.com/in/felipe-martins-89140a126/</t>
  </si>
  <si>
    <t>Ilda Lima</t>
  </si>
  <si>
    <t xml:space="preserve">Gerente de Recursos Humanos
</t>
  </si>
  <si>
    <t>ilda.lima@catupiry.com.br</t>
  </si>
  <si>
    <t>https://www.linkedin.com/in/ilda-lima-1a372355/</t>
  </si>
  <si>
    <t>Lucas Mariz</t>
  </si>
  <si>
    <t xml:space="preserve">Especialista de Projetos e Produtos Digitais de TI </t>
  </si>
  <si>
    <t>lucas.mariz@catupiry.com.br</t>
  </si>
  <si>
    <t>https://www.linkedin.com/in/lucmariz/</t>
  </si>
  <si>
    <t>Joao Andrade</t>
  </si>
  <si>
    <t>IT Business Partner</t>
  </si>
  <si>
    <t>joao.andrade@catupiry.com.br</t>
  </si>
  <si>
    <t>(11) 999743959</t>
  </si>
  <si>
    <t>https://www.linkedin.com/in/joaomatheusandrade/</t>
  </si>
  <si>
    <t>Diego Lopes</t>
  </si>
  <si>
    <t>diego.lopes@catupiry.com.br</t>
  </si>
  <si>
    <t>(11) 97310-7279</t>
  </si>
  <si>
    <t>https://www.linkedin.com/in/diego-lopes-jesus/</t>
  </si>
  <si>
    <t>Petz</t>
  </si>
  <si>
    <t>https://www.petz.com.br/</t>
  </si>
  <si>
    <t>https://www.linkedin.com/company/petz/</t>
  </si>
  <si>
    <t>Modernização de BI e aplicação de IA e GenIA</t>
  </si>
  <si>
    <t>Sérgio Zimerman</t>
  </si>
  <si>
    <t>Presidência</t>
  </si>
  <si>
    <t>sergio@petz.com.br</t>
  </si>
  <si>
    <t>(11) 2181-7380</t>
  </si>
  <si>
    <t>https://www.linkedin.com/in/sergio-zimerman/</t>
  </si>
  <si>
    <t>José Bruno Vieira</t>
  </si>
  <si>
    <t>Diretor Financeiro, FP&amp;A e Tesouraria</t>
  </si>
  <si>
    <t>jose.vieira@petz.com.br</t>
  </si>
  <si>
    <t>https://www.linkedin.com/in/josebruno/</t>
  </si>
  <si>
    <t xml:space="preserve">Rodrigo Fernandes Cruz </t>
  </si>
  <si>
    <t>VP Varejo e Comercial</t>
  </si>
  <si>
    <t>rodrigo.cruz@petz.com.br</t>
  </si>
  <si>
    <t>https://www.linkedin.com/in/rodrigo-fernandes-cruz-42764a35/</t>
  </si>
  <si>
    <t>Marcelo Maia</t>
  </si>
  <si>
    <t>VP Digital, Marketing, IT and Supply Chain </t>
  </si>
  <si>
    <t>marcelo.maia@petz.com.br</t>
  </si>
  <si>
    <t>https://www.linkedin.com/in/marcelo-maia-3073298/</t>
  </si>
  <si>
    <t>Heblon Barbosa</t>
  </si>
  <si>
    <t>Gerente Sr. de Growth</t>
  </si>
  <si>
    <t>heblon.barbosa@petz.com.br</t>
  </si>
  <si>
    <t>https://www.linkedin.com/in/heblon/</t>
  </si>
  <si>
    <t xml:space="preserve">Cláudia Marquesani
 </t>
  </si>
  <si>
    <t>claudia.marquesani@petz.com.br</t>
  </si>
  <si>
    <t>https://www.linkedin.com/in/cmarquesani/</t>
  </si>
  <si>
    <t>Flávia Bossolani Pontes</t>
  </si>
  <si>
    <t>flavia.pontes@petz.com.br</t>
  </si>
  <si>
    <t>https://www.linkedin.com/in/flavia-pontes-33911222/</t>
  </si>
  <si>
    <t>Marcos Vieira</t>
  </si>
  <si>
    <t>marcos.vieira@petz.com.br</t>
  </si>
  <si>
    <t>https://www.linkedin.com/in/marcosacvieira/</t>
  </si>
  <si>
    <t>Rafael Correia Laxer</t>
  </si>
  <si>
    <t>Gerente de Data Science e Analytics</t>
  </si>
  <si>
    <t>rafael.laxer@petz.com.br</t>
  </si>
  <si>
    <t>https://www.linkedin.com/in/rafaellaxer/</t>
  </si>
  <si>
    <t>Pesquisa</t>
  </si>
  <si>
    <t>Indústria</t>
  </si>
  <si>
    <t>Pet</t>
  </si>
  <si>
    <t>https://in1.sugarondemand.com/#Accounts/611d3ffe-fd33-11e8-85d7-069e4f790264</t>
  </si>
  <si>
    <t>https://in1.sugarondemand.com/#Accounts/cf46047a-3916-11ed-ac68-069e4f790264</t>
  </si>
  <si>
    <t>https://in1.sugarondemand.com/#Accounts/a7ef451a-1fff-11ed-88c9-069e4f790264</t>
  </si>
  <si>
    <t>https://in1.sugarondemand.com/#Accounts/ab2af882-1f45-11e9-b319-022c40d974e6</t>
  </si>
  <si>
    <t>https://in1.sugarondemand.com/#Accounts/744fdb72-fd33-11e8-b594-069e4f790264</t>
  </si>
  <si>
    <t>TREINAMENTO Set Analisys 23 de Abril de 2014</t>
  </si>
  <si>
    <t>AFIP Banco de Horas</t>
  </si>
  <si>
    <t>AFIP - Consultoria (Sustentação, Check list, Acompanhamento de Carga)</t>
  </si>
  <si>
    <t>A10 - AFIP - Servicos de Desenvolvimento</t>
  </si>
  <si>
    <t>AFIP - Sustentação Qlik - Abr/24 a Abr/25 (Ano 2/2)</t>
  </si>
  <si>
    <t>AFIP - Portal Web (Brasil Apoio)</t>
  </si>
  <si>
    <t>AFIP Implementação Arquitetura QlikSense Multi Node - Azure</t>
  </si>
  <si>
    <t>A10 - AFIP - Time Material - 200 Horas</t>
  </si>
  <si>
    <t>AFIP - Alocação Qlik - Fev/24 a Jan/25 - 12 meses (Ano 2 do contrato)</t>
  </si>
  <si>
    <t>AFIP - Integração Intranet/Zoom</t>
  </si>
  <si>
    <t>AFIP - Consultoria UI e UX</t>
  </si>
  <si>
    <t>AFIP - Estudo Automação Funcionalidades SaaS</t>
  </si>
  <si>
    <t>Consultoria especializada Início Assistido</t>
  </si>
  <si>
    <t>AFIP - Squad Desenvolvimento</t>
  </si>
  <si>
    <t>AFIP - Sustentação Qlik - Abr/23 a Abr/24 (Ano 1/2)</t>
  </si>
  <si>
    <t>AFIP - Projeto Wordpress</t>
  </si>
  <si>
    <t>AFIP - Alocação Full Stack - Web</t>
  </si>
  <si>
    <t>AFIP - App Gerenciamento Transporte Van</t>
  </si>
  <si>
    <t>AFIP - Banco de Horas - Atualizada 0420</t>
  </si>
  <si>
    <t>A10 - AFIP - Banco de Horas</t>
  </si>
  <si>
    <t>Renovação 2020 - AFIP</t>
  </si>
  <si>
    <t>RENOVAÇÃO 2021 - ASSOCIAÇÃO FUNDO DE INCENTIVO A PESQUISA - AFIP</t>
  </si>
  <si>
    <t>RENOVAÇÃO QLIK 2025 - ASSOCIAÇÃO FUNDO DE INCENTIVO A PESQUISA (AFIP MEDICINA DIAGNÓSTICA)</t>
  </si>
  <si>
    <t>RENOVAÇÃO 2022 - ASSOCIAÇÃO FUNDO DE INCENTIVO A PESQUISA (AFIP MEDICINA DIAGNÓSTICA)</t>
  </si>
  <si>
    <t>RENOVAÇÃO SUBSCRIÇÃO 2024 - ASSOCIAÇÃO FUNDO DE INCENTIVO A PESQUISA (AFIP MEDICINA DIAGNÓSTICA)</t>
  </si>
  <si>
    <t>AFIP - Conversão Perpétua para Subscrição SaaS (3Y)</t>
  </si>
  <si>
    <t>Renovação 2019 - AFIP</t>
  </si>
  <si>
    <t>RENOVAÇÃO 2018 - AFIP</t>
  </si>
  <si>
    <t>RENOVAÇÃO 2017 - AFIP</t>
  </si>
  <si>
    <t>RENOVAÇÃO 2016 - AFIP</t>
  </si>
  <si>
    <t>RENOVAÇÃO 2015 - AFIP</t>
  </si>
  <si>
    <t>AFIP - Expand Qlik 63A</t>
  </si>
  <si>
    <t>A10 - AFIP - Subscrição - Analytics Client Managed</t>
  </si>
  <si>
    <t>AFIP - Expand - CM - 10 QSA - 26 meses (62.360)</t>
  </si>
  <si>
    <t>Ass.Fundo Incentivo a Pesquisa SS Uplift Dual User ID 0795228</t>
  </si>
  <si>
    <t>Associação Fundo de Incentivo a Pesquisa Projeto de BI</t>
  </si>
  <si>
    <t>AFIP - Expand Mixed Site - 83 Analyzer - Pro Rata (63.077)</t>
  </si>
  <si>
    <t>AFIP - Treinamento In Class Fundamental e Avançado</t>
  </si>
  <si>
    <t>AFIP Treinamento Expert Leader</t>
  </si>
  <si>
    <t>TREINAMENTO In Company Qlikview Server 28/09</t>
  </si>
  <si>
    <t>AFIP - Automation Anywhere (RPA)</t>
  </si>
  <si>
    <t>AFIP - Alocação Qlik - Fev/23 a Jan/24 - 12 meses</t>
  </si>
  <si>
    <t>AFIP - Alocação Full Stack - Web (Extensão Horas Contrato)</t>
  </si>
  <si>
    <t>AFIP - RPA</t>
  </si>
  <si>
    <t>AFIP - SnowFlake</t>
  </si>
  <si>
    <t>AFIP - Alocação Qlik - Fev/25 a Jan/26 - 12 meses (Ano 3 do contrato)</t>
  </si>
  <si>
    <t>AFIP</t>
  </si>
  <si>
    <t>A10 - BO Paper - Snowflake</t>
  </si>
  <si>
    <t>A10 - BO Paper - Pyplan</t>
  </si>
  <si>
    <t>BO Paper Brasil - Projeto PyPlan</t>
  </si>
  <si>
    <t>B.O Paper</t>
  </si>
  <si>
    <t>A10 - Catupiry - Snowflake</t>
  </si>
  <si>
    <t>A10 - Catupiry - Serviços Qlik</t>
  </si>
  <si>
    <t>A10 - Catupiry - Treinamento Qlik</t>
  </si>
  <si>
    <t>A10 - Catupiry - Hyper Reports</t>
  </si>
  <si>
    <t>A10 - Catupiry - Squad BI</t>
  </si>
  <si>
    <t>A10 - Catupiry - Qlik Expand</t>
  </si>
  <si>
    <t>A10 - Catupiry - RPA</t>
  </si>
  <si>
    <t>A10 - Catupiry - Pyplan</t>
  </si>
  <si>
    <t>LATICINIOS CATUPIRY - Campanha Metanoia</t>
  </si>
  <si>
    <t>Catupiry - QDI</t>
  </si>
  <si>
    <t>A10 - Catupiry - Data Warehouse Automation SnowFlake</t>
  </si>
  <si>
    <t>Laticínios Catupiry - Conversão Subscrição - SaaS - 3Y (61.674)</t>
  </si>
  <si>
    <t>A10 Catupiry - Migração e Atualização de Versão</t>
  </si>
  <si>
    <t>RENOVAÇÃO SUBSCRIÇÃO 2025 - CATUPIRY LATICÍNIOS</t>
  </si>
  <si>
    <t>RENOVAÇÃO 2021 - CATUPIRY LATICÍNIOS</t>
  </si>
  <si>
    <t>Renovação 2020 - Catupiry</t>
  </si>
  <si>
    <t>Catupiry - Treinamento Qlik Sense Server</t>
  </si>
  <si>
    <t>RENOVAÇÃO 2019 Catupiry</t>
  </si>
  <si>
    <t>20131003_Catupiry_BcoHoras</t>
  </si>
  <si>
    <t>Licenças Adicionais Catupiry</t>
  </si>
  <si>
    <t>Treinamento Designer Avançado</t>
  </si>
  <si>
    <t>Treinamento Server e Adm Avançado</t>
  </si>
  <si>
    <t>Catupiry Treinamento Qlik Master Class</t>
  </si>
  <si>
    <t>Laticínios CATUPIRY LTDA Expand 1Upg 1Pb 15Nmd 50Doc</t>
  </si>
  <si>
    <t>Laticínios CATUPIRY LTDA Expand 15 NMD</t>
  </si>
  <si>
    <t>RENOVAÇÃO 2017 - Catupiry</t>
  </si>
  <si>
    <t>RENOVAÇÃO Catutpiry 2015 -</t>
  </si>
  <si>
    <t>RENOVAÇÃO 2014 -</t>
  </si>
  <si>
    <t>RENOVAÇÃO 2018 - Catupiry</t>
  </si>
  <si>
    <t>UPLIFT DUAL USER - Laticínios CATUPIRY LTDA</t>
  </si>
  <si>
    <t>RENOVAÇÃO 2016 - Catupiry</t>
  </si>
  <si>
    <t>Petz -Analytics</t>
  </si>
  <si>
    <t>A10 - Petz - Qlik Expand</t>
  </si>
  <si>
    <t>A10 - Petz - Hyper Reports</t>
  </si>
  <si>
    <t>Petz - Expand - CM for QSE SaaS - 12QSA - Pró Rata (63.917)</t>
  </si>
  <si>
    <t>PETZ - 05QSP + 05QSA</t>
  </si>
  <si>
    <t>PETZ - Alocação de Consultor Sênior</t>
  </si>
  <si>
    <t>QCC - PETZ</t>
  </si>
  <si>
    <t>PETZ - 30QSP + 70QSA</t>
  </si>
  <si>
    <t>PETZ - Integração Portal Web PETZ &amp; plataforma Qlik Sense.</t>
  </si>
  <si>
    <t>PETZ - Produto SaaS</t>
  </si>
  <si>
    <t>PETZ - Engenharia de Dados</t>
  </si>
  <si>
    <t>Petz - Arquitetura</t>
  </si>
  <si>
    <t>PETZ - Migração de Contrato - SaaS - MultiCloud - AddOn (Renovação)</t>
  </si>
  <si>
    <t>PETZ - Migração de Contrato - SaaS - MultiCloud - AddOn (Expand)</t>
  </si>
  <si>
    <t>A10 - PETZ - Treinamento SnowFlake Essentials</t>
  </si>
  <si>
    <t>RENOVAÇÃO SUBSCRIÇÃO 2024 - PET CENTER COMÉRCIO E PARTICIPAÇÕES S/A (PETZ)</t>
  </si>
  <si>
    <t>PETZ - licença em Subscrição Analyzer - 02 Licenças</t>
  </si>
  <si>
    <t>PETZ - licença em Subscrição Analyzer - 15 Licenaças</t>
  </si>
  <si>
    <t>A10 - Petz - R &amp; Python Dev/Prod (Instalar % Conectar Qlik Sense)</t>
  </si>
  <si>
    <t>PETZ - Expand Subscrição Analyzer</t>
  </si>
  <si>
    <t>PETZ - licença em Subscrição Analyzer</t>
  </si>
  <si>
    <t>PET CENTER MARGINAL S.A. - Expand</t>
  </si>
  <si>
    <t>A10 - Petz Expansão Subscrição Qlik Sense Analyzer</t>
  </si>
  <si>
    <t>PETZ - Expansão Subscrição Qlik Sense Analyzer</t>
  </si>
  <si>
    <t>PETZ - Expand Licenças Qlik Sense Analyzer</t>
  </si>
  <si>
    <t>PETZ - Expansão Licenças - Subscrição Analyzer</t>
  </si>
  <si>
    <t>PET CENTER MARGINAL S.A. - Expand (A-S00028284)</t>
  </si>
  <si>
    <t>PET CENTER MARGINAL S.A. - Expand (A-S00027850)</t>
  </si>
  <si>
    <t>PETZ - licença em Subscrição</t>
  </si>
  <si>
    <t>A10 - PETZ - Instalação R Server</t>
  </si>
  <si>
    <t>Pet Center Comercio e participações</t>
  </si>
  <si>
    <t>Expand - 04 QSA</t>
  </si>
  <si>
    <t>RENOVAÇÃO 2021 - PET CENTER MARGINAL - PETZ</t>
  </si>
  <si>
    <t>Petz - Expand Qlik Sense Analyzer</t>
  </si>
  <si>
    <t>Petz - Licença Qlik Sense Analyzer</t>
  </si>
  <si>
    <t>PETZ - Treinamentos Qlik Sense</t>
  </si>
  <si>
    <t>PETZ - Expand Licenças Qlik Sense Professional</t>
  </si>
  <si>
    <t>Renovação 2020 - PET CENTER</t>
  </si>
  <si>
    <t>PETZ - Expand Dual License</t>
  </si>
  <si>
    <t>PETZ - Arquitetura Redundante Qlik Sense</t>
  </si>
  <si>
    <t>A10 - PETZ - Cotação Alteryx</t>
  </si>
  <si>
    <t>PETZ - Expand Dual License - 2 Professional + 13 Analyzer</t>
  </si>
  <si>
    <t>Petz Aquisição de Licenças</t>
  </si>
  <si>
    <t>PET CENTER MARGINAL S.A. SS Uplift Dual User</t>
  </si>
  <si>
    <t>Renovação 2019 Pet Center</t>
  </si>
  <si>
    <t>Petz Treinamento Qlik Master Class</t>
  </si>
  <si>
    <t>A10 - PETZ - Banco de Horas - Sustentação (64 horas/mês)</t>
  </si>
  <si>
    <t>Petz - Expand - Publisher</t>
  </si>
  <si>
    <t>PET CENTER MARGINAL S.A. Expand 5 Nameds</t>
  </si>
  <si>
    <t>PET CENTER MARGINAL S.A. Petz Expand</t>
  </si>
  <si>
    <t>Pet Center Marcinal Expand 25Docs</t>
  </si>
  <si>
    <t>PET CENTER MARGINAL S.A.</t>
  </si>
  <si>
    <t>RENOVAÇÃO 2017 - Pet Center</t>
  </si>
  <si>
    <t>RENOVAÇÃO 2016 - Pet center</t>
  </si>
  <si>
    <t>RENOVAÇÃO 2015 - Pet Center</t>
  </si>
  <si>
    <t>CW (Vol.)%</t>
  </si>
  <si>
    <t>CW ($)%</t>
  </si>
  <si>
    <t>Eldorado Brasil Celulose S/A</t>
  </si>
  <si>
    <t>São Paulo - SP (Escritório)</t>
  </si>
  <si>
    <t>http://www.eldoradobrasil.com.br/</t>
  </si>
  <si>
    <t>https://www.linkedin.com/company/eldorado-brasil-celulose-e-papel/</t>
  </si>
  <si>
    <t>ERP SAP</t>
  </si>
  <si>
    <t>A inovação é um dos direcionadores do crescimento da Eldorado Brasil e integra nossa cultura organizacional – inovar está no DNA da empresa. Nossos ambientes de trabalho acolhem e discutem as ideias e sugestões de melhoria dos nossos colaboradores, mantendo a empresa sempre na fronteira tecnológica do setor de celulose, com vocação para a liderança.
A gestão da inovação na Eldorado é descentralizada para dar mais foco e agilidade à implementação de novas ideias, em três frentes: Operação Florestal, Operação Industrial e Logística. As melhorias e inovações implementadas nessas áreas buscam reduzir impactos ambientais, otimizar o uso de recursos naturais, aumentar a produtividade, reduzir custos operacionais, melhorar as condições de saúde e segurança de colaboradores e comunidades e, ainda, desenvolver novos produtos. Este mindset inovador garante a perenidade e o crescimento do nosso negócio, com o avanço contínuo das nossas operações no campo, na indústria e na logística.</t>
  </si>
  <si>
    <t>Carmine Siervi</t>
  </si>
  <si>
    <t>Administratrivo</t>
  </si>
  <si>
    <t>carmine.siervi@eldoradobrasil.com.br</t>
  </si>
  <si>
    <t>(11) 2505-0200</t>
  </si>
  <si>
    <t>https://www.linkedin.com/in/carmine-de-siervi-675953a0/</t>
  </si>
  <si>
    <t>Fernando Storchi</t>
  </si>
  <si>
    <t>fernando.storchi@eldoradobrasil.com.br</t>
  </si>
  <si>
    <t>https://www.linkedin.com/in/fernando-storchi-6448404/</t>
  </si>
  <si>
    <t>Joao Silva</t>
  </si>
  <si>
    <t>Diretor de vendas</t>
  </si>
  <si>
    <t>joao.silva@eldoradobrasil.com.br</t>
  </si>
  <si>
    <t>https://www.linkedin.com/in/joao-alberto-silva-615183158/</t>
  </si>
  <si>
    <t>Marcius Braga</t>
  </si>
  <si>
    <t>Transportation Director</t>
  </si>
  <si>
    <t>marcius.braga@eldoradobrasil.com.br</t>
  </si>
  <si>
    <t>https://www.linkedin.com/in/marcius-braga-54a81b14/</t>
  </si>
  <si>
    <t>Luciano Aleixo</t>
  </si>
  <si>
    <t xml:space="preserve">Gerente de Tecnologia da Informação
</t>
  </si>
  <si>
    <t>luciano.aleixo@eldoradobrasil.com.br</t>
  </si>
  <si>
    <t>https://www.linkedin.com/in/lucianoaleixo/?originalSubdomain=br</t>
  </si>
  <si>
    <t>Lilian Salles</t>
  </si>
  <si>
    <t xml:space="preserve">Coordenadora BI &amp; Analytics
</t>
  </si>
  <si>
    <t>lilian.salles@eldoradobrasil.com.br</t>
  </si>
  <si>
    <t>11-995605914</t>
  </si>
  <si>
    <t>https://www.linkedin.com/in/lilian-salles-44b8b553/</t>
  </si>
  <si>
    <t>Luiz Roberto Fernandes De Araujo</t>
  </si>
  <si>
    <t>Gerente de Inovação e Tecnologia</t>
  </si>
  <si>
    <t>luiz.araujo@eldoradobrasil.com.br</t>
  </si>
  <si>
    <t>https://www.linkedin.com/in/luiz-roberto-fernandes-de-araujo-905676153/overlay/about-this-profile/</t>
  </si>
  <si>
    <t>Elcio Trajano</t>
  </si>
  <si>
    <t>elcio.trajano@eldoradobrasil.com.br</t>
  </si>
  <si>
    <t>https://www.linkedin.com/in/elciotrajano/</t>
  </si>
  <si>
    <t>Douglas Faustino de Paula</t>
  </si>
  <si>
    <t xml:space="preserve">Especialista em Sistemas </t>
  </si>
  <si>
    <t>douglas.faustino@eldoradobrasil.com.br</t>
  </si>
  <si>
    <t>11-918491448</t>
  </si>
  <si>
    <t>https://www.linkedin.com/in/douglas-faustino-de-paula-23829157/</t>
  </si>
  <si>
    <t>Danilo Domingues</t>
  </si>
  <si>
    <t>Senior Supply BP</t>
  </si>
  <si>
    <t>danilo.domingues@eldoradobrasil.com.br</t>
  </si>
  <si>
    <t>67-99904-7281</t>
  </si>
  <si>
    <t>https://www.linkedin.com/in/danilo-domingues-a2a5267/</t>
  </si>
  <si>
    <t>QTD</t>
  </si>
  <si>
    <t>Lab e/ou Innovation</t>
  </si>
  <si>
    <t>ABM Program</t>
  </si>
  <si>
    <t>4DWorkshops</t>
  </si>
  <si>
    <t>Case Ops, Data Driven Customer, LAB de automação</t>
  </si>
  <si>
    <t>Case Ops</t>
  </si>
  <si>
    <t>4DWorkshops, LAB</t>
  </si>
  <si>
    <t>LAB (BI) Innovation (Data center), Data Driven Customer (RPA)</t>
  </si>
  <si>
    <t>https://in1.sugarondemand.com/#Accounts/88bd2230-ec3c-11ec-854a-022c40d974e6</t>
  </si>
  <si>
    <t>Eldorado</t>
  </si>
  <si>
    <t>A10 School -Treinamento Qlik - Eldorado Brasil</t>
  </si>
  <si>
    <t>A10 - Eldorado Brasil - Consultoria / Serviços</t>
  </si>
  <si>
    <t>A10 - Eldorado - Migração Qlik</t>
  </si>
  <si>
    <t>A10 - Eldorado - Consultoria / Serviços – Projetos Qlik</t>
  </si>
  <si>
    <t>R$</t>
  </si>
  <si>
    <t>Para criar pautas de conteúdo eficazes para as contas target em nossas ações de ABX, considerando a expansão para outros departamentos além de TI, como RH, Operações, Financeiro, Vendas, Marketing e Inovação, é importante fazer perguntas detalhadas que nos ajudem a entender profundamente cada departamento, suas necessidades, desafios, e como nossa solução pode se alinhar a eles. Aqui estão 20 perguntas que podem ser úteis para este propósito:</t>
  </si>
  <si>
    <t>Quais são os principais desafios enfrentados pelo departamento de RH na atração e retenção de talentos?</t>
  </si>
  <si>
    <t>Como o departamento de Operações está adaptando suas estratégias para melhorar a eficiência e reduzir custos na atual conjuntura econômica?</t>
  </si>
  <si>
    <t>Quais ferramentas financeiras e abordagens o departamento Financeiro está adotando para otimizar a gestão de fluxo de caixa e investimentos?</t>
  </si>
  <si>
    <t>Como o departamento de Vendas está respondendo às mudanças no comportamento do consumidor e nas tendências de mercado?</t>
  </si>
  <si>
    <t>De que maneira o departamento de Marketing está integrando novas tecnologias e plataformas para melhorar o engajamento e a aquisição de clientes?</t>
  </si>
  <si>
    <t>Quais são os principais focos de inovação para o departamento de Inovação e como eles estão alinhados com os objetivos gerais da empresa?</t>
  </si>
  <si>
    <t>Como o departamento de RH está utilizando dados e analytics para aprimorar suas estratégias de gestão de pessoas?</t>
  </si>
  <si>
    <t>De que forma o departamento de Operações está lidando com os desafios da cadeia de suprimentos global e quais estratégias estão sendo implementadas para mitigar riscos?</t>
  </si>
  <si>
    <t>Quais são as estratégias do departamento Financeiro para garantir a conformidade regulatória e mitigar riscos financeiros?</t>
  </si>
  <si>
    <t>Como o departamento de Vendas está utilizando tecnologia para aprimorar a experiência do cliente e aumentar as vendas?</t>
  </si>
  <si>
    <t>De que maneira o departamento de Marketing está medindo o ROI de suas campanhas e ajustando estratégias com base em insights de dados?</t>
  </si>
  <si>
    <t>Quais são os principais projetos de inovação em andamento no departamento de Inovação e como eles contribuem para a vantagem competitiva da empresa?</t>
  </si>
  <si>
    <t>Como o departamento de RH está abordando a diversidade e inclusão no local de trabalho?</t>
  </si>
  <si>
    <t>Quais tecnologias emergentes o departamento de Operações está explorando para otimizar processos?</t>
  </si>
  <si>
    <t>De que forma o departamento Financeiro está se adaptando às mudanças nas regulamentações fiscais e financeiras?</t>
  </si>
  <si>
    <t>Como o departamento de Vendas está integrando soluções de inteligência artificial para personalizar abordagens de vendas?</t>
  </si>
  <si>
    <t>De que maneira o departamento de Marketing está utilizando conteúdo gerado pelo usuário e mídias sociais para engajar o público-alvo?</t>
  </si>
  <si>
    <t>Quais são os principais desafios enfrentados pelo departamento de Inovação na implementação de novas ideias e como eles estão sendo superados?</t>
  </si>
  <si>
    <t>Como o departamento de RH está utilizando plataformas de aprendizado online para promover o desenvolvimento contínuo dos funcionários?</t>
  </si>
  <si>
    <t>Quais são as principais estratégias do departamento de Operações para promover a sustentabilidade e reduzir o impacto ambiental das operações da empresa?</t>
  </si>
  <si>
    <t>Empresa</t>
  </si>
  <si>
    <t>Explorar o programa INLab para abordar a inovação em treinamentos e desenvolvimento de funcionários.</t>
  </si>
  <si>
    <t>Utilizar o CaseOps para demonstrar o impacto da tecnologia em comunicação na eficiência operacional.</t>
  </si>
  <si>
    <t>Aplicar o Data Driven Customer para aperfeiçoar a gestão financeira e previsões de despesas.</t>
  </si>
  <si>
    <t>Integrar 4DWorkshops para capacitar a equipe de vendas no uso de dados para personalizar propostas.</t>
  </si>
  <si>
    <t>Desenvolver estratégias de ABX utilizando o CaseOps para criar campanhas de marketing altamente direcionadas.</t>
  </si>
  <si>
    <t>Usar o INLab para fomentar soluções disruptivas no setor de comunicações.</t>
  </si>
  <si>
    <t>Unimed Seguros</t>
  </si>
  <si>
    <t>https://www.segurosunimed.com.br/</t>
  </si>
  <si>
    <t>https://www.linkedin.com/company/segurosunimed/</t>
  </si>
  <si>
    <t>DataRobot, DevOps, Migração Qs para PBI</t>
  </si>
  <si>
    <t>Sistemas legados</t>
  </si>
  <si>
    <t>Manutenção do ambiente Qlik e migração para Qlik SaaS / Apoio na cosntrução do LakeHouse / Aumento da nossa equipe de consultores / Aumentar credibilidade com o Wilson / Migrando para PBI / criando lake house com AWS</t>
  </si>
  <si>
    <t>Wilson Leal</t>
  </si>
  <si>
    <t>Daiane Maciel</t>
  </si>
  <si>
    <t>daiane.maciel@segurosunimed.com.br</t>
  </si>
  <si>
    <t>11 982711523</t>
  </si>
  <si>
    <t>Julio Cesar Santos Gimenes</t>
  </si>
  <si>
    <t>Analista de Sistemas</t>
  </si>
  <si>
    <t>julio.gimenes@segurosunimed.com.br</t>
  </si>
  <si>
    <t>11 987718838</t>
  </si>
  <si>
    <t>CNU</t>
  </si>
  <si>
    <t>Saude</t>
  </si>
  <si>
    <t>https://www.centralnacionalunimed.com.br/</t>
  </si>
  <si>
    <t>https://www.linkedin.com/company/unimednacional/</t>
  </si>
  <si>
    <t>Sales Force e legados</t>
  </si>
  <si>
    <t>Aumentar nossa equipe de consultores / Serviços H20 - RFP prevista para S2 / Expansão de outras soluçôes</t>
  </si>
  <si>
    <t>Humberto Takaharu Shida</t>
  </si>
  <si>
    <t>Gabriel Vernalha</t>
  </si>
  <si>
    <t>Healthcare Analytics| Data Driven Strategy </t>
  </si>
  <si>
    <t xml:space="preserve">gabriel.ribeiro@unimednacional.coop.br </t>
  </si>
  <si>
    <t>linkedin.com/in/gvribeiro</t>
  </si>
  <si>
    <t>(11) 99939-8474</t>
  </si>
  <si>
    <t>wilson.leal@segurosunimed.com.br</t>
  </si>
  <si>
    <t>https://www.linkedin.com/in/wilsonleal/</t>
  </si>
  <si>
    <t>https://www.linkedin.com/in/daiane-maciel/</t>
  </si>
  <si>
    <t>https://www.linkedin.com/in/julio-cesar-gimenes-5a7aa878/</t>
  </si>
  <si>
    <t>humberto.shida@centralnacionalunimed.com.br</t>
  </si>
  <si>
    <t>https://www.linkedin.com/in/humberto-takaharu-shida-090387/</t>
  </si>
  <si>
    <t>11 993137047</t>
  </si>
  <si>
    <t>https://in1.sugarondemand.com/#Accounts/8375b0ea-fd33-11e8-aecf-069e4f790264</t>
  </si>
  <si>
    <t>https://in1.sugarondemand.com/#Accounts/5c0f3896-cef8-11ed-bab6-02ae981fbade</t>
  </si>
  <si>
    <t>Unimed Seguros | CRM</t>
  </si>
  <si>
    <t>Unimed Seguros Treinamento Qlik Master Class</t>
  </si>
  <si>
    <t>Unimed Seguros Saúde S/A SERVICO IN</t>
  </si>
  <si>
    <t>Unimed Seguros Saúde S/A Expand ID 0698310</t>
  </si>
  <si>
    <t>Unimed Seguros -Centro de Custo (CR): 4012800</t>
  </si>
  <si>
    <t>Unimed Seguros -Centro de Custo (CR): 4012500</t>
  </si>
  <si>
    <t>Unimed Seguros - Transição CSTreina</t>
  </si>
  <si>
    <t>Unimed Seguros - Licenças QLIK (Expand)</t>
  </si>
  <si>
    <t>Unimed Seguros - Expand Alocação 03 Consultores</t>
  </si>
  <si>
    <t>Unimed Seguros - Expand</t>
  </si>
  <si>
    <t>Unimed Seguros - Banco de Horas de Consultoria 2020</t>
  </si>
  <si>
    <t>Unimed Seguros - Alocação Diego Andrade</t>
  </si>
  <si>
    <t>Unimed Seguros - Alocação Complementar Abril a Junho/2024</t>
  </si>
  <si>
    <t>Unimed Seguros - Alocação - Julho/23 a Dezembro/23 (19 Consultores) - Parte I - TERMO ADITIVO 013 - CONTRATO N° 2017/1748</t>
  </si>
  <si>
    <t>Unimed Seguros - Alocação - 18 Consultores de Janeiro a Junho/2023 - TERMO ADITIVO 012 - CONTRATO N° 2017_1748</t>
  </si>
  <si>
    <t>Unimed Seguros - Alocação - Jul/24 a Dez/24 (Parte IV)</t>
  </si>
  <si>
    <t>Unimed Seguros - Alocação - Jan/24 a Junho/24 (Parte III - Complemento 64.870)</t>
  </si>
  <si>
    <t>Unimed Seguros - Alocação - Jan/24 a Junho/24 (Parte II - Complemento 63581)</t>
  </si>
  <si>
    <t>Unimed Seguradora S/A Test Site ID 0734600</t>
  </si>
  <si>
    <t>Unimed Seguradora S/A Expand 100 analyzer ID 0812972</t>
  </si>
  <si>
    <t>Unimed Seguradora S/A - Expand</t>
  </si>
  <si>
    <t>RENOVAÇÃO 2023 - UNIMED SEGURO SAÚDE - Seguradora</t>
  </si>
  <si>
    <t>RENOVAÇÃO 2022 - UNIMED SEGURO SAÚDE - Seguradora</t>
  </si>
  <si>
    <t>RENOVAÇÃO 2021 - UNIMED SEGURO SAÚDE - Seguradora</t>
  </si>
  <si>
    <t>Renovação 2020 - Unimed Seguradora</t>
  </si>
  <si>
    <t>Renovação 2019 - Unimed Seguradora</t>
  </si>
  <si>
    <t>RENOVAÇÃO 2018 - Unimed Seguro Saúde</t>
  </si>
  <si>
    <t>A10 - Unimed Seguros - TRE Customizado</t>
  </si>
  <si>
    <t>A10 - Unimed Seguros - Sustentação Ambiente Qlik Sense on AWS</t>
  </si>
  <si>
    <t>A10 - Unimed Seguros - Recuperação de ambiente Qlik Sense (Incidente Tivit)</t>
  </si>
  <si>
    <t>A10 - Unimed Seguros - Migração AWS</t>
  </si>
  <si>
    <t>A10 - Unimed Seguros - Banco de Horas [Centro de Custo CR 4010700]</t>
  </si>
  <si>
    <t>A10 - Unimed Seguros - Banco de Horas [CA: 1080001 / CR: 7181]</t>
  </si>
  <si>
    <t>A10 - Unimed Seguros - Banco de Horas - Centro de Custo: CR 180001/CA 5143</t>
  </si>
  <si>
    <t>A10 - Unimed Seguros - Banco de Horas - Centro de Custo1080001 (Março 2019)</t>
  </si>
  <si>
    <t>A10 - Unimed Seguros - Banco de Horas - Centro de Custo CR 4020200</t>
  </si>
  <si>
    <t>A10 - Unimed Seguros - Banco de Horas - Centro de Custo CR 1071200</t>
  </si>
  <si>
    <t>A10 - Unimed Seguros - Banco de Horas - Centro de Custo Aporte CR 4012500</t>
  </si>
  <si>
    <t>A10 - Unimed Seguros - Banco de Horas - Centro de Custo 4020200 - Anual</t>
  </si>
  <si>
    <t>A10 - Unimed Seguros - Banco de Horas - Centro de Custo 4020200 (Fev 2019)</t>
  </si>
  <si>
    <t>A10 - Unimed Seguros - Banco de Horas - Centro de Custo 4020200 ( Junho 2019)</t>
  </si>
  <si>
    <t>A10 - Unimed Seguros - Banco de Horas - Centro de Custo 4020200</t>
  </si>
  <si>
    <t>A10 - Unimed Seguros - Banco de Horas - Centro de Custo 4012500 (Março 2019)</t>
  </si>
  <si>
    <t>A10 - Unimed Seguros - Banco de Horas - Centro de Custo 4012500</t>
  </si>
  <si>
    <t>A10 - Unimed Seguros - Banco de Horas - Centro de Custo 2032100</t>
  </si>
  <si>
    <t>A10 - Unimed Seguros - Banco de Horas - Centro de Custo 2030100 - Anual</t>
  </si>
  <si>
    <t>A10 - Unimed Seguros - Banco de Horas - Centro de Custo 2030100 (Março 2019)</t>
  </si>
  <si>
    <t>A10 - Unimed Seguros - Banco de Horas - Centro de Custo 2030100 (Maio 2019)</t>
  </si>
  <si>
    <t>A10 - Unimed Seguros - Banco de Horas - Centro de Custo 2030100 (Fev 2019)</t>
  </si>
  <si>
    <t>A10 - Unimed Seguros - Banco de Horas - Centro de Custo 2030100 (Abril 2019)</t>
  </si>
  <si>
    <t>A10 - Unimed Seguros - Banco de Horas - Centro de Custo 2030100</t>
  </si>
  <si>
    <t>A10 - Unimed Seguros - Banco de Horas - Centro de Custo 18001 / CA 7149 - Anual</t>
  </si>
  <si>
    <t>A10 - Unimed Seguros - Banco de Horas - Centro de Custo 18001 / CA 7149</t>
  </si>
  <si>
    <t>A10 - Unimed Seguros - Banco de Horas - Centro de Custo 180001 / CA T7149</t>
  </si>
  <si>
    <t>A10 - Unimed Seguros - Banco de Horas - Centro de Custo 1080001 / CA 7156</t>
  </si>
  <si>
    <t>A10 - Unimed Seguros - Banco de Horas - Centro de Custo 1080001 (Fev 2019)</t>
  </si>
  <si>
    <t>A10 - Unimed Seguros - Banco de Horas - Centro de Custo 1080001</t>
  </si>
  <si>
    <t>A10 - Unimed Seguros - Banco de Horas - Centro de Custo 10800001 (Junho 2019)</t>
  </si>
  <si>
    <t>A10 - Unimed Seguros - Banco de Horas - Centro de Custo - CR 2030100</t>
  </si>
  <si>
    <t>A10 - Unimed Seguros - Banco de Horas - Centro de Custo (CR): 4020200</t>
  </si>
  <si>
    <t>A10 - Unimed Seguros - Banco de Horas - Centro de Custo (CR): 4012500</t>
  </si>
  <si>
    <t>A10 - Unimed Seguros - Banco de Horas - Centro de Custo (CR) 2011200</t>
  </si>
  <si>
    <t>A10 - Unimed Seguros - Banco de Horas - 2600 hs</t>
  </si>
  <si>
    <t>A10 - Unimed Seguros - Banco de Horas - 1500 hs</t>
  </si>
  <si>
    <t>A10 - Unimed Seguros - Banco de Horas - 1440 hs</t>
  </si>
  <si>
    <t>A10 - Unimed Seguros - Banco de Horas - 1280 hs</t>
  </si>
  <si>
    <t>A10 - Unimed Seguros - Banco de Horas - 1200 hs</t>
  </si>
  <si>
    <t>A10 - Unimed Seguros - Banco de Horas - 1200 horas</t>
  </si>
  <si>
    <t>A10 - Unimed Seguros - Banco de Horas - Centro de Custo 4020200 (Março 2019)</t>
  </si>
  <si>
    <t>A10 - Unimed Seguros - Banco de Horas</t>
  </si>
  <si>
    <t>A10 - Unimed Seguros - Automação VBA</t>
  </si>
  <si>
    <t>A10 - Unimed Seguros - Analise (Health Check) de Infraestrutura Ambiente Qlik</t>
  </si>
  <si>
    <t>A10 - Unimed Seguros - QA Ambiente - Projeto Migração</t>
  </si>
  <si>
    <t>UNIMED DO BRASIL - Consultoria Qlik</t>
  </si>
  <si>
    <t>Unimed do Brasil - Consultoria DataRobot</t>
  </si>
  <si>
    <t>Unimed Brasil - Migração para Qlik Cloud</t>
  </si>
  <si>
    <t>Receptividade</t>
  </si>
  <si>
    <t>Acessibilidade</t>
  </si>
  <si>
    <t>Conta</t>
  </si>
  <si>
    <t>CCR</t>
  </si>
  <si>
    <t>Infraestrura para mobilidade focada em Concessóes</t>
  </si>
  <si>
    <t>www.grupoccr.com.br</t>
  </si>
  <si>
    <t>https://www.linkedin.com/company/grupoccroficial/</t>
  </si>
  <si>
    <t>Termos não publicado</t>
  </si>
  <si>
    <t>Expandir nosso squad na area de Labs e outras / Poder entregar novas soluções.</t>
  </si>
  <si>
    <t>Miguel Setas</t>
  </si>
  <si>
    <t>miguel.setas@grupoccr.com.br</t>
  </si>
  <si>
    <t>https://www.linkedin.com/in/miguel-setas/</t>
  </si>
  <si>
    <t>Ivan Margraf Jr</t>
  </si>
  <si>
    <t>Gerente Executivo de TI</t>
  </si>
  <si>
    <t>ivan.margraf2grupoccr.com.br</t>
  </si>
  <si>
    <t>(4) Ivan Margraf Jr. | LinkedIn</t>
  </si>
  <si>
    <t>Glauber Souza</t>
  </si>
  <si>
    <t>glauber.souza@grupoccr.com.br</t>
  </si>
  <si>
    <t>(4) Glauber Souza | LinkedIn</t>
  </si>
  <si>
    <t>Cristiane Gomes</t>
  </si>
  <si>
    <t>CIO/ CTO</t>
  </si>
  <si>
    <t xml:space="preserve">cristiane.gomes@grupoccr.com.br </t>
  </si>
  <si>
    <t>(11) 996390360</t>
  </si>
  <si>
    <t>(4) Cristiane Gomes, MSc | LinkedIn</t>
  </si>
  <si>
    <t>Hiram Costa Silva</t>
  </si>
  <si>
    <t>CCR Labs</t>
  </si>
  <si>
    <t>Gerente de Produtos</t>
  </si>
  <si>
    <t>hiram.oliveira@grupoccr.com.br</t>
  </si>
  <si>
    <t>(79) 991319668</t>
  </si>
  <si>
    <t>(2) Hiram Costa-Silva, PMI-PMP/ACP, PSM II/PSPO II | LinkedIn</t>
  </si>
  <si>
    <t>Marcelo Franceschi de Bianchi</t>
  </si>
  <si>
    <t>Arquiteto de ML</t>
  </si>
  <si>
    <t>marcelo.bianchi@grupoccr.com.br</t>
  </si>
  <si>
    <t>(2) Marcelo Franceschi Bianchi, MSc Eng | LinkedIn</t>
  </si>
  <si>
    <t>Gilvandro Neto</t>
  </si>
  <si>
    <t>Gerente de Dados</t>
  </si>
  <si>
    <t>gilvandro.neto@grupoccr.com.br</t>
  </si>
  <si>
    <t>(4) Gilvandro Neto | LinkedIn</t>
  </si>
  <si>
    <t>Marcus Vinicius Montezano</t>
  </si>
  <si>
    <t>Gerente de Inivação e Tecnologia</t>
  </si>
  <si>
    <t>marcus.montezano@grupoccr.com.br</t>
  </si>
  <si>
    <t>(4) Marcus Vinícius M. Montezano | LinkedIn</t>
  </si>
  <si>
    <t>Willian Gomes da Silva</t>
  </si>
  <si>
    <t>willian.gsilva@grupoccr.com.br</t>
  </si>
  <si>
    <t>(11) 915951783</t>
  </si>
  <si>
    <t>Sergio Ozorio de Carvalho</t>
  </si>
  <si>
    <t>Especialista em Ciencia de Dados</t>
  </si>
  <si>
    <t>sergio.carvalho@grupoccr.com.br</t>
  </si>
  <si>
    <t>(4) Sérgio Carvalho | LinkedIn</t>
  </si>
  <si>
    <t>Alessandra Catalão Morgado</t>
  </si>
  <si>
    <t xml:space="preserve">alessandra.catalao@grupoccr.com.br </t>
  </si>
  <si>
    <t>(4) Alessandra Catalão | LinkedIn</t>
  </si>
  <si>
    <t>Gustavo Gonçalves do Carmo</t>
  </si>
  <si>
    <t>Cia de Concessões Rodoviarias</t>
  </si>
  <si>
    <t>gustavo.carmo@grupoccr.com.br</t>
  </si>
  <si>
    <t>(4) Gustavo Carmo | LinkedIn</t>
  </si>
  <si>
    <t>Mobilidade</t>
  </si>
  <si>
    <t>https://in1.sugarondemand.com/#Accounts/9338871e-fd33-11e8-848c-069e4f790264</t>
  </si>
  <si>
    <t>RENOVAÇÃO 2020 - CCR S/A</t>
  </si>
  <si>
    <t>Renovação 2019 - CCR Group</t>
  </si>
  <si>
    <t>RENOVAÇÃO 2018 - CCR</t>
  </si>
  <si>
    <t>RENOVAÇÃO 2017 - CCR</t>
  </si>
  <si>
    <t>RENOVAÇÃO 2016 - CCR</t>
  </si>
  <si>
    <t>RENOVAÇÃO 2015 - CCR</t>
  </si>
  <si>
    <t>Renovação 2014 CCR</t>
  </si>
  <si>
    <t>RENOVAÇÃO 2014 - CCR</t>
  </si>
  <si>
    <t>RENOVAÇÃO 2013-2016 - NPrinting</t>
  </si>
  <si>
    <t>RENOVAÇÃO 2013 - CCR</t>
  </si>
  <si>
    <t>Relatório Gerencial Planejamento Engelog</t>
  </si>
  <si>
    <t>Projeto: Indicadores de Pista Automática, Passagens Manuais e Desempenho dos TIVs</t>
  </si>
  <si>
    <t>Melhorias KCOR_Carga Full</t>
  </si>
  <si>
    <t>LINHA 4 DO METRO DE SP</t>
  </si>
  <si>
    <t>GRP Fiscal III</t>
  </si>
  <si>
    <t>Especificação ANTT e SM Melhorias Artesp</t>
  </si>
  <si>
    <t>CCR Time Material Adequação Plano de Contas</t>
  </si>
  <si>
    <t>CCR Sustentabilidade</t>
  </si>
  <si>
    <t>CCR Rodonorte Adequações KCOR</t>
  </si>
  <si>
    <t>CCR RodoNorte</t>
  </si>
  <si>
    <t>CCR Projeto ArrecadaçãoRodovias Federais</t>
  </si>
  <si>
    <t>CCR Projeto Arrecadação</t>
  </si>
  <si>
    <t>CCR Melhorias SIG Arrecadação II</t>
  </si>
  <si>
    <t>CCR Melhorias SIG Arrecadação</t>
  </si>
  <si>
    <t>CCR LPU 13416/20 - BH AIRPORT</t>
  </si>
  <si>
    <t>CCR Indicadores Genéricos Sustentabilidade</t>
  </si>
  <si>
    <t>CCR Indicadores Genéricos CCR</t>
  </si>
  <si>
    <t>CCR Indicadores Frotas</t>
  </si>
  <si>
    <t>CCR Indicadores de Desempenho I (Engeman e Service Desk)</t>
  </si>
  <si>
    <t>CCR GRP Fiscal II</t>
  </si>
  <si>
    <t>CCR GRP Fiscal</t>
  </si>
  <si>
    <t>CCR Group Publisher</t>
  </si>
  <si>
    <t>CCR Group Linha 5 e 17 Metro SP ID 0723063</t>
  </si>
  <si>
    <t>CCR Group Licenças adicionais</t>
  </si>
  <si>
    <t>CCR Group Land ID 0811362</t>
  </si>
  <si>
    <t>CCR Group Expand Licenses</t>
  </si>
  <si>
    <t>CCR Group Expand ID 0796820</t>
  </si>
  <si>
    <t>CCR Group Expand 30D BH Air</t>
  </si>
  <si>
    <t>CCR Group 05 Nameds ID 0748158</t>
  </si>
  <si>
    <t>CCR Group - SO7759 - Expand - 30 Nameds</t>
  </si>
  <si>
    <t>CCR Frotas</t>
  </si>
  <si>
    <t>CCR Engelog_Contratações</t>
  </si>
  <si>
    <t>CCR Controle do Troco</t>
  </si>
  <si>
    <t>CCR Consultoria Novo Servidor</t>
  </si>
  <si>
    <t>CCR BH Airport Fase II Alocação de 600 horas</t>
  </si>
  <si>
    <t>CCR BH Airport Alocação de Horas 2 meses</t>
  </si>
  <si>
    <t>CCR Arrecadação Geral</t>
  </si>
  <si>
    <t>CCR Alocação 600 hs Desenvolvimento Relatórios Arrecadação/Eixos Suspensos</t>
  </si>
  <si>
    <t>CCR 201506 Serviços QA de Ambiente</t>
  </si>
  <si>
    <t>CCR -Governança de Dados</t>
  </si>
  <si>
    <t>CCR - LPU Scrum Master</t>
  </si>
  <si>
    <t>CCR - LPU Consultoria Inteligência de Dados</t>
  </si>
  <si>
    <t>CCR - LPU Arquitetos</t>
  </si>
  <si>
    <t>CCR - LPU 11065/20</t>
  </si>
  <si>
    <t>CCR - Atualização de versão</t>
  </si>
  <si>
    <t>CCR - Alocação Maick - Agosto/22 a Julho/23</t>
  </si>
  <si>
    <t>CCR - Alocação Engenheiro de Dados - 2024</t>
  </si>
  <si>
    <t>CCR - Alocação Eng de Dados 11/03/2024 a 31/12/2024 - Isaque Ramos</t>
  </si>
  <si>
    <t>CCR - Alocação Eng Dados (Mar/23 a Dez/23)</t>
  </si>
  <si>
    <t>CCR - Alocação Eng Dados (21/04/2023 a 31/12/2023)</t>
  </si>
  <si>
    <t>CCR - Alocação Arquiteto de Dados - 2024</t>
  </si>
  <si>
    <t>CCR - Alocação Arquiteto de Dados (Março a Dezembro/2023</t>
  </si>
  <si>
    <t>CCR LPU 13161/20 - Squad de Dados</t>
  </si>
  <si>
    <t>CCR LPU 12997/20 - Plataforma de Inteligencia</t>
  </si>
  <si>
    <t>CCR LPU 11820/20 - Power BI</t>
  </si>
  <si>
    <t>CCR LPU 11279/20 - Plataforma de Inteligencia</t>
  </si>
  <si>
    <t>A10 - CCR EngelogTec - Jornada de Dados</t>
  </si>
  <si>
    <t>A10 - CCR - Consultoria QlikView SO_9619_19</t>
  </si>
  <si>
    <t>201508 Protótipo de Dashboards BI Arrecadação</t>
  </si>
  <si>
    <t>Dificuldade em atrair talentos técnicos, altas taxas de rotatividade, necessidade de desenvolvimento contínuo. Programa: INLab, usando analytics para aprimorar retenção e desenvolvimento.</t>
  </si>
  <si>
    <t xml:space="preserve"> Desafios na integração de sistemas, ineficiências em processos, busca por sustentabilidade operacional. Programa: 4D Workshops, otimizando processos com melhores práticas.</t>
  </si>
  <si>
    <t>Gestão complexa de custos, necessidade de previsões precisas, desafios de compliance. Programa: Data Driven Customer, aplicando BI para insights financeiros.</t>
  </si>
  <si>
    <t>Dificuldade na personalização de ofertas, necessidade de adaptação às tendências de mercado, otimização do ciclo de vendas. Programa: INnovation Program, integrando tecnologias e dados para melhorar vendas.</t>
  </si>
  <si>
    <t>Medir o ROI das campanhas desafiador, segmentação ineficaz, engajamento do cliente baixo. Programa: Case Ops, replicando estratégias bem-sucedidas e otimizando a segmentação.</t>
  </si>
  <si>
    <t>Identificação lenta de oportunidades de mercado, prototipagem demorada, integração limitada de feedback do cliente. Programa: 4D Workshops, agilizando P&amp;D e incentivando a inovação.</t>
  </si>
  <si>
    <t>Fit Insur</t>
  </si>
  <si>
    <t>Desafios em atrair profissionais com expertise em insurtech, altas taxas de rotatividade em um mercado competitivo, necessidade de atualização contínua em novas tecnologias de seguros. Programa: INLab, para criar programas de treinamento e desenvolvimento que utilizem analytics para identificar e preencher lacunas de competências, incentivando a retenção.</t>
  </si>
  <si>
    <t>Complexidade na integração de novas tecnologias insurtech, eficiência na gestão de sinistros e necessidade de operações sustentáveis. Programa: 4D Workshops, aplicando melhores práticas operacionais e inovadoras para superar desafios técnicos e melhorar a eficiência.</t>
  </si>
  <si>
    <t>Gerenciamento de riscos em um ambiente de seguros volátil, precisão na previsão financeira e desafios de compliance regulatório. Programa: Data Driven Customer, para implementar soluções de BI que ajudem na análise de riscos e otimização financeira.</t>
  </si>
  <si>
    <t>Adaptação às mudanças rápidas do mercado de seguros, personalização de ofertas de seguros e otimização do ciclo de vendas. Programa: INnovation Program, integrando soluções de análise de dados para desenvolver estratégias de vendas mais eficazes e personalizadas.</t>
  </si>
  <si>
    <t xml:space="preserve">Dificuldades em medir o ROI de campanhas de seguros, segmentação ineficaz do mercado e baixo engajamento do cliente. Programa: Case Ops, utilizando análise de dados para otimizar campanhas e melhorar a segmentação e o engajamento.
</t>
  </si>
  <si>
    <t>Necessidade de inovação constante em produtos de seguros, rápida prototipagem de novas ofertas e integração de feedback do cliente no desenvolvimento de produtos. Programa: 4D Workshops, promovendo um ambiente de inovação colaborativa para acelerar o desenvolvimento de novos produtos de seguros.</t>
  </si>
  <si>
    <t>Dificuldades na atração de talentos especializados em cabos e sistemas, retenção de funcionários em um mercado competitivo, desenvolvimento de competências técnicas avançadas. Programa: INLab, para usar análise de dados e identificar lacunas de competências e criar programas de treinamento personalizados.</t>
  </si>
  <si>
    <t>Prysmian Group</t>
  </si>
  <si>
    <t>Desafios na otimização da produção de cabos, eficiência na gestão da cadeia de suprimentos, implementação de práticas sustentáveis na manufatura. Programa: 4D Workshops, aplicando inovações operacionais e sustentabilidade com base em dados do setor.</t>
  </si>
  <si>
    <t>Adaptação às necessidades variadas do mercado global, personalização eficaz das soluções de cabos, aceleração do ciclo de vendas para produtos inovadores. Programa: INnovation Program, integrando soluções tecnológicas avançadas para aprimorar estratégias de vendas.</t>
  </si>
  <si>
    <t xml:space="preserve"> Manutenção da liderança em tecnologia de cabos e sistemas, rápida integração de novas tecnologias, colaboração efetiva para o desenvolvimento de soluções inovadoras. Programa: 4D Workshops, promovendo um ambiente de inovação colaborativa e agilizando o processo de P&amp;D.</t>
  </si>
  <si>
    <t>Complexidade na gestão de custos de materiais, necessidade de análises financeiras precisas para grandes projetos, desafios de compliance em um ambiente regulado. Programa: Data Driven Customer, oferecendo insights financeiros detalhados através de BI e analytics.</t>
  </si>
  <si>
    <t>Dificuldades em destacar a inovação em um mercado tradicional, eficácia na medição do ROI de campanhas internacionais, engajamento de clientes em mercados diversificados. Programa: Case Ops, replicando estratégias de marketing bem-sucedidas e adaptando-as para atender às necessidades globais.</t>
  </si>
  <si>
    <t>CAMPARI</t>
  </si>
  <si>
    <t>https://www.campari.com/pt-br/</t>
  </si>
  <si>
    <t>https://www.linkedin.com/company/campari-group/</t>
  </si>
  <si>
    <t>Alinhamento interno</t>
  </si>
  <si>
    <t>ok</t>
  </si>
  <si>
    <t>Não publicado</t>
  </si>
  <si>
    <t>SAP HANA</t>
  </si>
  <si>
    <t>Cintia Cerqueira</t>
  </si>
  <si>
    <t>Planejamento Tributário</t>
  </si>
  <si>
    <t>Coordenadora de Planejamento Tributário</t>
  </si>
  <si>
    <t xml:space="preserve">Cintia.Cerqueira@campari.com  </t>
  </si>
  <si>
    <t>11 97231-1283</t>
  </si>
  <si>
    <t>Marcio Lupianes</t>
  </si>
  <si>
    <t>IT Country Manager South America at Gruppo Campari</t>
  </si>
  <si>
    <t>marcio.lupianes@campari.com</t>
  </si>
  <si>
    <t>https://www.linkedin.com/in/marcio-lupianes-48bb995/</t>
  </si>
  <si>
    <t xml:space="preserve">Antony Pimenta </t>
  </si>
  <si>
    <t>Analista de Tribuitos</t>
  </si>
  <si>
    <t>antony.pimenta@campari.com</t>
  </si>
  <si>
    <t xml:space="preserve">11 933267352  </t>
  </si>
  <si>
    <t>Eduardo</t>
  </si>
  <si>
    <t>https://in1.sugarondemand.com/#Accounts/34a3f15a-387c-11ee-ba6d-02b0ee514bc7</t>
  </si>
  <si>
    <t>Reduzir a frequência de erros humanos / Reduzir o tempo gasto nos processos  / Reduzir esforço para encontrar dados e realizar análises</t>
  </si>
  <si>
    <t>Cláudio</t>
  </si>
  <si>
    <t>Thainni Veiga</t>
  </si>
  <si>
    <t>Analista de Recursos Humanos Sr.</t>
  </si>
  <si>
    <t>thainni.veiga@bopaper.com.br</t>
  </si>
  <si>
    <t>http://www.linkedin.com/in/thainni-francieli-da-veiga-205a9b169</t>
  </si>
  <si>
    <t>Eliezer Ramos</t>
  </si>
  <si>
    <t>eliezer.ramos@bopaper.com.br</t>
  </si>
  <si>
    <t>http://www.linkedin.com/in/eliezerramos</t>
  </si>
  <si>
    <t>Andre Pauzer</t>
  </si>
  <si>
    <t>Chief Financial Officer | Diretor Administrativo Financeiro</t>
  </si>
  <si>
    <t>http://www.linkedin.com/in/andrepauzer</t>
  </si>
  <si>
    <t>Alexandre Basso</t>
  </si>
  <si>
    <t>Diretor de Operações Jornal e Papeis para Embalagens</t>
  </si>
  <si>
    <t>alexandre.basso@bopaper.com.br</t>
  </si>
  <si>
    <t>http://www.linkedin.com/in/alexandre-basso-1a956423</t>
  </si>
  <si>
    <t>Wesley Vanjura</t>
  </si>
  <si>
    <t>Operações de almoxarifado</t>
  </si>
  <si>
    <t>wesley.vanjura@bopaper.com.br</t>
  </si>
  <si>
    <t>http://www.linkedin.com/in/wesley-vanjura-703093109</t>
  </si>
  <si>
    <t>Elizer Anderson</t>
  </si>
  <si>
    <t>Executivo de vendas</t>
  </si>
  <si>
    <t>elizer.anderson@bopaper.com.br</t>
  </si>
  <si>
    <t>http://www.linkedin.com/in/elizer-anderson-69673551</t>
  </si>
  <si>
    <t>Camyle Oliveira</t>
  </si>
  <si>
    <t>Operações de manufatura</t>
  </si>
  <si>
    <t>camyle.oliveira@bopaper.com.br</t>
  </si>
  <si>
    <t>http://www.linkedin.com/in/camyle-oliveira-12a253147</t>
  </si>
  <si>
    <t>Alaor Frantz</t>
  </si>
  <si>
    <t>Gerente de Planejamento Financeiro</t>
  </si>
  <si>
    <t>alaor.frantz@bopaper.com.br</t>
  </si>
  <si>
    <t>http://www.linkedin.com/in/alaor-jos%c3%a9-frantz-45985949</t>
  </si>
  <si>
    <t>Jessica Moreira</t>
  </si>
  <si>
    <t>Sales Executive</t>
  </si>
  <si>
    <t>jessica.moreira@bopaper.com.br</t>
  </si>
  <si>
    <t>http://www.linkedin.com/in/j%c3%a9ssica-moreira-7a0a1a65</t>
  </si>
  <si>
    <t>Liliane Nickel</t>
  </si>
  <si>
    <t>Sales Manager</t>
  </si>
  <si>
    <t>liliane.nickel@bopaper.com.br</t>
  </si>
  <si>
    <t>http://www.linkedin.com/in/liliane-nickel-6446b115</t>
  </si>
  <si>
    <t>Luciano Albino</t>
  </si>
  <si>
    <t>Coordenador de ServiÃ§os de RH e Facilities</t>
  </si>
  <si>
    <t>luciano.albino@bopaper.com.br</t>
  </si>
  <si>
    <t>http://www.linkedin.com/in/luciano-martins-albino-70b3093b</t>
  </si>
  <si>
    <t>Jeyson Correa</t>
  </si>
  <si>
    <t>Analista financeiro</t>
  </si>
  <si>
    <t>jeyson.correa@bopaper.com.br</t>
  </si>
  <si>
    <t>http://www.linkedin.com/in/jeyson-correa-53310bb7</t>
  </si>
  <si>
    <t>Guilherme Mayer</t>
  </si>
  <si>
    <t>guilherme.mayer@bopaper.com.br</t>
  </si>
  <si>
    <t>http://www.linkedin.com/in/guilhermemayer</t>
  </si>
  <si>
    <t>BO Paper Arapoti | Operations Director</t>
  </si>
  <si>
    <t>http://www.linkedin.com/in/luis-fernando-tabai-coelho-b2b0561</t>
  </si>
  <si>
    <t>Gerente de recursos humanos, comunicação e marketing</t>
  </si>
  <si>
    <t>http://www.linkedin.com/in/b%c3%a1rbara-ra%c3%adssa-reis-lorencini-85a23590</t>
  </si>
  <si>
    <t>marcelo.rocha@gruposc.com.br</t>
  </si>
  <si>
    <t>jose.ferrara@tokiomarine.com.br</t>
  </si>
  <si>
    <t>adilson.lavrador@tokiomarine.com.br</t>
  </si>
  <si>
    <t>sergio.miotto@tokiomarine.com.br</t>
  </si>
  <si>
    <t>andrea.ribeiro@tokiomarine.com.br</t>
  </si>
  <si>
    <t>miguel.brito@tokiomarine.com.br</t>
  </si>
  <si>
    <t>jessica.calixto@tokiomarine.com.br</t>
  </si>
  <si>
    <t>cristiano.zilz@urbano.com.br</t>
  </si>
  <si>
    <t>gabriel.nery@tokiomarine.com.br</t>
  </si>
  <si>
    <t>mauricio.lopes@rededor.com.br</t>
  </si>
  <si>
    <t>cvasques@qualicorp.com.br</t>
  </si>
  <si>
    <t>N/A</t>
  </si>
  <si>
    <t>francisco.sampaio@guaranyind.com.br</t>
  </si>
  <si>
    <t>https://www.linkedin.com/in/francisco-wellington-barbosa-sampaio-527916152/</t>
  </si>
  <si>
    <t>mdallacqua@smcbr.com.br</t>
  </si>
  <si>
    <t>+55 11 3611 5141</t>
  </si>
  <si>
    <t>maafonso@qualicorp.com.br</t>
  </si>
  <si>
    <t>mwolff@qualicorp.com.br</t>
  </si>
  <si>
    <t>jbrugnara@qualicorp.com.br</t>
  </si>
  <si>
    <t>llima@qualicorp.com.br</t>
  </si>
  <si>
    <t>jaime@urbano.com.br</t>
  </si>
  <si>
    <t>+55 11 2413-2100</t>
  </si>
  <si>
    <t>andersonw@urbano.com.br</t>
  </si>
  <si>
    <t>paulo.lima@urbano.com.br</t>
  </si>
  <si>
    <t>elem@unimedcampinas.com.br</t>
  </si>
  <si>
    <t>+55 (19) 3731-7900</t>
  </si>
  <si>
    <t>brondi@unimedcampinas.com.br</t>
  </si>
  <si>
    <t>williamc@unimedcampinas.com.br</t>
  </si>
  <si>
    <t>brunam@unimedcampinas.com.br</t>
  </si>
  <si>
    <t>adrianaruiz@unimedcampinas.com.br</t>
  </si>
  <si>
    <t>jlopes@unimedcampinas.com.br</t>
  </si>
  <si>
    <t>franckli@unimedcampinas.com.br</t>
  </si>
  <si>
    <t>Alex Souza</t>
  </si>
  <si>
    <t>Grupo Comolatti</t>
  </si>
  <si>
    <t>http://www.comolatti.com.br</t>
  </si>
  <si>
    <t>https://www.linkedin.com/company/comolatti-grupo/about/</t>
  </si>
  <si>
    <t>Portal Vendas/ Portal Produtos/ Protal Controladoria/ Portal RH</t>
  </si>
  <si>
    <t>Progress desenvolvimento interno</t>
  </si>
  <si>
    <t>Construção do Data Lake</t>
  </si>
  <si>
    <t>Conrado Comolatti Ruivo</t>
  </si>
  <si>
    <t>conrado@comolatti.com.br</t>
  </si>
  <si>
    <t xml:space="preserve"> 11 98164-8888</t>
  </si>
  <si>
    <t>https://www.linkedin.com/in/conrado-comolatti-ruivo-8a7709220/</t>
  </si>
  <si>
    <t>Marcos Pinheiro</t>
  </si>
  <si>
    <t>marcos.pinheiro@comolatii.com.br</t>
  </si>
  <si>
    <t>11 4871-2012</t>
  </si>
  <si>
    <t>https://www.linkedin.com/in/marcos-pinheiro-952a6b224/?original_referer=https%3A%2F%2Fwww%2Egoogle%2Ecom%2Ebr%2F&amp;originalSubdomain=br</t>
  </si>
  <si>
    <t>Randal Juliano Dias Bevilacqua</t>
  </si>
  <si>
    <t>randal.bevilacqua@comolatti.com.br</t>
  </si>
  <si>
    <t>https://www.linkedin.com/in/randal-juliano-dias-bevilacqua-1a19a327/</t>
  </si>
  <si>
    <t>José Ivan Júnior</t>
  </si>
  <si>
    <t>Gerente de operações de logística</t>
  </si>
  <si>
    <t>jose.junior@comolatti.com.br</t>
  </si>
  <si>
    <t>https://www.linkedin.com/in/jos%C3%A9-ivan-j%C3%BAnior-013a0429/?trk=public_profile_browsemap&amp;originalSubdomain=br</t>
  </si>
  <si>
    <t>Mohamed Arabi</t>
  </si>
  <si>
    <t>Gerente Inteligência de Mercado</t>
  </si>
  <si>
    <t>mohamedya@comolatti.com.br</t>
  </si>
  <si>
    <t>https://www.linkedin.com/in/mohamed-arabi-mba-pmp-b4498b21/?originalSubdomain=br</t>
  </si>
  <si>
    <t>Marcos Fukumura</t>
  </si>
  <si>
    <t>marcos.fukumura@comolatti.com.br</t>
  </si>
  <si>
    <t>https://www.linkedin.com/in/marcos-fukumura-67271a/?originalSubdomain=br</t>
  </si>
  <si>
    <t>Renato Rosa</t>
  </si>
  <si>
    <t>Administração Comercial</t>
  </si>
  <si>
    <t>renato.rosa@brautoparts.com.br</t>
  </si>
  <si>
    <t>Ismael Santos</t>
  </si>
  <si>
    <t>T.I. - Infraestrutura e Suporte</t>
  </si>
  <si>
    <t>Analista</t>
  </si>
  <si>
    <t>Ismael.Santos@comolatti.com.br</t>
  </si>
  <si>
    <t>https://www.linkedin.com/in/ismael-messias-dos-santos-9a999578/</t>
  </si>
  <si>
    <t>Arnaldo Reboredo</t>
  </si>
  <si>
    <t>Coordenador de Infraestrutura de TI, Suporte e Telecom</t>
  </si>
  <si>
    <t>arnaldo.reboredo@comolatti.com.br</t>
  </si>
  <si>
    <t>https://www.linkedin.com/in/arnaldoreboredo/</t>
  </si>
  <si>
    <t>Simone Oliveira</t>
  </si>
  <si>
    <t>Controladoria</t>
  </si>
  <si>
    <t xml:space="preserve">simone.oliveira@comolatti.com.br </t>
  </si>
  <si>
    <t>https://www.linkedin.com/in/simone-oliveira-08766850/</t>
  </si>
  <si>
    <t>Elo Serviços</t>
  </si>
  <si>
    <t>Alphavile</t>
  </si>
  <si>
    <t>https://www.elo.com.br/</t>
  </si>
  <si>
    <t>https://www.linkedin.com/company/cart%C3%A3o-elo/</t>
  </si>
  <si>
    <t>-painéis para bancos acionistas(externo)
-painéis para credenciadores (externo)
-Operações, Finanças, auditoria, DDN, Consultoria, Fraudes, Produtos (interno)*</t>
  </si>
  <si>
    <t>Oracle</t>
  </si>
  <si>
    <t>IA</t>
  </si>
  <si>
    <t>Giancarlo Greco</t>
  </si>
  <si>
    <t>giancarlo.greco@elo.com.br</t>
  </si>
  <si>
    <t>https://www.linkedin.com/in/giancarlo-greco/</t>
  </si>
  <si>
    <t>Mario Arantes Neto</t>
  </si>
  <si>
    <t xml:space="preserve">Superintendente de Controladoria | Finanças </t>
  </si>
  <si>
    <t>mario@elo.com.br</t>
  </si>
  <si>
    <t>https://www.linkedin.com/in/mario-arantes-neto/</t>
  </si>
  <si>
    <t>Vilma Lorey</t>
  </si>
  <si>
    <t>vilma@elo.com.br</t>
  </si>
  <si>
    <t>https://www.linkedin.com/in/vilma-lorey/</t>
  </si>
  <si>
    <t>Leonardo Castralli de Faria</t>
  </si>
  <si>
    <t>Data Executive Manager</t>
  </si>
  <si>
    <t xml:space="preserve">leonardo.faria@elo.com.br </t>
  </si>
  <si>
    <t>https://www.linkedin.com/in/leonardo-castralli/</t>
  </si>
  <si>
    <t>Fernanda Santana</t>
  </si>
  <si>
    <t>Head de Gente e Gestão</t>
  </si>
  <si>
    <t>https://www.linkedin.com/in/fernanda-santana-3753b216/?originalSubdomain=br</t>
  </si>
  <si>
    <t>Gile Peter Inêz</t>
  </si>
  <si>
    <t>Superintendente de Operações</t>
  </si>
  <si>
    <t>gile@elo.com.br</t>
  </si>
  <si>
    <t>https://www.linkedin.com/in/gileinez/</t>
  </si>
  <si>
    <t>Sandro Amaral da Silva</t>
  </si>
  <si>
    <t>BI</t>
  </si>
  <si>
    <t>sandro.silva@elo.com.br</t>
  </si>
  <si>
    <t>https://www.linkedin.com/in/sandro-amaral-da-silva-25821144/</t>
  </si>
  <si>
    <t xml:space="preserve">Mirian Priosti </t>
  </si>
  <si>
    <t>Diretora de BA, Crm  e Consultoria P&amp;I</t>
  </si>
  <si>
    <t>mirian.priosti@elo.com.br</t>
  </si>
  <si>
    <t>https://www.linkedin.com/in/mirian-p-33520555/</t>
  </si>
  <si>
    <t>Consórcio Scania</t>
  </si>
  <si>
    <t>https://solucoesscania.com.br/solucoes-financeiras/consorcio-scania/</t>
  </si>
  <si>
    <t>https://www.linkedin.com/company/scania-latinamerica/?originalSubdomain=br</t>
  </si>
  <si>
    <t>Verificar Case</t>
  </si>
  <si>
    <t>crm não tem  
erp Outbank/Consórcio Newcom</t>
  </si>
  <si>
    <t>Estruturação dos dados</t>
  </si>
  <si>
    <t>Rodrigo Clemente</t>
  </si>
  <si>
    <t>https://www.linkedin.com/in/rodrigo-clemente-a37308144/?originalSubdomain=br</t>
  </si>
  <si>
    <t>Guilherme Trancheti</t>
  </si>
  <si>
    <t>Guilherme.tranchetti@scania.com</t>
  </si>
  <si>
    <t>https://www.linkedin.com/in/guilherme-tranchetti-a0531249/</t>
  </si>
  <si>
    <t xml:space="preserve">Lilian Peres
 </t>
  </si>
  <si>
    <t>Chefe de Recursos Humanos</t>
  </si>
  <si>
    <t>lilian.peres@scania.com</t>
  </si>
  <si>
    <t>https://www.linkedin.com/in/lilian-peres-08b5b931/?originalSubdomain=br</t>
  </si>
  <si>
    <t>Mineração Caraiba (EroBrasil)</t>
  </si>
  <si>
    <t>Mineração</t>
  </si>
  <si>
    <t>https://erobrasil.com/</t>
  </si>
  <si>
    <t>https://www.linkedin.com/company/ero-brasil/</t>
  </si>
  <si>
    <t>Protheus</t>
  </si>
  <si>
    <t>Data Lake</t>
  </si>
  <si>
    <t>Eduardo de Come</t>
  </si>
  <si>
    <t>eduardo.decome@minacaraiba.com</t>
  </si>
  <si>
    <t>https://www.linkedin.com/in/eduardo-de-come-566b1944/</t>
  </si>
  <si>
    <t>Renato Possancini</t>
  </si>
  <si>
    <t>renato.possancini@erobr.com</t>
  </si>
  <si>
    <t>https://www.linkedin.com/in/renato-possancini/</t>
  </si>
  <si>
    <t>Rogerio Augusto C Souza</t>
  </si>
  <si>
    <t>rogerio.souza@minacaraiba.com</t>
  </si>
  <si>
    <t>https://www.linkedin.com/in/rogerio-augusto-c-souza-pmp-09004211/</t>
  </si>
  <si>
    <t>Adilton Júnior</t>
  </si>
  <si>
    <t xml:space="preserve"> adilton.junior@minacaraiba.com</t>
  </si>
  <si>
    <t>https://www.linkedin.com/in/adilton-j%C3%BAnior-25171920/</t>
  </si>
  <si>
    <t>IATEC</t>
  </si>
  <si>
    <t>Tecnologa</t>
  </si>
  <si>
    <t>Hortolãndia-SP</t>
  </si>
  <si>
    <t>https://iatec.com.br/</t>
  </si>
  <si>
    <t>https://www.linkedin.com/company/iatecoficial/</t>
  </si>
  <si>
    <t>Desenvolvimeno Interno</t>
  </si>
  <si>
    <t>Open AI</t>
  </si>
  <si>
    <t>Regis Reis</t>
  </si>
  <si>
    <t xml:space="preserve">regis.reis@iatec.com
</t>
  </si>
  <si>
    <t>https://www.linkedin.com/in/rafaelromaneli/</t>
  </si>
  <si>
    <t>Eliezer Santos</t>
  </si>
  <si>
    <t>eliezer.santos@iatec.com</t>
  </si>
  <si>
    <t>Herberth Borges Ribeiro</t>
  </si>
  <si>
    <t>herberth.borges@iatec.com</t>
  </si>
  <si>
    <t>https://www.linkedin.com/in/herberth-borges-ribeiro-6b0600162/</t>
  </si>
  <si>
    <t>Rafael Romaneli</t>
  </si>
  <si>
    <t>Gerente de Produto</t>
  </si>
  <si>
    <t xml:space="preserve">rafael.romaneli@iatec.com </t>
  </si>
  <si>
    <t>Kleyton Fazolin</t>
  </si>
  <si>
    <t>Gerente de Inovação</t>
  </si>
  <si>
    <t>kleyton.fazolin@iatec.com</t>
  </si>
  <si>
    <t>https://www.linkedin.com/in/kleyton-fazolin/</t>
  </si>
  <si>
    <t>Bruna Moreira</t>
  </si>
  <si>
    <t>Gerente RH</t>
  </si>
  <si>
    <t>bruna.moreira@iatec.com</t>
  </si>
  <si>
    <t>https://www.linkedin.com/in/bruna-moreira-49524237/?originalSubdomain=br</t>
  </si>
  <si>
    <t>Victor Lima</t>
  </si>
  <si>
    <t>Especialista em Inteligência de Negócios</t>
  </si>
  <si>
    <t xml:space="preserve">victor.lima@iatec.com </t>
  </si>
  <si>
    <t xml:space="preserve">55 19 3113-0170
</t>
  </si>
  <si>
    <t>https://www.linkedin.com/in/victormlima/</t>
  </si>
  <si>
    <t xml:space="preserve">Thiago Icassatti
 </t>
  </si>
  <si>
    <t>Product Owner Systems</t>
  </si>
  <si>
    <t>thiago.icassatti@iatec.com</t>
  </si>
  <si>
    <t>https://www.linkedin.com/in/thiagoicassatti/</t>
  </si>
  <si>
    <t>Cassol Centerlar</t>
  </si>
  <si>
    <t>Kobrasol - SC</t>
  </si>
  <si>
    <t>https://www.cassol.com.br/</t>
  </si>
  <si>
    <t>https://www.linkedin.com/company/cassol-centerlar/</t>
  </si>
  <si>
    <t>Pentaho</t>
  </si>
  <si>
    <t>Iniciativas locais apenas</t>
  </si>
  <si>
    <t>Outro/ Python</t>
  </si>
  <si>
    <t>IA / Análise 360 do cliente</t>
  </si>
  <si>
    <t>Rodrigo Cassol</t>
  </si>
  <si>
    <t>rodrigo@cassol.com.br</t>
  </si>
  <si>
    <t>48 98407-7974</t>
  </si>
  <si>
    <t>https://www.linkedin.com/in/rodrigo-seara-cassol-a3b6762b/</t>
  </si>
  <si>
    <t xml:space="preserve">Leonardo França
 </t>
  </si>
  <si>
    <t>leonardo.franca@cassol.com.br</t>
  </si>
  <si>
    <t>41 99876-0506</t>
  </si>
  <si>
    <t>https://www.linkedin.com/in/leonardo-fran%C3%A7a-04a22555/</t>
  </si>
  <si>
    <t>Sidnei Silva</t>
  </si>
  <si>
    <t>https://www.linkedin.com/in/sidnei-silva-846814144/?original_referer=https%3A%2F%2Fwww%2Egoogle%2Ecom%2Ebr%2F&amp;originalSubdomain=br</t>
  </si>
  <si>
    <t xml:space="preserve">Toni Emanuel Marques </t>
  </si>
  <si>
    <t>toni.marques@cassol.com.br</t>
  </si>
  <si>
    <t>https://www.linkedin.com/in/toniemanuelmarques/</t>
  </si>
  <si>
    <t>Bruna Amarante Antunes</t>
  </si>
  <si>
    <t>bruna.antunes@cassol.com</t>
  </si>
  <si>
    <t>https://www.linkedin.com/in/bruna-amarante-antunes-979274a8/?originalSubdomain=br</t>
  </si>
  <si>
    <t>Maisativo (Superbid)</t>
  </si>
  <si>
    <t>Leilões</t>
  </si>
  <si>
    <t>http://www.superbid.net</t>
  </si>
  <si>
    <t>https://www.linkedin.com/company/superbid/about/</t>
  </si>
  <si>
    <t>Estruturação do Data Lake / IA</t>
  </si>
  <si>
    <t>RODRIGO SANTORO</t>
  </si>
  <si>
    <t>11-4950-9400</t>
  </si>
  <si>
    <t>https://www.linkedin.com/in/rodrigo-santoro-324126105/?originalSubdomain=br</t>
  </si>
  <si>
    <t>Ricardo Caiuby Salles</t>
  </si>
  <si>
    <t>Executive Director</t>
  </si>
  <si>
    <t>rsalles@superbid.net</t>
  </si>
  <si>
    <t>https://www.linkedin.com/in/ricardo-caiuby-salles-7504a/</t>
  </si>
  <si>
    <t>Jacqueline Luz</t>
  </si>
  <si>
    <t>Negócios</t>
  </si>
  <si>
    <t>Diretora Comercial</t>
  </si>
  <si>
    <t>jacqueline@superbid.net</t>
  </si>
  <si>
    <t>https://www.linkedin.com/in/jacquelineluz/?originalSubdomain=br</t>
  </si>
  <si>
    <t xml:space="preserve">Marina Honda
 </t>
  </si>
  <si>
    <t>marina.honda@superbid.net</t>
  </si>
  <si>
    <t>https://www.linkedin.com/in/marina-honda-83341a97/?originalSubdomain=br</t>
  </si>
  <si>
    <t xml:space="preserve">Alexandre Melo
 </t>
  </si>
  <si>
    <t>Datos</t>
  </si>
  <si>
    <t>Head of Data and AI</t>
  </si>
  <si>
    <t>alexandre.melo@superbid.net</t>
  </si>
  <si>
    <t>https://www.linkedin.com/in/alexandrefmelo/</t>
  </si>
  <si>
    <t>Amanda Duarte</t>
  </si>
  <si>
    <t>amanda.duarte@superbid.net</t>
  </si>
  <si>
    <t>https://www.linkedin.com/in/amanda-duarte-79708252/?originalSubdomain=br</t>
  </si>
  <si>
    <t>Anderson Gimenes</t>
  </si>
  <si>
    <t>Head de Segurança da Informação</t>
  </si>
  <si>
    <t>anderson.gimenes@sbwebservices.net</t>
  </si>
  <si>
    <t>https://www.linkedin.com/in/anderson-gimenes/</t>
  </si>
  <si>
    <t>Gisele Moreira</t>
  </si>
  <si>
    <t>Coordenadora de Compras</t>
  </si>
  <si>
    <t>gisele.moreira@superbid.net</t>
  </si>
  <si>
    <t>https://www.linkedin.com/in/gisele-moreira-0b3a9173/</t>
  </si>
  <si>
    <t>Abelardo Pinheiro Guimarães Neto</t>
  </si>
  <si>
    <t>Gerente de BI</t>
  </si>
  <si>
    <t>abelardo.neto@superbid.net</t>
  </si>
  <si>
    <t>https://www.linkedin.com/in/abelardo-pinheiro-guimar%C3%A3es-neto-5b370a45/</t>
  </si>
  <si>
    <t xml:space="preserve">Bruno Lucian </t>
  </si>
  <si>
    <t>Gerente de dados</t>
  </si>
  <si>
    <t>bruno.costa@superbid.net</t>
  </si>
  <si>
    <t>https://www.linkedin.com/in/brunolucian/</t>
  </si>
  <si>
    <t>DIA BRASIL</t>
  </si>
  <si>
    <t>Supermercadista</t>
  </si>
  <si>
    <t>DIA Supermercado | Ofertas, Economia e ClubDIA</t>
  </si>
  <si>
    <t>(4) Dia Brasil Sociedade Limitada: sobre nós | LinkedIn</t>
  </si>
  <si>
    <t>Temos case não publicado de redução de Ruptura usando Alteryx</t>
  </si>
  <si>
    <t>Talend - TOS e Altaryx</t>
  </si>
  <si>
    <t>Subistiitur Talend TPS pore versão paga - Em andamento./ Apoiar na migração do Qlik por Power BI - Em andamento / Aumentar nossos recursos alocados</t>
  </si>
  <si>
    <t>Sebastien Durchon</t>
  </si>
  <si>
    <t>sebastien.durchon@diagroup.com</t>
  </si>
  <si>
    <t>Luiz Antonio Santos</t>
  </si>
  <si>
    <t>Lider de TI</t>
  </si>
  <si>
    <t>luiz.antonio@diagroup.com</t>
  </si>
  <si>
    <t>11 993030-2537</t>
  </si>
  <si>
    <t>Mauro Massaiti Taka Junior</t>
  </si>
  <si>
    <t>Diretor de TI / CTO</t>
  </si>
  <si>
    <t xml:space="preserve">mauro.taka@diagroup.com </t>
  </si>
  <si>
    <t>Paulo Antonio Chiaravalle</t>
  </si>
  <si>
    <t>pauloantonio.chiaravalle@diagroup.com</t>
  </si>
  <si>
    <t>11 99218-3021</t>
  </si>
  <si>
    <t>Arline Barroso Leão</t>
  </si>
  <si>
    <t>Gerente de suprimentos</t>
  </si>
  <si>
    <t>arline.nataly.santos.barroso@diagroup.com</t>
  </si>
  <si>
    <t>11 99204-1274</t>
  </si>
  <si>
    <t>Leroy Merlin</t>
  </si>
  <si>
    <t>Varejo - Home Center</t>
  </si>
  <si>
    <t>www.leroymerlin.com.br</t>
  </si>
  <si>
    <t>Case de migração para a Cloud, case de Devops</t>
  </si>
  <si>
    <t>Aumento de recursos alocados / Venda de nossas soluções</t>
  </si>
  <si>
    <t> Ignacio Sánchez Villares</t>
  </si>
  <si>
    <t>(3) Ignacio Sánchez Villares | LinkedIn</t>
  </si>
  <si>
    <t>Flávia Barros</t>
  </si>
  <si>
    <t>CMO</t>
  </si>
  <si>
    <t>flavia.barros@leroymerlin.com.br</t>
  </si>
  <si>
    <t>Rodrigo Murta</t>
  </si>
  <si>
    <t>CIO/CTO</t>
  </si>
  <si>
    <t>rodrigo.murta@leroymerlin.com.br</t>
  </si>
  <si>
    <t>Jose luis Estivill Prol</t>
  </si>
  <si>
    <t>jprol@leroymerlin.com.br</t>
  </si>
  <si>
    <t>Odislei Gonçalves</t>
  </si>
  <si>
    <t>Digital Leader</t>
  </si>
  <si>
    <t xml:space="preserve">ogoncalves@leroymerlin.com.br </t>
  </si>
  <si>
    <t>Everton Baptista</t>
  </si>
  <si>
    <t>Gerente de Analytics e IA</t>
  </si>
  <si>
    <t>ebaptista@leroymerlin.com.br</t>
  </si>
  <si>
    <t>11 976263349</t>
  </si>
  <si>
    <t>Rafael Cordeiro</t>
  </si>
  <si>
    <t>Data Scientist / Data Laed de IA</t>
  </si>
  <si>
    <t>rfcordeiro@leroymerlin.com.br</t>
  </si>
  <si>
    <t>Expansão do uso das soluções acima / Manutenção do Qlik e Datarobot</t>
  </si>
  <si>
    <t xml:space="preserve">Marçal José Vasconcelos Neto </t>
  </si>
  <si>
    <t>PMO Corporativo</t>
  </si>
  <si>
    <t>Gerente Senior PMO</t>
  </si>
  <si>
    <t xml:space="preserve">mjvneto@timbrasil.com.br </t>
  </si>
  <si>
    <t>(21) 98113-1809</t>
  </si>
  <si>
    <t>Marcio Marcenes Netto</t>
  </si>
  <si>
    <t>P.O.</t>
  </si>
  <si>
    <t>mmnetto@timbrasil.com.br</t>
  </si>
  <si>
    <t>(21) 98113-6249</t>
  </si>
  <si>
    <t>Alexandre Camerini</t>
  </si>
  <si>
    <t>Head de PMO</t>
  </si>
  <si>
    <t xml:space="preserve">acamerini@timbrasil.com.br </t>
  </si>
  <si>
    <t>(21) 98113-4070</t>
  </si>
  <si>
    <t>Alimenticio</t>
  </si>
  <si>
    <t>Barueri</t>
  </si>
  <si>
    <t>https://www.jacobsdouweegberts.com/</t>
  </si>
  <si>
    <t>Verificar Time de Delivery</t>
  </si>
  <si>
    <t>A verificar</t>
  </si>
  <si>
    <t>Datbricks</t>
  </si>
  <si>
    <t>JDE</t>
  </si>
  <si>
    <t>Andre Maurino</t>
  </si>
  <si>
    <t>Diretoria</t>
  </si>
  <si>
    <t>andre.maurino@jdecoffee.com</t>
  </si>
  <si>
    <t>(1) Andre Maurino | LinkedIn</t>
  </si>
  <si>
    <t>Ricardo Morilha</t>
  </si>
  <si>
    <t>ricardo.morilha@jdecoffe.com</t>
  </si>
  <si>
    <t>(4) Ricardo M. | LinkedIn</t>
  </si>
  <si>
    <t>Susana Hernandes Crespo</t>
  </si>
  <si>
    <t>(2) Susana Hernández Crespo | LinkedIn</t>
  </si>
  <si>
    <t>Tina Cacão</t>
  </si>
  <si>
    <t>tina.c@jacobsdouweegberts.com</t>
  </si>
  <si>
    <t>(4) Tina Cação | LinkedIn</t>
  </si>
  <si>
    <t>Viviane Sarai</t>
  </si>
  <si>
    <t>Gerente de TI e BP</t>
  </si>
  <si>
    <t>Viviane.Sarai@jdecoffee.com</t>
  </si>
  <si>
    <t>11 991741220</t>
  </si>
  <si>
    <t>(3) Viviane Sarai | LinkedIn</t>
  </si>
  <si>
    <t>Luis Roberto Androsoni</t>
  </si>
  <si>
    <t>Infraestrutira e Servilos de TI</t>
  </si>
  <si>
    <t>(4) Luis Roberto Androsoni | LinkedIn</t>
  </si>
  <si>
    <t>Arthur Yamazaki</t>
  </si>
  <si>
    <t>Data Analytics</t>
  </si>
  <si>
    <t>arthur.yamazaki@jdecoffee.com</t>
  </si>
  <si>
    <t>(4) Arthur Yamazaki | LinkedIn</t>
  </si>
  <si>
    <t>Gabriel Leite</t>
  </si>
  <si>
    <t>Gerente de planejamento de demanda</t>
  </si>
  <si>
    <t>gabriel.leite@jdecoffee.com</t>
  </si>
  <si>
    <t>(4) Gabriel Leite | LinkedIn</t>
  </si>
  <si>
    <t>Expandir relacionamento</t>
  </si>
  <si>
    <t>SKF do Brasil</t>
  </si>
  <si>
    <t>Manufatura</t>
  </si>
  <si>
    <t>Cajamar</t>
  </si>
  <si>
    <t>Página inicial do Grupo SKF | SKF</t>
  </si>
  <si>
    <t>SKF Group: visão geral | LinkedIn</t>
  </si>
  <si>
    <t>Plataforma de controle da Latam</t>
  </si>
  <si>
    <t>Aumentar o uso do Qlik / Vender solução de RPA</t>
  </si>
  <si>
    <t>Gustavo Molero</t>
  </si>
  <si>
    <t>Presidente SKF Latam</t>
  </si>
  <si>
    <t>gustavo.l.molero@skf.com</t>
  </si>
  <si>
    <t>(1) Gustavo Molero | LinkedIn</t>
  </si>
  <si>
    <t>Roberta Rosenbirg</t>
  </si>
  <si>
    <t>CFO Latam</t>
  </si>
  <si>
    <t>roberta.rosenburg@skf.com</t>
  </si>
  <si>
    <t>(1) Roberta Rosenburg | LinkedIn</t>
  </si>
  <si>
    <t>Gustavo Larrubia</t>
  </si>
  <si>
    <t>HR Latam</t>
  </si>
  <si>
    <t>gustavo.larrubia@skf.com</t>
  </si>
  <si>
    <t>(1) Gustavo Larrubia | LinkedIn</t>
  </si>
  <si>
    <t>Rodrigo Dotto</t>
  </si>
  <si>
    <t>Controllership &amp; Business Intelligence Manager LAM</t>
  </si>
  <si>
    <t>Rodrigo.Dotto@skf.com</t>
  </si>
  <si>
    <t>11 993700932</t>
  </si>
  <si>
    <t>(1) Rodrigo Dotto | LinkedIn</t>
  </si>
  <si>
    <t>Daiane Ribeiro</t>
  </si>
  <si>
    <t>Gestão de inteligencvia de negocios</t>
  </si>
  <si>
    <t>daiane.ribeiro@skf.com</t>
  </si>
  <si>
    <t>11 992518442</t>
  </si>
  <si>
    <t>(1) Daiane Ribeiro da Silva | LinkedIn</t>
  </si>
  <si>
    <t>Vinicius Dias</t>
  </si>
  <si>
    <t>vinicius.dias@skf.com</t>
  </si>
  <si>
    <t>11 97063-3402</t>
  </si>
  <si>
    <t>Cleber Castro</t>
  </si>
  <si>
    <t>Pricing</t>
  </si>
  <si>
    <t>Cleber.Castro@skf.com</t>
  </si>
  <si>
    <t>(1) Cleber Castro | LinkedIn</t>
  </si>
  <si>
    <t>Cargo</t>
  </si>
  <si>
    <t>Email</t>
  </si>
  <si>
    <t>Linkedin</t>
  </si>
  <si>
    <t>Campari</t>
  </si>
  <si>
    <t>Cassol</t>
  </si>
  <si>
    <t>SKF</t>
  </si>
  <si>
    <t>Planejamento</t>
  </si>
  <si>
    <t>Bebidas</t>
  </si>
  <si>
    <t>Consórcios</t>
  </si>
  <si>
    <t>Tecnologia de pagamentos</t>
  </si>
  <si>
    <t>Metalúrgica</t>
  </si>
  <si>
    <t>Comunicação e Artes</t>
  </si>
  <si>
    <t>Vestuário</t>
  </si>
  <si>
    <t>Supermercados</t>
  </si>
  <si>
    <t>Convênios</t>
  </si>
  <si>
    <t>https://in1.sugarondemand.com/#Accounts/a92208be-c99f-11e9-aba9-02ae981fbade</t>
  </si>
  <si>
    <t>https://in1.sugarondemand.com/#Accounts/760fad84-fd33-11e8-a58a-069e4f790264</t>
  </si>
  <si>
    <t>https://in1.sugarondemand.com/#Accounts/6af1426e-fd33-11e8-a380-069e4f790264</t>
  </si>
  <si>
    <t>https://in1.sugarondemand.com/#Accounts/5d9128c8-fd33-11e8-9ced-069e4f790264</t>
  </si>
  <si>
    <t>https://in1.sugarondemand.com/#Accounts/dbfe325a-1a5d-11ed-8d81-02b0ee514bc7</t>
  </si>
  <si>
    <t>Materiais de construção</t>
  </si>
  <si>
    <t>https://in1.sugarondemand.com/#Accounts/9d779a5a-bf61-11ec-9be4-022c40d974e6</t>
  </si>
  <si>
    <t>https://in1.sugarondemand.com/#Accounts/832df78c-fd33-11e8-987d-069e4f790264</t>
  </si>
  <si>
    <t>https://in1.sugarondemand.com/#Accounts/8bb0fbde-fd33-11e8-b77b-069e4f790264</t>
  </si>
  <si>
    <t>https://in1.sugarondemand.com/#Accounts/c479eda2-464b-11e9-9c4b-02ae981fbade</t>
  </si>
  <si>
    <t>Campari do Brasil - Consultoria RPA Power Automate</t>
  </si>
  <si>
    <t>Treinamento QS Fundamental - Comolatti</t>
  </si>
  <si>
    <t>Treinamento QS Developer Módulos I e II- Comolatti</t>
  </si>
  <si>
    <t>A10 - COMOLATTI - TREINAMENTOS DE DEV MÓDULOS I e II</t>
  </si>
  <si>
    <t>A10 - COMOLATTI - MIGRAÇÃO - HRS SUPORTE</t>
  </si>
  <si>
    <t>A10 - COMOLATTI - MIGRAÇÃO - HRS SERVIÇO</t>
  </si>
  <si>
    <t>A10 - COMOLATTI - MASHUP</t>
  </si>
  <si>
    <t>A10 - COMOLATTI - DATA LAKE</t>
  </si>
  <si>
    <t>A10 - COMOLATTI - CONTROLADORIA - POWERBI</t>
  </si>
  <si>
    <t>A10 - COMOLATTI - BCO 100 hs</t>
  </si>
  <si>
    <t>A10 - COMOLATTI - BANCO DE HORAS</t>
  </si>
  <si>
    <t>A10 - COMOLATTI - ANÁLISE AMBIENTE QLIK</t>
  </si>
  <si>
    <t>A10 - COMOLATTI - 50 HORAS</t>
  </si>
  <si>
    <t>A10 - COMOLATTI - 100 HORAS (63.950)</t>
  </si>
  <si>
    <t>A10 - COMOLATTI - 100 HORAS</t>
  </si>
  <si>
    <t>A10 - COMOLATII - PYPLAN</t>
  </si>
  <si>
    <t>Grupo Comollati</t>
  </si>
  <si>
    <t>RENOVAÇÃO ALTERYX 2025 - ELO SERVIÇOS</t>
  </si>
  <si>
    <t>RENOVAÇÃO ALTERYX 2024 - ELO SERVIÇOS</t>
  </si>
  <si>
    <t>RENOVAÇÃO ALTERYX 2023 - ELO SERVIÇOS (com Expand)</t>
  </si>
  <si>
    <t>Anual</t>
  </si>
  <si>
    <t>RENOVAÇÃO 2021 - ELO SERVIÇOS</t>
  </si>
  <si>
    <t>RENOVAÇÃO 2020 - Elo Serviços</t>
  </si>
  <si>
    <t>Renovação 2019 - Elo Serviços</t>
  </si>
  <si>
    <t>RENOVAÇÃO 2018 - Elo Serviços</t>
  </si>
  <si>
    <t>RENOVAÇÃO 2017 - Elo Cartões</t>
  </si>
  <si>
    <t>RENOVAÇÃO 2016 - Elo Serviços</t>
  </si>
  <si>
    <t>RENOVAÇÃO 2015 - Elo Serviços</t>
  </si>
  <si>
    <t>IN - Elo Serviços - Expand 20 Analyzers</t>
  </si>
  <si>
    <t>Expand 10 Docs e 02 Nameds</t>
  </si>
  <si>
    <t>Elo_MelhoriasFase1_20141203</t>
  </si>
  <si>
    <t>Elo_Documentação_20141111</t>
  </si>
  <si>
    <t>Elo_BancoHoras_20141203</t>
  </si>
  <si>
    <t>Elo TI Orçamento</t>
  </si>
  <si>
    <t>Elo TI Aceitação por Multivan</t>
  </si>
  <si>
    <t>Elo TI 2022016</t>
  </si>
  <si>
    <t>Elo Serviços Treinamento QlikSense IN COMPANY</t>
  </si>
  <si>
    <t>Elo Serviços S/A Report Project</t>
  </si>
  <si>
    <t>Elo Serviços S/A Qlik Sense IT Expand ID 0740878</t>
  </si>
  <si>
    <t>Elo Serviços S/A Qlik Sense Expand ID 0815242</t>
  </si>
  <si>
    <t>Elo Serviços S/A Expand'</t>
  </si>
  <si>
    <t>Elo Serviços S/A Aquisição QlikSense Analyzer</t>
  </si>
  <si>
    <t>Elo Serviços S/A 06 Nam 03 Doc</t>
  </si>
  <si>
    <t>Elo Serviços S/A - Qlik Sense - Expand</t>
  </si>
  <si>
    <t>Elo Serviços Licenças Qlik Sense</t>
  </si>
  <si>
    <t>Elo Serviços Consultoria Especializada Qlik 550 hs</t>
  </si>
  <si>
    <t>Elo Serviços Consultoria Especializada Qlik</t>
  </si>
  <si>
    <t>Elo Serviços - Tabela de Preços (LPU Abr/23 a Mar/24)</t>
  </si>
  <si>
    <t>ELO SERVIÇOS - H2O.ai</t>
  </si>
  <si>
    <t>Elo Serviços - Alocação Consultoria 2023</t>
  </si>
  <si>
    <t>Elo Serviços - Alocação 12 meses (Abrl/24 a Mar/25)</t>
  </si>
  <si>
    <t>Elo Serviços - Alocação 12 meses (Abrl/23 a Mar/24)</t>
  </si>
  <si>
    <t>Mensal</t>
  </si>
  <si>
    <t>Elo Produtos</t>
  </si>
  <si>
    <t>Elo Operações</t>
  </si>
  <si>
    <t>Elo Multivan Aceitação</t>
  </si>
  <si>
    <t>Elo Marketing</t>
  </si>
  <si>
    <t>Elo Internacional</t>
  </si>
  <si>
    <t>Elo Indicadores Comerciais BB</t>
  </si>
  <si>
    <t>Elo Base Faturamento Liquidado</t>
  </si>
  <si>
    <t>Elo Banco de horas 45 hs</t>
  </si>
  <si>
    <t>Elo Alterações em Produtos e TI</t>
  </si>
  <si>
    <t>Elo Alocação de Horas Fraude 20151218</t>
  </si>
  <si>
    <t>Elo Alocação de Horas 20151222</t>
  </si>
  <si>
    <t>Elo Aceitação</t>
  </si>
  <si>
    <t>A10 - ELO SERVIÇOS -ANALISTA BI 22</t>
  </si>
  <si>
    <t>A10 - ELO SERVIÇOS - TREINAMENTOS QLIK</t>
  </si>
  <si>
    <t>A10 - ELO SERVIÇOS - TALEND</t>
  </si>
  <si>
    <t>A10 - ELO SERVIÇOS - SUPORTE ALTERYX</t>
  </si>
  <si>
    <t>A10 - ELO SERVIÇOS - SUPORTE 5 HORAS</t>
  </si>
  <si>
    <t>A10 - Elo Serviços - Consultoria Qlik 2</t>
  </si>
  <si>
    <t>A10 - Elo Serviços - Consultoria Qlik</t>
  </si>
  <si>
    <t>A10 - Elo Serviços - Consultoria Especializada Qlik</t>
  </si>
  <si>
    <t>A10 - ELO SERVIÇOS - CIENTISTA DE DADOS 23</t>
  </si>
  <si>
    <t>A10 - Elo Serviços - Alteryx</t>
  </si>
  <si>
    <t>A10 - ELO SERVIÇOS - ALOCAÇÃO ENGENHEIRO DE DADOS</t>
  </si>
  <si>
    <t>A10 - ELO SERVIÇOS - ALOCAÇÃO ANALISTA BI COMPLEMENTAR</t>
  </si>
  <si>
    <t>A10 - ELO SERVIÇOS - ALOCAÇÃO ANALISTA BI</t>
  </si>
  <si>
    <t>A10 - Elo Serviços - Alocação 22 - COMPLEMENTAR</t>
  </si>
  <si>
    <t>A10 - Elo Serviços - Alocação 21 - COMPLEMENTAR</t>
  </si>
  <si>
    <t>A10 - Elo Serviços - Alocação 21</t>
  </si>
  <si>
    <t>A10 - Elo Serviços - 943 horas Consultoria Qlik</t>
  </si>
  <si>
    <t>A10 - Elo Serviços - 800 horas Consultoria Qlik</t>
  </si>
  <si>
    <t>A10 - ELO - RENOVAÇÃO BANCO HORAS QLIK 22</t>
  </si>
  <si>
    <t>A10 - ELO - RENOVAÇÃO ALOCAÇÃO ALTERYX</t>
  </si>
  <si>
    <t>A10 - ELO - MIGRAÇÃO SUBSCRIPTION</t>
  </si>
  <si>
    <t>A10 - ELO - LICENÇAS ALTERYX</t>
  </si>
  <si>
    <t>A10 - ELO - Banco de Horas 1° Semestre 2022 (Complemento)</t>
  </si>
  <si>
    <t>A10 - ELO - Banco de Horas 1° Semestre 2022</t>
  </si>
  <si>
    <t>A10 - ELO - ALTERYX</t>
  </si>
  <si>
    <t>A10 - Elo - Alteryx</t>
  </si>
  <si>
    <t>A10 - ELO - ALOCAÇÃO ALTERYX</t>
  </si>
  <si>
    <t>TREINAMENTO In Company Qlikview</t>
  </si>
  <si>
    <t>Scania Consultoria Especializada QlikView</t>
  </si>
  <si>
    <t>Scania Consultoria Espealizada QlikView 2016</t>
  </si>
  <si>
    <t>Scania BI Sense (Dashboard Comercial e Cobrança)</t>
  </si>
  <si>
    <t>SCANIA ADMINISTRADORA DE CONSÓRCIOS - SUBSCRIÇÃO 3 MESES NPRINTING</t>
  </si>
  <si>
    <t>SCANIA ADMINISTRADORA DE CONSÓRCIOS - RENOVAÇÃO SUBSCRIÇÃO 3 MESES NPRINTING</t>
  </si>
  <si>
    <t>Scania - Treinamento Qlik Sense Usabilidade</t>
  </si>
  <si>
    <t>Scania - NPrinting - Subscription</t>
  </si>
  <si>
    <t>Scania - Consultoria Especializada Qlik - Banco de horas</t>
  </si>
  <si>
    <t>Renovação NPrinting - Subscription - Consórcio Scania - Vigencia 22</t>
  </si>
  <si>
    <t>Consórcio Scania - Renovação NPrinting - Subscription</t>
  </si>
  <si>
    <t>A10 School - Treinamento Alfabetização de Dados - Consórcio Scania</t>
  </si>
  <si>
    <t>A10 - SCANIA ADMINISTRADORA DE CONSORCIOS LTDA</t>
  </si>
  <si>
    <t>A10 - Scania - RPA Automation Anywhere</t>
  </si>
  <si>
    <t>A10 - Scania - Banco de horas- Consultor 2 - Janeiro/Dezembro 20</t>
  </si>
  <si>
    <t>A10 - Scania - Banco de horas- Consultor 1 - Janeiro/Dezembro 21</t>
  </si>
  <si>
    <t>A10 - Scania - Banco de horas- Consultor 1 - Janeiro/Dezembro 20</t>
  </si>
  <si>
    <t>A10 - Scania - Banco de horas (Consultor: Willian Pultz) - Mai/Dez 19</t>
  </si>
  <si>
    <t>A10 - Scania - Banco de horas (Consultor: Willian Pultz) - Janeiro/Abril 19</t>
  </si>
  <si>
    <t>A10 - Scania - Banco de horas (Consultor: Marcio Kaihami) - Mai/Dez 19</t>
  </si>
  <si>
    <t>A10 - Scania - Banco de horas (Consultor: Márcio Kaihami) - Janeiro/Abril 19</t>
  </si>
  <si>
    <t>A10 - Scania - Alteryx</t>
  </si>
  <si>
    <t>A10 - SCANIA - ALOCAÇÃO QLIK 22</t>
  </si>
  <si>
    <t>A10 - SCANIA - ALOCAÇÃO OUT/DEZ 23</t>
  </si>
  <si>
    <t>A10 - SCANIA - ALOCAÇÃO 24</t>
  </si>
  <si>
    <t>A10 - SCANIA - ALOCAÇÃO 23</t>
  </si>
  <si>
    <t>A10 - CONSÓRCIO SCANIA - ALTERYX</t>
  </si>
  <si>
    <t>RENOVAÇÃO SUBSCRIÇÃO 2024 - MINERAÇÃO CARAIBA SA</t>
  </si>
  <si>
    <t>Renovação 2021 - MINERAÇÃO CARAÍBA S/A</t>
  </si>
  <si>
    <t>RENOVAÇÃO 2020 - MINERAÇÃO CARAÍBA</t>
  </si>
  <si>
    <t>Renovação 2019 - Mineração Caraíba</t>
  </si>
  <si>
    <t>Renovação 2018 Mineração Caraíba</t>
  </si>
  <si>
    <t>RENOVAÇÃO 2016 - 2018 - Mineração Caraíba</t>
  </si>
  <si>
    <t>RENOVAÇÃO 2014 - 2015 - Mineração Caraíba</t>
  </si>
  <si>
    <t>Mineração Caraiba SA Trial License ID 0749444</t>
  </si>
  <si>
    <t>Mineração Caraiba SA 2014 Aditivo 640h</t>
  </si>
  <si>
    <t>Mineração Caraíba SA - QLIK SUBS</t>
  </si>
  <si>
    <t>Mineração Caraiba SA - Habitat</t>
  </si>
  <si>
    <t>Mineração Caraiba SA - Expand 05 QSA</t>
  </si>
  <si>
    <t>Mineração Caraiba SA - Expand - NPrinting</t>
  </si>
  <si>
    <t>Mineração Caraiba SA</t>
  </si>
  <si>
    <t>Mineração Caraíba Qlik Sense</t>
  </si>
  <si>
    <t>Mineração Caraíba - QLIK NPrinting</t>
  </si>
  <si>
    <t>Mineração Caraíba - QLIK - Aquisição</t>
  </si>
  <si>
    <t>Mineração Caraiba - Campanha Metanoia -</t>
  </si>
  <si>
    <t>Caraíba - Expand - QSE SaaS - 5 QSA - 15 CAPACITY - Pro Rata (62.824)</t>
  </si>
  <si>
    <t>Academia IN - Treinamento Qlik Sense Fundamental - Mineração Caraíba</t>
  </si>
  <si>
    <t>A10 - MINERAÇÃO CARAIBA - ANALYTICS</t>
  </si>
  <si>
    <t>A10 - CARAIBA - TREINAMENTO</t>
  </si>
  <si>
    <t>A10 - CARAIBA - APRESENTAÇÃO PRIVACY</t>
  </si>
  <si>
    <t>Prospect</t>
  </si>
  <si>
    <t>RENOVAÇÃO SNOWFLAKE 2024 - CASSOL MATERIAIS DE CONSTRUÇÃO</t>
  </si>
  <si>
    <t>RENOVAÇÃO SNOWFLAKE 2023 - CASSOL MATERIAIS DE CONSTRUÇÃO</t>
  </si>
  <si>
    <t>A10 - CASSOL - SNOWFLAKE MVP</t>
  </si>
  <si>
    <t>A10 - CASSOL - MAPEAMENTO DOS PROCESSOS</t>
  </si>
  <si>
    <t>A10 - CASSOL - BANCO DE HORAS 23</t>
  </si>
  <si>
    <t>RENOVAÇÃO SUBSCRIÇÃO 2023 - MAISATIVO (SUPER BID)</t>
  </si>
  <si>
    <t>RENOVAÇÃO 2021 - MAISATIVO - SUPER BID</t>
  </si>
  <si>
    <t>RENOVAÇÃO 2020 - MAISATIVO - SUPER BID</t>
  </si>
  <si>
    <t>RENOVAÇÃO 2019 - MAISATIVO - SUPER BID</t>
  </si>
  <si>
    <t>RENOVAÇÃO 2018 - MAISATIVO - SUPER BID</t>
  </si>
  <si>
    <t>RENOVAÇÃO 2017 - MAISATIVO - SUPER BID</t>
  </si>
  <si>
    <t>RENOVAÇÃO 2016 - MAISATIVO - SUPER BID</t>
  </si>
  <si>
    <t>RENOVAÇÃO 2015 - MAISATIVO - SUPER BID</t>
  </si>
  <si>
    <t>RENOVAÇÃO 2014 - MAISATIVO - SUPER BID</t>
  </si>
  <si>
    <t>MAISATIVO - SUPER BID - Land - Qlik</t>
  </si>
  <si>
    <t>MAISATIVO - SUPER BID - Expand 6 ANALYZER USERS</t>
  </si>
  <si>
    <t>MAISATIVO - SUPER BID - Expand 2 ANALYZER USERS SUBSCRIÇÃO</t>
  </si>
  <si>
    <t>MAISATIVO - SUPER BID - Expand 1 PROFESSIONAL</t>
  </si>
  <si>
    <t>MAISATIVO - SUPER BID - Expand 1 ANALYZER USER SUBSCRIÇÃO</t>
  </si>
  <si>
    <t>MAISATIVO - SUPER BID - Expand 1 ANALYZER</t>
  </si>
  <si>
    <t>MAISATIVO - SUPER BID - Expand - Qlik Google Analytics</t>
  </si>
  <si>
    <t>Maisativo - Super Bid - Expand - 14 QSA + 1 QPA Subscrição - SaaS - 1Y (61.266)</t>
  </si>
  <si>
    <t>MAISATIVO - SUPER BID - Expand</t>
  </si>
  <si>
    <t>Maisativo - Super Bid - Conversão Subscrição - SaaS - 1Y (62.143)</t>
  </si>
  <si>
    <t>MAISATIVO - SUPER BID</t>
  </si>
  <si>
    <t>IN - SUPERBID - Expand - Saas - 03 QSP + 03 QSA 01</t>
  </si>
  <si>
    <t>A10 School - Treinamento Qlik Sense Developer I - Superbid</t>
  </si>
  <si>
    <t>A10 School - Treinamento Qlik Sense - Superbid</t>
  </si>
  <si>
    <t>A10 - SUPERBID - BANCO 80 HORAS</t>
  </si>
  <si>
    <t>A10 - SUPERBID - BANCO 120 HORAS</t>
  </si>
  <si>
    <t>A10 - SUPERBID - BANCO 100 HORAS</t>
  </si>
  <si>
    <t>A10 - SUPER BID - Expand - QSA Capacity (63.927)</t>
  </si>
  <si>
    <t>A10 - MAISATIVO - SUPER BID - Migração Servidor Qlik</t>
  </si>
  <si>
    <t>A10 - SUPERBID - ALTERYX</t>
  </si>
  <si>
    <t>https://in1.sugarondemand.com/#Accounts/8c0315fe-fd33-11e8-a047-069e4f790264</t>
  </si>
  <si>
    <t>RENOVAÇÃO ALTERYX 2024 - Dia Brasil</t>
  </si>
  <si>
    <t>Renovação 2024 DIA Brasil - Contrato de Suporte QLIK (direto com Grupo IN)</t>
  </si>
  <si>
    <t>RENOVAÇÃO 2023 - DIA BRASIL SOCIEDADE</t>
  </si>
  <si>
    <t>RENOVAÇÃO 2022 - DIA BRASIL SOCIEDADE</t>
  </si>
  <si>
    <t>RENOVAÇÃO 2021 - DIA BRASIL SOCIEDADE</t>
  </si>
  <si>
    <t>RENOVAÇÃO 2020 - DIA BRASIL SOCIEDADE</t>
  </si>
  <si>
    <t>Renovação 2019 - Dia Brasil</t>
  </si>
  <si>
    <t>RENOVAÇÃO 2018 - Dia Brasil</t>
  </si>
  <si>
    <t>RENOVAÇÃO 2017 - Dia Brasil</t>
  </si>
  <si>
    <t>RENOVAÇÃO 2016 - Dia Brasil</t>
  </si>
  <si>
    <t>RENOVAÇÃO 2015 - Dia Brasil</t>
  </si>
  <si>
    <t>RENOVAÇÃO 2013 - Dia Brasil</t>
  </si>
  <si>
    <t>Novas Licenças Regionais</t>
  </si>
  <si>
    <t>IN Proposta Customização Web Ticket para Integração de Usuários com Excel - DIA Brasil</t>
  </si>
  <si>
    <t>DIA% - Alocação Consultoria Qlik - Lucas</t>
  </si>
  <si>
    <t>Dia Group 201710 Projeto Fidelizacao Clube Dia</t>
  </si>
  <si>
    <t>Dia Brasil Sociedade Ltda. Novas Licenças Bahia</t>
  </si>
  <si>
    <t>Dia Brasil Sociedade Ltda. More licences</t>
  </si>
  <si>
    <t>Dia Brasil Sociedade Ltda. Expansion QlikView 10 Named 30 Docs ID 0650882</t>
  </si>
  <si>
    <t>Dia Brasil Sociedade Ltda. Expand 10 Tokens</t>
  </si>
  <si>
    <t>Dia Brasil Sociedade Ltda. Dual Use ID 0787947</t>
  </si>
  <si>
    <t>Dia Brasil Sociedade Ltda. 1N 20D</t>
  </si>
  <si>
    <t>Dia Brasil Sociedade Ltda. - SS-Uplift Dual User</t>
  </si>
  <si>
    <t>Dia Brasil Sociedade Ltda. - Expand 40 DUAL Named/Pro</t>
  </si>
  <si>
    <t>Dia Brasil Sociedade Ltda. - Expand</t>
  </si>
  <si>
    <t>Dia Brasil Projeto Reapro</t>
  </si>
  <si>
    <t>Dia Brasil Non Blilable</t>
  </si>
  <si>
    <t>Dia Brasil Non Billable</t>
  </si>
  <si>
    <t>Dia Brasil Migação QlikView e MS SQL Server</t>
  </si>
  <si>
    <t>Dia Brasil Expansão 50 Named + SAP Conector</t>
  </si>
  <si>
    <t>Dia Brasil Expand Publisher e Enterprise Server</t>
  </si>
  <si>
    <t>Dia Brasil Expand 50 Document</t>
  </si>
  <si>
    <t>Dia Brasil Expand 30 Nameds</t>
  </si>
  <si>
    <t>Dia Brasil Consultoria Especializada QlikView Sortimento</t>
  </si>
  <si>
    <t>Dia Brasil Consultoria Especializada QlikView Conciliação</t>
  </si>
  <si>
    <t>Dia Brasil Consultoria Especializada QlikView Abastecimento</t>
  </si>
  <si>
    <t>Dia Brasil Consultoria Especializada Qlik</t>
  </si>
  <si>
    <t>Dia Brasil Banco de horas de consultoria 232 horas</t>
  </si>
  <si>
    <t>Dia Brasil Aquisição de Licenças + Upgrade + NPrinting</t>
  </si>
  <si>
    <t>Dia Brasil Alocação Consultor II</t>
  </si>
  <si>
    <t>Dia Brasil - Suporte Presencial</t>
  </si>
  <si>
    <t>DIA Brasil - Suporte (Não renovação Qlik)</t>
  </si>
  <si>
    <t>Dia Brasil - Land - Perpétua - QLIK</t>
  </si>
  <si>
    <t>Dia Brasil - IBD - Talend (65.628)</t>
  </si>
  <si>
    <t>Dia Brasil - Banco de Horas -1920</t>
  </si>
  <si>
    <t>DIA Brasil - Alocação Power BI - Migração das aplicações Qlik</t>
  </si>
  <si>
    <t>Dia Brasil - Alocação Power BI (Financeiro)</t>
  </si>
  <si>
    <t>Dia Brasil - Alocação Alteryx Extensão 2</t>
  </si>
  <si>
    <t>Dia Brasil - Alocação Alteryx - Complementar a 63732</t>
  </si>
  <si>
    <t>Dia Abastecimento entre CDs Alterix</t>
  </si>
  <si>
    <t>DIA - Treinamento Developer I - Área Comercial</t>
  </si>
  <si>
    <t>DIA - Serviços Alteryx</t>
  </si>
  <si>
    <t>DIA - Recurso Talend</t>
  </si>
  <si>
    <t>Dia - Multi node Qlik</t>
  </si>
  <si>
    <t>DIA - Monitoramento de carga de dados</t>
  </si>
  <si>
    <t>DIA - Ficha de custo</t>
  </si>
  <si>
    <t>DIA - Contrato 2022</t>
  </si>
  <si>
    <t>Dia - Consultoria Talend - Horas complementares</t>
  </si>
  <si>
    <t>Dia - Consultoria Talend</t>
  </si>
  <si>
    <t>DIA - Atualização de versão QS e QV</t>
  </si>
  <si>
    <t>Dia - Atualização de versão</t>
  </si>
  <si>
    <t>DIA - Alteryx - Extensão 2</t>
  </si>
  <si>
    <t>DIA - Alteryx - Expand</t>
  </si>
  <si>
    <t>DIA - Alocação Recurso Qlik 2023</t>
  </si>
  <si>
    <t>DIA - Alocação Qlik Pleno - Extensão 03 meses</t>
  </si>
  <si>
    <t>DIA - Alocação Qlik Pleno - Comercial</t>
  </si>
  <si>
    <t>DIA - Alocação Qlik Pleno - 03 meses</t>
  </si>
  <si>
    <t>DIA - Alocação Qlik Junior</t>
  </si>
  <si>
    <t>DIA - Alocação Qlik / R / Python</t>
  </si>
  <si>
    <t>Dia - Alocação Power BI Supply Chain</t>
  </si>
  <si>
    <t>Dia - Alocação Power BI - TI</t>
  </si>
  <si>
    <t>DIA - Alocação de recurso Qlik Pleno - 03 meses</t>
  </si>
  <si>
    <t>DIA - Alocação Consultoria</t>
  </si>
  <si>
    <t>DIA - Alocação BigQuery</t>
  </si>
  <si>
    <t>DIA - Alocação Alteryx 02 semanas</t>
  </si>
  <si>
    <t>DIA - Alocação Alteryx - Extensão</t>
  </si>
  <si>
    <t>Dia - Alocação Alteryx</t>
  </si>
  <si>
    <t>DIA - Alocação Ricardo Nepomuceno</t>
  </si>
  <si>
    <t>A10 - Dia% - Subscrição Alteryx (Transferência de Canal)</t>
  </si>
  <si>
    <t>A10 - Dia% - Renovação da Subscrição Alteryx</t>
  </si>
  <si>
    <t>A10 - Dia% - Projeto Alterix Fase 2</t>
  </si>
  <si>
    <t>A10 - Dia% - Consultoria QlikView (6 meses)</t>
  </si>
  <si>
    <t>A10 - DIA% - Alocação Consultoria Qlik</t>
  </si>
  <si>
    <t>A10 - Dia Brasil - Designer+Server Fiscal Area</t>
  </si>
  <si>
    <t>Workshop Data UX com Qlik</t>
  </si>
  <si>
    <t>RENOVAÇÃO SUBSCRIÇÃO 2025 - LEROY MERLIN</t>
  </si>
  <si>
    <t>RENOVAÇÃO 2021/2022 - LEROY MERLIN COMPANHIA BRASILEIRA DE BRICOLAGEM</t>
  </si>
  <si>
    <t>RENOVAÇÃO 2020 - Leroy Merlin</t>
  </si>
  <si>
    <t>RENOVAÇÃO 2019 - Leroy Merlin - Subscription</t>
  </si>
  <si>
    <t>RENOVAÇÃO 2019 - Leroy Merlin - Pérpetua</t>
  </si>
  <si>
    <t>Leroy Merlin Cia Brasileira de Bricolagem - Land SaaS</t>
  </si>
  <si>
    <t>Leroy Merlin - Subscription (08 QSP) - 1Y</t>
  </si>
  <si>
    <t>Leroy Merlin - Snowflake</t>
  </si>
  <si>
    <t>Leroy Merlin - Odislei - Qlik Senior</t>
  </si>
  <si>
    <t>Leroy Merlin - Odislei - Qlik Pleno</t>
  </si>
  <si>
    <t>Leroy Merlin - LPU Tecnologia</t>
  </si>
  <si>
    <t>Leroy Merlin - Land (200 QSP + 200 QS Token)</t>
  </si>
  <si>
    <t>Leroy Merlin - Hiper Automação</t>
  </si>
  <si>
    <t>Celonis</t>
  </si>
  <si>
    <t>Leroy Merlin - Harley Tomé - Vigência: Fev/23 a Dez/23</t>
  </si>
  <si>
    <t>Leroy Merlin - Extension Qlik Sense NPS</t>
  </si>
  <si>
    <t>Leroy Merlin - Expand 500QSA</t>
  </si>
  <si>
    <t>Leroy Merlin - Expand (50 QSP + 650 QSA)</t>
  </si>
  <si>
    <t>Leroy Merlin - Expand (41 QSA)</t>
  </si>
  <si>
    <t>Leroy Merlin - Expand (29 QSP + 92 QSA)</t>
  </si>
  <si>
    <t>Leroy Merlin - Expand (186 QSA + 28 QSP)</t>
  </si>
  <si>
    <t>Leroy Merlin - DataRobot</t>
  </si>
  <si>
    <t>Leroy Merlin - Consultoria Ate Julho/22</t>
  </si>
  <si>
    <t>Leroy Merlin - Consultor Looker</t>
  </si>
  <si>
    <t>Leroy Merlin - Application Automation</t>
  </si>
  <si>
    <t>Leroy Merlin - Alocação Tiago Cardoso 2023</t>
  </si>
  <si>
    <t>Leroy Merlin - Alocação Tiago Caedoso - Vigência: Jan23 a Dez23</t>
  </si>
  <si>
    <t>Leroy Merlin - Alocação Tiago - Out22 a Dez 22</t>
  </si>
  <si>
    <t>Leroy Merlin - Alocação Qlik</t>
  </si>
  <si>
    <t>Leroy Merlin - Alocação Harley Tome - 2024</t>
  </si>
  <si>
    <t>Leroy Merlin - Alocação Anderson Ribeiro - Vigência: Jan23 a Dez23</t>
  </si>
  <si>
    <t>Leroy Merlin - Alocação Alex Zani - Vigência: Fev23 a Dez/23</t>
  </si>
  <si>
    <t>Leroy Merlin - Alocação Alex Zani - Out/22 a Jan/23</t>
  </si>
  <si>
    <t>Leroy Merlin - Alocação Alex Zani - 2024</t>
  </si>
  <si>
    <t>Leroy Merlin (Antecipação) - Harley 2024</t>
  </si>
  <si>
    <t>Leroy Merlin (Antecipação) - Alex 2024</t>
  </si>
  <si>
    <t>Leroy - Migração SAAS</t>
  </si>
  <si>
    <t>Leroy - DevOps</t>
  </si>
  <si>
    <t>Leroy - D&amp;A: Extension QlikSense - Send proposal</t>
  </si>
  <si>
    <t>Leroy - Consultoria Especializada Yoshida 2021</t>
  </si>
  <si>
    <t>Leroy - Consultoria Especializada Yoshida</t>
  </si>
  <si>
    <t>Leroy - Consultoria Especializada Alex 2021</t>
  </si>
  <si>
    <t>Leroy - Consultoria Especializada - 6 meses</t>
  </si>
  <si>
    <t>Leroy Merlin - Alocação Arq Dados</t>
  </si>
  <si>
    <t>Leroy Merlin - Alocação 2 Eng Dados</t>
  </si>
  <si>
    <t>Leroy Merlin - Alocação 2 Arq Dados</t>
  </si>
  <si>
    <t>A10 - PDEX</t>
  </si>
  <si>
    <t>A10 - Leroy Merlin - Suporte On Site -</t>
  </si>
  <si>
    <t>A10 - Leroy Merlin - Suporte On Site (Aditivo Contratual 02 anos)</t>
  </si>
  <si>
    <t>A10 - Leroy Merlin - Suporte On Site</t>
  </si>
  <si>
    <t>A10 - Leroy Merlin - Consultoria Qlik (Novo Consultor)</t>
  </si>
  <si>
    <t>A10 - Leroy Merlin - Consultoria Especializada QLIK (Horas Executadas em Setembro 2020)</t>
  </si>
  <si>
    <t>A10 - Leroy Merlin - Consultoria Especializada QLIK (Horas Executadas em Outubro 2020)</t>
  </si>
  <si>
    <t>A10 - Leroy Merlin - Consultoria Especializada QLIK (Horas Executadas em Novembro e Dezembro 2020)</t>
  </si>
  <si>
    <t>A10 - Leroy Merlin - Consultoria Especializada QLIK (Horas Executadas em Março 2020)</t>
  </si>
  <si>
    <t>A10 - Leroy Merlin - Consultoria Especializada QLIK (Horas Executadas em Maio 2020)</t>
  </si>
  <si>
    <t>A10 - Leroy Merlin - Consultoria Especializada QLIK (Horas Executadas em Junho 2020)</t>
  </si>
  <si>
    <t>A10 - Leroy Merlin - Consultoria Especializada QLIK (Horas Executadas em Julho 2020)</t>
  </si>
  <si>
    <t>A10 - Leroy Merlin - Consultoria Especializada QLIK (Horas Executadas em Janeiro 2021</t>
  </si>
  <si>
    <t>A10 - Leroy Merlin - Consultoria Especializada QLIK (Horas Executadas em Fevereiro 2021</t>
  </si>
  <si>
    <t>A10 - Leroy Merlin - Consultoria Especializada QLIK (Horas Executadas em Fevereiro 2020)</t>
  </si>
  <si>
    <t>A10 - Leroy Merlin - Consultoria Especializada QLIK (Horas Executadas em Agosto 2020)</t>
  </si>
  <si>
    <t>A10 - Leroy Merlin - Consultoria Especializada QLIK (Horas Executadas em Abril 2020)</t>
  </si>
  <si>
    <t>A10 - Leroy Merlin - Consultoria Especializada QLIK (Horas Adicionais)</t>
  </si>
  <si>
    <t>A10 - Leroy Merlin - Consultoria Especializada QLIK</t>
  </si>
  <si>
    <t>A10 - Leroy Merlin - Consultoria Especializada (Tiago Bocuto)</t>
  </si>
  <si>
    <t>A10 - Leroy Merlin - Consultoria Especializada (Cristiano)</t>
  </si>
  <si>
    <t>A10 - Leroy Merlin - Consultoria Especializada (Alex)</t>
  </si>
  <si>
    <t>A10 - Leroy - Consultoria Especializada Olivia Gil 2021</t>
  </si>
  <si>
    <t>JDE - Treinamento Customizado Power BI</t>
  </si>
  <si>
    <t>JDE - Sustentação - Jul/22 a Dez/22</t>
  </si>
  <si>
    <t>JDE - Sustentação - Jan/24 a Dez/24</t>
  </si>
  <si>
    <t>JDE - Sustentação - Jan/23 a Dez/23</t>
  </si>
  <si>
    <t>JDE - SI</t>
  </si>
  <si>
    <t>JDE - SG&amp;A - ONDA 1</t>
  </si>
  <si>
    <t>JDE - RH - Consolidação de bases em DL na Azure</t>
  </si>
  <si>
    <t>JDE - Relatório 4M - Fase II</t>
  </si>
  <si>
    <t>JDE - Relatório 4M</t>
  </si>
  <si>
    <t>JDE - Loja Perfeita - Atualização NF</t>
  </si>
  <si>
    <t>JDE - Escopo complementar para o Preço Moda</t>
  </si>
  <si>
    <t>JDE - Escopo adicional Preço Moda</t>
  </si>
  <si>
    <t>JDE - Escopo adicional 4M</t>
  </si>
  <si>
    <t>JDE - Desenvolvimento de apps</t>
  </si>
  <si>
    <t>JDE - Dados KIS</t>
  </si>
  <si>
    <t>JDE - dados dos distribuidores do Data Lake para o 4M</t>
  </si>
  <si>
    <t>JDE - Coaching + Consultoria</t>
  </si>
  <si>
    <t>JDE - CMI - Novos dashs</t>
  </si>
  <si>
    <t>JDE - Carga dos dados no Data Lake</t>
  </si>
  <si>
    <t>JDE - Banco de Horas TI - 2023</t>
  </si>
  <si>
    <t>JDE - Banco de Horas TI</t>
  </si>
  <si>
    <t>JDE - Alocação de recurso full time</t>
  </si>
  <si>
    <t>JDE - Alocação 2021</t>
  </si>
  <si>
    <t>JDE - Ajuste na base e painéis - Merchan</t>
  </si>
  <si>
    <t>JDE - Ajuste de Rota e Preço Moda</t>
  </si>
  <si>
    <t>JDE - Ajuste 4M</t>
  </si>
  <si>
    <t>JDE - Aditivo 03 meses</t>
  </si>
  <si>
    <t>JDE - Projeto Disponibilização de dados PJA</t>
  </si>
  <si>
    <t>A10 - JDE - Start Ago20</t>
  </si>
  <si>
    <t>A10 - JDE - Projeto Start - Sustentação</t>
  </si>
  <si>
    <t>A10 - JDE - Portfólio Mobile</t>
  </si>
  <si>
    <t>A10 - JDE - Extensão do Contrato Set-Dez/2020</t>
  </si>
  <si>
    <t>A10 - JDE - ERAC Mobile</t>
  </si>
  <si>
    <t>A10 - JDE - Aditivo complementar - Maio</t>
  </si>
  <si>
    <t>A10 - JDE - Aditivo complementar - 01 mês (640 horas)</t>
  </si>
  <si>
    <t>A10 - JDE - Projeto Start</t>
  </si>
  <si>
    <t>SKF- Alterix + Consultoria Qlik</t>
  </si>
  <si>
    <t>SKF SGC_Sistema de Gerenciamento de Contratos</t>
  </si>
  <si>
    <t>SKF Plataforma Qlik_Modelo SAAS</t>
  </si>
  <si>
    <t>SKF Planejamento Estrategico</t>
  </si>
  <si>
    <t>SKF Licenças QlikView (Subscription) I</t>
  </si>
  <si>
    <t>SKF do Brasil Ltda - Land</t>
  </si>
  <si>
    <t>SKF do Brasil Ltda - Expand</t>
  </si>
  <si>
    <t>SKF Consultoriia Especializada Qlik</t>
  </si>
  <si>
    <t>SKF Consultoria TI</t>
  </si>
  <si>
    <t>SKF Consultoria Especializada Qlik Sustentação</t>
  </si>
  <si>
    <t>SKF Consultoria Especializada Qlik 80 horas II</t>
  </si>
  <si>
    <t>SKF Consultoria Especializada Qlik 80 horas</t>
  </si>
  <si>
    <t>SKF Consultoria Especializada Qlik (01 Mes)</t>
  </si>
  <si>
    <t>SKF Aquisição de Licenças</t>
  </si>
  <si>
    <t>SKF - RPA Consultoria</t>
  </si>
  <si>
    <t>SKF - Nova RFP RPA Consultoria</t>
  </si>
  <si>
    <t>SKF - MIGRAÇÃO DE AMBIENTE - Apoio</t>
  </si>
  <si>
    <t>SKF - MIGRAÇÃO DE AMBIENTE</t>
  </si>
  <si>
    <t>SKF - Manufatura</t>
  </si>
  <si>
    <t>SKF - Licenças QlikView (Subscription) II</t>
  </si>
  <si>
    <t>SKF - Expand 2 QSA Capacity</t>
  </si>
  <si>
    <t>SKF - Engenheiro de Dados</t>
  </si>
  <si>
    <t>SKF - Consultoria Qlik</t>
  </si>
  <si>
    <t>SKF - Acompanhamento Pós Virada</t>
  </si>
  <si>
    <t>SKF - AA</t>
  </si>
  <si>
    <t>SKF - Regras de Negócio Vendas</t>
  </si>
  <si>
    <t>RENOVAÇÃO SUBSCRIÇÃO 2024 - SKF DO BRASIL</t>
  </si>
  <si>
    <t>RENOVAÇÃO SUBSCRIÇÃO 2023 - SKF DO BRASIL</t>
  </si>
  <si>
    <t>RENOVAÇÃO 2017 - SKF</t>
  </si>
  <si>
    <t>RENOVAÇÃO 2016 - SKF</t>
  </si>
  <si>
    <t>A10 - SKF Consultoria Especializada Qlik Sustentação (Regularização)</t>
  </si>
  <si>
    <t>A10 - SKF - Alteryx</t>
  </si>
  <si>
    <t>A10 - SKF - RPA</t>
  </si>
  <si>
    <t>Telecommunications</t>
  </si>
  <si>
    <t>Distribution</t>
  </si>
  <si>
    <t>Agro-Industrial</t>
  </si>
  <si>
    <t>Research</t>
  </si>
  <si>
    <t>Mobility</t>
  </si>
  <si>
    <t>Mining</t>
  </si>
  <si>
    <t>Auctions</t>
  </si>
  <si>
    <t>Technology</t>
  </si>
  <si>
    <t>Energy</t>
  </si>
  <si>
    <t>Heavy Industry</t>
  </si>
  <si>
    <t>Automotive</t>
  </si>
  <si>
    <t>Health</t>
  </si>
  <si>
    <t>Financial</t>
  </si>
  <si>
    <t>Insurance</t>
  </si>
  <si>
    <t>Retail</t>
  </si>
  <si>
    <t>Industry</t>
  </si>
  <si>
    <t>Nível de parceria percebida do Parceiro</t>
  </si>
  <si>
    <t>https://in1.sugarondemand.com/#Accounts/686cb46a-fd33-11e8-89b2-069e4f790264</t>
  </si>
  <si>
    <t xml:space="preserve">Atualmente a Campari não tem gestão a vista, usam muito planilha e cada area tem seus criterios de graficos e informaçies, de acordo com Cintia precisa potencializar o uso e aplicar uma gestão a vista. / O Ambiente da Campari é internacioanal pela AWS, em 2021 os dados da Campari foram invadidos causando um prejuizo de tempo e informações, porém conseguiram recuperar e hoje tudo tem que ser validado e permitido pelo o ambiente internacional. / Principais objetivos da Campari, na redução de 4 processos: Reduzir a frequência de erros humanos
Reduzir o tempo gasto nos processos 
Reduzir esforço para encontrar dados e realizar análises
Processos: Análises de notas fiscais. - - Planejamento de incentivos tributários- Geração de visualizações sobre Prorrogação de boletos. -- Análise de ativos. / </t>
  </si>
  <si>
    <t xml:space="preserve">Reduzir a frequência de erros humanos
Reduzir o tempo gasto nos processos 
Reduzir esforço para encontrar dados e realizar análises/ Atualmente a Campari não tem gestão a vista, usam muito planilha e cada area tem seus criterios de graficos e informaçies, de acordo com Cintia precisa potencializar o uso e aplicar uma gestão a vista. / O Ambiente da Campari é internacioanal pela AWS, em 2021 os dados da Campari foram invadidos causando um prejuizo de tempo e informações, porém conseguiram recuperar e hoje tudo tem que ser validado e permitido pelo o ambiente internacional. / Principais objetivos da Campari, na redução de 4 processos: Reduzir a frequência de erros humanos
Reduzir o tempo gasto nos processos 
Reduzir esforço para encontrar dados e realizar análises
Processos: Análises de notas fiscais. - - Planejamento de incentivos tributários- Geração de visualizações sobre Prorrogação de boletos. -- Análise de ativos. / </t>
  </si>
  <si>
    <t>Bom Futuro</t>
  </si>
  <si>
    <t xml:space="preserve">Agronegocio </t>
  </si>
  <si>
    <t>https://www.bomfuturo.com.br/pt-br</t>
  </si>
  <si>
    <t>https://www.linkedin.com/company/bomfuturooficial/</t>
  </si>
  <si>
    <t>Replicate da Qlik</t>
  </si>
  <si>
    <t xml:space="preserve">Totvs </t>
  </si>
  <si>
    <t xml:space="preserve">Edlar </t>
  </si>
  <si>
    <t>Gerente TI</t>
  </si>
  <si>
    <t>Darci.junior@bomfuturo.com.br</t>
  </si>
  <si>
    <t>Darci</t>
  </si>
  <si>
    <t>Dodos</t>
  </si>
  <si>
    <t>edelar.aguiar@bomfuturo.com.br</t>
  </si>
  <si>
    <t>Cuiabá</t>
  </si>
  <si>
    <t>https://in1.sugarondemand.com/#Accounts/846e4fb6-fd33-11e8-80a6-069e4f790264</t>
  </si>
  <si>
    <t>Unimed Goiania</t>
  </si>
  <si>
    <t>Goiana</t>
  </si>
  <si>
    <t>https://www.unimedgoiania.coop.br/wps/portal/internet/!ut/p/z1/04_Sj9CPykssy0xPLMnMz0vMAfIjo8ziDSy8jQydgw18LVzCDA0cXczNAlzNgj08DQ30wwkpiAJJ4wCOIP1RhJQU5EYYpDsqKgIAIbkEkg!!/dz/d5/L2dBISEvZ0FBIS9nQSEh/</t>
  </si>
  <si>
    <t>https://www.linkedin.com/company/unimedgoiania/</t>
  </si>
  <si>
    <t>Temos cases de RPA e H20, soluções de interesse, como também se serviçoes e liceniamento Qlik</t>
  </si>
  <si>
    <t xml:space="preserve">Tem a solução Perpetua da QLik com a IN, mas a principal é a Tableau/ Data Center, compraram recetimemte, acreditmos que nos proximimos 5 anos não migrarão para nuvem. </t>
  </si>
  <si>
    <t>Nenhum (Em fase de POC)</t>
  </si>
  <si>
    <t>Cristinane Oliveira]</t>
  </si>
  <si>
    <t>Gerente de Compras</t>
  </si>
  <si>
    <t>Cristiane.oliveira@unimedgoiania.coop.br</t>
  </si>
  <si>
    <t>Vinicius Silva</t>
  </si>
  <si>
    <t>vinicius.silva@unimedgoiania.coop.br&gt;</t>
  </si>
  <si>
    <t xml:space="preserve"> 62 8276-0761</t>
  </si>
  <si>
    <t>Unimed Goiânia</t>
  </si>
  <si>
    <t>https://in1.sugarondemand.com/#Accounts/019b1506-a4d0-11ea-b4f8-022c40d974e6</t>
  </si>
  <si>
    <t>São José do Rio Preto - SP</t>
  </si>
  <si>
    <t>https://www.unimedriopreto.com.br/</t>
  </si>
  <si>
    <t>https://www.linkedin.com/company/unimedriopreto/</t>
  </si>
  <si>
    <t>UNIMED SJRP</t>
  </si>
  <si>
    <t>ERP TOTVS, Banco SQL, csv, excel, txt.</t>
  </si>
  <si>
    <t>WDG IBM</t>
  </si>
  <si>
    <t>Azure Fabric 2.0</t>
  </si>
  <si>
    <t>Alexis</t>
  </si>
  <si>
    <t>Weber Guimarães</t>
  </si>
  <si>
    <t>https://www.linkedin.com/in/weber-guimar%C3%A3es-51185114/</t>
  </si>
  <si>
    <t>Murilo Salles Maturana</t>
  </si>
  <si>
    <t>Coordenador de T.I.</t>
  </si>
  <si>
    <t>mmaturana@unimedriopreto.com.br</t>
  </si>
  <si>
    <t>+55 17 99107-0067</t>
  </si>
  <si>
    <t>https://www.linkedin.com/in/murilo-maturana-12115a9/</t>
  </si>
  <si>
    <t>Cristiano David Fontes</t>
  </si>
  <si>
    <t>Especialista B.I.</t>
  </si>
  <si>
    <t>cfontes@unimedriopreto.com.br</t>
  </si>
  <si>
    <t>+55 17 98111-8397</t>
  </si>
  <si>
    <t>https://www.linkedin.com/in/cristiano-david-fontes-35835955/</t>
  </si>
  <si>
    <t>Rafael Gustavo dos Santos</t>
  </si>
  <si>
    <t>Líder de Ciência e Governança de Dados</t>
  </si>
  <si>
    <t>rgsantos@unimedriopreto.com.br</t>
  </si>
  <si>
    <t>+55 17 99166-3467</t>
  </si>
  <si>
    <t>https://www.linkedin.com/in/rafael-gustavo-dos-santos-9ab57739/</t>
  </si>
  <si>
    <t>Unimed SJRP</t>
  </si>
  <si>
    <t>Goiâna</t>
  </si>
  <si>
    <t>https://in1.sugarondemand.com/#Accounts/5efbe3a6-fd33-11e8-92f2-069e4f790264</t>
  </si>
  <si>
    <t>Mineiração</t>
  </si>
  <si>
    <t>Pojuca - BA</t>
  </si>
  <si>
    <t>https://www.ferbasa.com.br/</t>
  </si>
  <si>
    <t>https://www.linkedin.com/company/ferbasa/?originalSubdomain=br</t>
  </si>
  <si>
    <t>FERBASA</t>
  </si>
  <si>
    <t>ERP Progress Datasul e SQL Protheus, e documentos tipo excel, csv e txt.</t>
  </si>
  <si>
    <t>Elson Xavier</t>
  </si>
  <si>
    <t>elsonxavier@ferbasa.com.br</t>
  </si>
  <si>
    <t>+55 71 98829-5715</t>
  </si>
  <si>
    <t>https://www.linkedin.com/in/elson-pedreira-xavier-jr-63668519/</t>
  </si>
  <si>
    <t>Maiteé Santana</t>
  </si>
  <si>
    <t>Supervisora de T.I.</t>
  </si>
  <si>
    <t>maiteesantana@ferbasa.com.br</t>
  </si>
  <si>
    <t>+55 71 98800-4061</t>
  </si>
  <si>
    <t>https://www.linkedin.com/in/maite%C3%A9-alexandria-3798b324/</t>
  </si>
  <si>
    <t>Ferbasa</t>
  </si>
  <si>
    <t>https://in1.sugarondemand.com/#Accounts/72423802-fd33-11e8-85d6-069e4f790264</t>
  </si>
  <si>
    <t>UNIMED GOIÂNIA - Transferência de Master (Manutenção de Licenças Perpétua QLIK)</t>
  </si>
  <si>
    <t>Unimed Goiânia - Licenças Qlik Perpétua</t>
  </si>
  <si>
    <t>Unimed Goiânia - IA / Data Driven</t>
  </si>
  <si>
    <t>Unimed Goiana - Automation Anywhere - ( RPA)</t>
  </si>
  <si>
    <t>Unimed Goiana - Alocação de recurso para projeto BI - 65.571</t>
  </si>
  <si>
    <t>RENOVAÇÃO PERPÉTUA 2024 - UNIMED GOIÂNIA - Transferência de Master (Manutenção de Licenças Perpétua QLIK)</t>
  </si>
  <si>
    <t>Unimed SJRP Treinamento Expert Leader</t>
  </si>
  <si>
    <t>Unimed SJRP - Consultoria Qlik</t>
  </si>
  <si>
    <t>Unimed São Jose do Rio Preto QAP</t>
  </si>
  <si>
    <t>Unimed São José do Rio Preto Expand ID 0766402</t>
  </si>
  <si>
    <t>Unimed São José do Rio Preto Expand 30 Tokens Professional ID 0659044</t>
  </si>
  <si>
    <t>Unimed São José do Rio Preto exp</t>
  </si>
  <si>
    <t>Unimed São José do Rio Preto - Desenvolvimento Painéis - Qlik</t>
  </si>
  <si>
    <t>Unimed São José do Rio Preto - Consultoria Qlik - QAP x SaaS</t>
  </si>
  <si>
    <t>Unimed São José do Rio Preto (63.273)</t>
  </si>
  <si>
    <t>Unimed S J Rio Preto Treinamento (aditivo)</t>
  </si>
  <si>
    <t>Unimed Rio Preto Treinamento Qlik Master Class</t>
  </si>
  <si>
    <t>Unimed - Alteryx Designer</t>
  </si>
  <si>
    <t>Renovação Perpétua 2024 - Unimed São José do Rio Preto</t>
  </si>
  <si>
    <t>Renovação Perpétua 2023 - Unimed São José do Rio Preto</t>
  </si>
  <si>
    <t>RENOVAÇÃO 2022 - UNIMED SÃO JOSÉ DO RIO PRETO</t>
  </si>
  <si>
    <t>Renovação 2021 - UNIMED SÃO JOSÉ DO RIO PRETO</t>
  </si>
  <si>
    <t>RENOVAÇÃO 2020 - UNIMED SÃO JOSÉ DO RIO PRETO</t>
  </si>
  <si>
    <t>Renovação 2019 - Unimed São José Rio Preto</t>
  </si>
  <si>
    <t>RENOVAÇÃO 2018 - Unimed São José do Rio Preto</t>
  </si>
  <si>
    <t>RENOVAÇÃO 2017 - Unimed S.J. Rio Preto</t>
  </si>
  <si>
    <t>Q4P Unimed SJ Rio Preto 30 Tokens + NPrtg SMB</t>
  </si>
  <si>
    <t>Instalação e Configuração do Node Adicional</t>
  </si>
  <si>
    <t>Conversão Perpétua para Subscrição SaaS - Unimed S.J Rio Preto 3Y</t>
  </si>
  <si>
    <t>A10 Unimed - Treinamento Alteryx Essential</t>
  </si>
  <si>
    <t>A10 - Unimed SJRP - Assessment/Arquitetura redundante Ambiente Qlik Sense</t>
  </si>
  <si>
    <t>A10 - Unimed SJRio Preto - Snowflake</t>
  </si>
  <si>
    <t>RENOVAÇÃO SUBSCRIÇÃO 2025 - FERBASA - CIA DE FERRO LIGAS DA BAHIA</t>
  </si>
  <si>
    <t>RENOVAÇÃO 2022/2023 - FERBASA - Companhia de Ferro Ligas da Bahia</t>
  </si>
  <si>
    <t>RENOVAÇÃO 2021 - FERBASA - Companhia de Ferro Ligas da Bahia</t>
  </si>
  <si>
    <t>Renovação 2020/2021 - Ferbasa</t>
  </si>
  <si>
    <t>RENOVAÇÃO 2018 - 2020 Ferbasa</t>
  </si>
  <si>
    <t>Ferbasa Consultoria Especializada QlikSense (aditivo 20%)</t>
  </si>
  <si>
    <t>Ferbasa Consultoria Especializada Qlik 1000 hs</t>
  </si>
  <si>
    <t>Ferbasa Companhia de Ferro Ligas da Bahia Qlik Sense</t>
  </si>
  <si>
    <t>Ferbasa Companhia de Ferro Ligas da Bahia Expand 10 QSA ID 0761196</t>
  </si>
  <si>
    <t>Ferbasa - Serviços sob Demanda (Complementar a OP 61514) - Março a Julho/23</t>
  </si>
  <si>
    <t>Ferbasa - Serviços sob Demanda (Complementar a OP 61514) - Julho a Dezembro/23</t>
  </si>
  <si>
    <t>Ferbasa - Serviços sob Demanda (Complementar a OP 61514) - Jan/23</t>
  </si>
  <si>
    <t>Ferbasa - Serviços sob Demanda (Complementar a OP 61514) - Dezembro/23 a Fevereiro/24</t>
  </si>
  <si>
    <t>Ferbasa - Serviços sob Demanda (Complementar a OP 61514)</t>
  </si>
  <si>
    <t>Ferbasa - RPA</t>
  </si>
  <si>
    <t>FERBASA - RPA</t>
  </si>
  <si>
    <t>Ferbasa - Desenvolvimento BOT</t>
  </si>
  <si>
    <t>Ferbasa - Conversão SaaS + Expand 40 QSA - 3Y</t>
  </si>
  <si>
    <t>Ferbasa - Consultoria RPA A.A. 360</t>
  </si>
  <si>
    <t>Ferbasa - Consultoria para Migração de Ambiente</t>
  </si>
  <si>
    <t>Ferbasa - Banco de Horas sob Demanda (Qlik)</t>
  </si>
  <si>
    <t>Ferbasa - A10 School - Treinamentos Qlik Sense SaaS (5 Alunos)</t>
  </si>
  <si>
    <t>Ferbasa - A10 School - Treinamento Qlik Sense SaaS</t>
  </si>
  <si>
    <t>Ferbasa - 100 Horas de Consultoria</t>
  </si>
  <si>
    <t>Ferbasa - 34,72 Horas de Consultoria (Oportunidade Complementar 64.946)</t>
  </si>
  <si>
    <t>MÉDIA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</si>
</sst>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8" formatCode="&quot;R$&quot;\ #,##0.00;[Red]\-&quot;R$&quot;\ #,##0.00"/>
    <numFmt numFmtId="43" formatCode="_-* #,##0.00_-;\-* #,##0.00_-;_-* &quot;-&quot;??_-;_-@_-"/>
    <numFmt numFmtId="164" formatCode="_-* #,##0_-;\-* #,##0_-;_-* &quot;-&quot;??_-;_-@_-"/>
    <numFmt numFmtId="165" formatCode="0.0%"/>
  </numFmts>
  <fonts count="34" x14ac:knownFonts="1">
    <font>
      <sz val="11"/>
      <color theme="1"/>
      <name val="Calibri"/>
      <family val="2"/>
      <scheme val="minor"/>
    </font>
    <font>
      <sz val="11"/>
      <color theme="1"/>
      <name val="Calibri"/>
      <family val="2"/>
      <scheme val="minor"/>
    </font>
    <font>
      <sz val="11"/>
      <color theme="0"/>
      <name val="Calibri"/>
      <family val="2"/>
      <scheme val="minor"/>
    </font>
    <font>
      <sz val="11"/>
      <color theme="1"/>
      <name val="Arial"/>
      <family val="2"/>
    </font>
    <font>
      <sz val="11"/>
      <color theme="0"/>
      <name val="Arial"/>
      <family val="2"/>
    </font>
    <font>
      <sz val="11"/>
      <name val="Arial"/>
      <family val="2"/>
    </font>
    <font>
      <b/>
      <sz val="10"/>
      <color theme="1"/>
      <name val="Arial"/>
      <family val="2"/>
    </font>
    <font>
      <b/>
      <sz val="10"/>
      <name val="Arial"/>
      <family val="2"/>
    </font>
    <font>
      <b/>
      <sz val="11"/>
      <color theme="1"/>
      <name val="Arial"/>
      <family val="2"/>
    </font>
    <font>
      <sz val="10"/>
      <color theme="1"/>
      <name val="Arial"/>
      <family val="2"/>
    </font>
    <font>
      <sz val="10"/>
      <name val="Arial"/>
      <family val="2"/>
    </font>
    <font>
      <b/>
      <sz val="20"/>
      <color theme="0"/>
      <name val="Arial"/>
      <family val="2"/>
    </font>
    <font>
      <b/>
      <sz val="55"/>
      <color theme="0"/>
      <name val="Arial"/>
      <family val="2"/>
    </font>
    <font>
      <u/>
      <sz val="11"/>
      <color theme="10"/>
      <name val="Calibri"/>
      <family val="2"/>
      <scheme val="minor"/>
    </font>
    <font>
      <b/>
      <sz val="12"/>
      <color theme="1"/>
      <name val="Arial"/>
      <family val="2"/>
    </font>
    <font>
      <b/>
      <sz val="11"/>
      <color theme="1"/>
      <name val="Calibri"/>
      <family val="2"/>
      <scheme val="minor"/>
    </font>
    <font>
      <b/>
      <sz val="28"/>
      <color theme="0"/>
      <name val="Calibri Light"/>
      <family val="2"/>
      <scheme val="major"/>
    </font>
    <font>
      <sz val="11"/>
      <color theme="1" tint="0.499984740745262"/>
      <name val="Calibri"/>
      <family val="2"/>
      <scheme val="minor"/>
    </font>
    <font>
      <sz val="11"/>
      <name val="Calibri"/>
      <family val="2"/>
      <scheme val="minor"/>
    </font>
    <font>
      <b/>
      <sz val="20"/>
      <color theme="3" tint="0.39994506668294322"/>
      <name val="Calibri Light"/>
      <family val="1"/>
      <scheme val="major"/>
    </font>
    <font>
      <b/>
      <sz val="11"/>
      <color theme="0" tint="-0.499984740745262"/>
      <name val="Calibri Light"/>
      <family val="2"/>
      <scheme val="major"/>
    </font>
    <font>
      <sz val="11"/>
      <color theme="0" tint="-0.499984740745262"/>
      <name val="Calibri"/>
      <family val="2"/>
      <scheme val="minor"/>
    </font>
    <font>
      <sz val="10"/>
      <color theme="0" tint="-0.499984740745262"/>
      <name val="Calibri"/>
      <family val="2"/>
      <scheme val="minor"/>
    </font>
    <font>
      <b/>
      <sz val="12"/>
      <color rgb="FF595959"/>
      <name val="Franklin Gothic Medium"/>
      <family val="2"/>
    </font>
    <font>
      <sz val="10"/>
      <color rgb="FF7F7F7F"/>
      <name val="Calibri"/>
      <family val="1"/>
      <scheme val="minor"/>
    </font>
    <font>
      <sz val="14"/>
      <color theme="0"/>
      <name val="Calibri Light"/>
      <family val="2"/>
      <scheme val="major"/>
    </font>
    <font>
      <u/>
      <sz val="10"/>
      <color theme="1"/>
      <name val="Arial"/>
      <family val="2"/>
    </font>
    <font>
      <sz val="9"/>
      <color rgb="FFE5EAED"/>
      <name val="Arial"/>
      <family val="2"/>
    </font>
    <font>
      <sz val="12"/>
      <color theme="1"/>
      <name val="Calibri"/>
      <family val="2"/>
      <scheme val="minor"/>
    </font>
    <font>
      <sz val="10"/>
      <color theme="1"/>
      <name val="Calibri"/>
      <family val="2"/>
      <scheme val="minor"/>
    </font>
    <font>
      <i/>
      <sz val="12"/>
      <color theme="1"/>
      <name val="Calibri"/>
      <family val="2"/>
      <scheme val="minor"/>
    </font>
    <font>
      <sz val="9.6"/>
      <color rgb="FFECECEC"/>
      <name val="Segoe UI"/>
      <family val="2"/>
    </font>
    <font>
      <sz val="9.6"/>
      <color rgb="FFECECEC"/>
      <name val="Segoe UI"/>
      <family val="2"/>
    </font>
    <font>
      <sz val="8"/>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4" tint="0.79998168889431442"/>
        <bgColor indexed="64"/>
      </patternFill>
    </fill>
    <fill>
      <patternFill patternType="solid">
        <fgColor theme="3"/>
        <bgColor indexed="64"/>
      </patternFill>
    </fill>
    <fill>
      <patternFill patternType="solid">
        <fgColor theme="1"/>
        <bgColor indexed="64"/>
      </patternFill>
    </fill>
    <fill>
      <patternFill patternType="solid">
        <fgColor theme="0" tint="-0.249977111117893"/>
        <bgColor indexed="64"/>
      </patternFill>
    </fill>
    <fill>
      <patternFill patternType="solid">
        <fgColor rgb="FFFFC000"/>
        <bgColor indexed="64"/>
      </patternFill>
    </fill>
    <fill>
      <patternFill patternType="solid">
        <fgColor rgb="FF212121"/>
        <bgColor indexed="64"/>
      </patternFill>
    </fill>
    <fill>
      <patternFill patternType="solid">
        <fgColor theme="7" tint="0.39997558519241921"/>
        <bgColor indexed="64"/>
      </patternFill>
    </fill>
    <fill>
      <patternFill patternType="solid">
        <fgColor rgb="FF00B0F0"/>
        <bgColor indexed="64"/>
      </patternFill>
    </fill>
    <fill>
      <patternFill patternType="solid">
        <fgColor rgb="FFFF0000"/>
        <bgColor indexed="64"/>
      </patternFill>
    </fill>
  </fills>
  <borders count="32">
    <border>
      <left/>
      <right/>
      <top/>
      <bottom/>
      <diagonal/>
    </border>
    <border>
      <left style="thin">
        <color theme="1"/>
      </left>
      <right style="thin">
        <color theme="1"/>
      </right>
      <top style="thin">
        <color theme="1"/>
      </top>
      <bottom/>
      <diagonal/>
    </border>
    <border>
      <left style="thin">
        <color theme="1"/>
      </left>
      <right style="thin">
        <color theme="1"/>
      </right>
      <top style="thin">
        <color theme="1"/>
      </top>
      <bottom style="thin">
        <color theme="1"/>
      </bottom>
      <diagonal/>
    </border>
    <border>
      <left style="thin">
        <color auto="1"/>
      </left>
      <right style="thin">
        <color auto="1"/>
      </right>
      <top style="thin">
        <color auto="1"/>
      </top>
      <bottom style="thin">
        <color auto="1"/>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0"/>
      </bottom>
      <diagonal/>
    </border>
    <border>
      <left style="thin">
        <color theme="1"/>
      </left>
      <right/>
      <top style="thin">
        <color theme="1"/>
      </top>
      <bottom style="thin">
        <color theme="1"/>
      </bottom>
      <diagonal/>
    </border>
    <border>
      <left style="thin">
        <color theme="0" tint="-0.499984740745262"/>
      </left>
      <right style="thin">
        <color theme="0" tint="-0.499984740745262"/>
      </right>
      <top style="thin">
        <color theme="1"/>
      </top>
      <bottom style="thin">
        <color theme="0" tint="-0.499984740745262"/>
      </bottom>
      <diagonal/>
    </border>
    <border>
      <left/>
      <right style="thin">
        <color theme="1"/>
      </right>
      <top style="thin">
        <color theme="1"/>
      </top>
      <bottom/>
      <diagonal/>
    </border>
    <border>
      <left style="thin">
        <color theme="1"/>
      </left>
      <right/>
      <top style="thin">
        <color theme="0"/>
      </top>
      <bottom style="thin">
        <color theme="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thin">
        <color theme="1"/>
      </right>
      <top/>
      <bottom/>
      <diagonal/>
    </border>
    <border>
      <left style="thin">
        <color auto="1"/>
      </left>
      <right/>
      <top style="thin">
        <color auto="1"/>
      </top>
      <bottom/>
      <diagonal/>
    </border>
    <border>
      <left/>
      <right style="thin">
        <color auto="1"/>
      </right>
      <top style="thin">
        <color auto="1"/>
      </top>
      <bottom/>
      <diagonal/>
    </border>
    <border>
      <left/>
      <right style="thin">
        <color theme="1"/>
      </right>
      <top/>
      <bottom style="thin">
        <color theme="1"/>
      </bottom>
      <diagonal/>
    </border>
    <border>
      <left style="thin">
        <color auto="1"/>
      </left>
      <right/>
      <top/>
      <bottom/>
      <diagonal/>
    </border>
    <border>
      <left/>
      <right style="thin">
        <color auto="1"/>
      </right>
      <top/>
      <bottom/>
      <diagonal/>
    </border>
    <border>
      <left style="thin">
        <color theme="0" tint="-0.499984740745262"/>
      </left>
      <right style="thin">
        <color theme="1"/>
      </right>
      <top style="thin">
        <color theme="1"/>
      </top>
      <bottom/>
      <diagonal/>
    </border>
    <border>
      <left style="thin">
        <color auto="1"/>
      </left>
      <right/>
      <top/>
      <bottom style="thin">
        <color auto="1"/>
      </bottom>
      <diagonal/>
    </border>
    <border>
      <left/>
      <right style="thin">
        <color auto="1"/>
      </right>
      <top/>
      <bottom style="thin">
        <color auto="1"/>
      </bottom>
      <diagonal/>
    </border>
    <border>
      <left style="thin">
        <color theme="0" tint="-0.499984740745262"/>
      </left>
      <right style="thin">
        <color theme="1"/>
      </right>
      <top/>
      <bottom/>
      <diagonal/>
    </border>
    <border>
      <left/>
      <right/>
      <top style="thin">
        <color auto="1"/>
      </top>
      <bottom/>
      <diagonal/>
    </border>
    <border>
      <left/>
      <right/>
      <top style="thin">
        <color auto="1"/>
      </top>
      <bottom style="thin">
        <color theme="0"/>
      </bottom>
      <diagonal/>
    </border>
    <border>
      <left/>
      <right/>
      <top style="thin">
        <color theme="0"/>
      </top>
      <bottom style="thin">
        <color theme="0"/>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style="thin">
        <color theme="0" tint="-0.499984740745262"/>
      </bottom>
      <diagonal/>
    </border>
    <border>
      <left style="medium">
        <color rgb="FFE3E3E3"/>
      </left>
      <right/>
      <top style="medium">
        <color rgb="FFE3E3E3"/>
      </top>
      <bottom style="medium">
        <color rgb="FFE3E3E3"/>
      </bottom>
      <diagonal/>
    </border>
    <border>
      <left style="medium">
        <color rgb="FFE3E3E3"/>
      </left>
      <right style="medium">
        <color rgb="FFE3E3E3"/>
      </right>
      <top style="medium">
        <color rgb="FFE3E3E3"/>
      </top>
      <bottom style="medium">
        <color rgb="FFE3E3E3"/>
      </bottom>
      <diagonal/>
    </border>
    <border>
      <left style="medium">
        <color rgb="FFE3E3E3"/>
      </left>
      <right/>
      <top/>
      <bottom style="medium">
        <color rgb="FFE3E3E3"/>
      </bottom>
      <diagonal/>
    </border>
    <border>
      <left style="medium">
        <color rgb="FFE3E3E3"/>
      </left>
      <right style="medium">
        <color rgb="FFE3E3E3"/>
      </right>
      <top/>
      <bottom style="medium">
        <color rgb="FFE3E3E3"/>
      </bottom>
      <diagonal/>
    </border>
    <border>
      <left style="thin">
        <color theme="0" tint="-0.499984740745262"/>
      </left>
      <right style="thin">
        <color theme="0" tint="-0.499984740745262"/>
      </right>
      <top/>
      <bottom/>
      <diagonal/>
    </border>
    <border>
      <left style="thin">
        <color theme="1"/>
      </left>
      <right style="thin">
        <color theme="1"/>
      </right>
      <top/>
      <bottom/>
      <diagonal/>
    </border>
  </borders>
  <cellStyleXfs count="7">
    <xf numFmtId="0" fontId="0" fillId="0" borderId="0"/>
    <xf numFmtId="9" fontId="1" fillId="0" borderId="0" applyFont="0" applyFill="0" applyBorder="0" applyAlignment="0" applyProtection="0"/>
    <xf numFmtId="0" fontId="13" fillId="0" borderId="0" applyNumberFormat="0" applyFill="0" applyBorder="0" applyAlignment="0" applyProtection="0"/>
    <xf numFmtId="0" fontId="16" fillId="6" borderId="0" applyNumberFormat="0" applyBorder="0" applyAlignment="0" applyProtection="0"/>
    <xf numFmtId="0" fontId="17" fillId="0" borderId="0">
      <alignment vertical="center" wrapText="1"/>
    </xf>
    <xf numFmtId="0" fontId="19" fillId="0" borderId="0" applyNumberFormat="0" applyFill="0" applyBorder="0" applyAlignment="0" applyProtection="0"/>
    <xf numFmtId="43" fontId="1" fillId="0" borderId="0" applyFont="0" applyFill="0" applyBorder="0" applyAlignment="0" applyProtection="0"/>
  </cellStyleXfs>
  <cellXfs count="191">
    <xf numFmtId="0" fontId="0" fillId="0" borderId="0" xfId="0"/>
    <xf numFmtId="0" fontId="3" fillId="0" borderId="0" xfId="0" applyFont="1"/>
    <xf numFmtId="0" fontId="5" fillId="0" borderId="0" xfId="0" applyFont="1"/>
    <xf numFmtId="0" fontId="4" fillId="2" borderId="0" xfId="0" applyFont="1" applyFill="1"/>
    <xf numFmtId="0" fontId="9" fillId="0" borderId="0" xfId="0" applyFont="1" applyAlignment="1">
      <alignment vertical="top" wrapText="1"/>
    </xf>
    <xf numFmtId="0" fontId="6" fillId="0" borderId="0" xfId="0" applyFont="1" applyAlignment="1">
      <alignment horizontal="center" vertical="top" wrapText="1"/>
    </xf>
    <xf numFmtId="0" fontId="8" fillId="3" borderId="6" xfId="0" applyFont="1" applyFill="1" applyBorder="1" applyAlignment="1">
      <alignment vertical="top" wrapText="1"/>
    </xf>
    <xf numFmtId="0" fontId="8" fillId="3" borderId="9" xfId="0" applyFont="1" applyFill="1" applyBorder="1" applyAlignment="1">
      <alignment vertical="top" wrapText="1"/>
    </xf>
    <xf numFmtId="0" fontId="3" fillId="3" borderId="0" xfId="0" applyFont="1" applyFill="1"/>
    <xf numFmtId="0" fontId="5" fillId="0" borderId="0" xfId="0" applyFont="1" applyAlignment="1">
      <alignment horizontal="center" vertical="center"/>
    </xf>
    <xf numFmtId="0" fontId="9" fillId="5" borderId="2" xfId="0" applyFont="1" applyFill="1" applyBorder="1" applyAlignment="1">
      <alignment vertical="top" wrapText="1"/>
    </xf>
    <xf numFmtId="0" fontId="6" fillId="2" borderId="0" xfId="0" applyFont="1" applyFill="1" applyAlignment="1">
      <alignment vertical="top" wrapText="1"/>
    </xf>
    <xf numFmtId="0" fontId="9" fillId="2" borderId="0" xfId="0" applyFont="1" applyFill="1" applyAlignment="1">
      <alignment vertical="top" wrapText="1"/>
    </xf>
    <xf numFmtId="0" fontId="9" fillId="0" borderId="2" xfId="0" applyFont="1" applyBorder="1" applyAlignment="1" applyProtection="1">
      <alignment vertical="top" wrapText="1"/>
      <protection locked="0"/>
    </xf>
    <xf numFmtId="0" fontId="4" fillId="0" borderId="0" xfId="0" applyFont="1" applyProtection="1">
      <protection locked="0"/>
    </xf>
    <xf numFmtId="0" fontId="5" fillId="0" borderId="0" xfId="0" applyFont="1" applyProtection="1">
      <protection locked="0"/>
    </xf>
    <xf numFmtId="0" fontId="3" fillId="0" borderId="0" xfId="0" applyFont="1" applyProtection="1">
      <protection locked="0"/>
    </xf>
    <xf numFmtId="9" fontId="3" fillId="0" borderId="0" xfId="0" applyNumberFormat="1" applyFont="1" applyProtection="1">
      <protection locked="0"/>
    </xf>
    <xf numFmtId="9" fontId="3" fillId="0" borderId="0" xfId="1" applyFont="1" applyProtection="1">
      <protection locked="0"/>
    </xf>
    <xf numFmtId="0" fontId="2" fillId="0" borderId="0" xfId="0" applyFont="1" applyProtection="1">
      <protection locked="0"/>
    </xf>
    <xf numFmtId="0" fontId="4" fillId="0" borderId="0" xfId="0" applyFont="1" applyAlignment="1" applyProtection="1">
      <alignment horizontal="center" vertical="center"/>
      <protection locked="0"/>
    </xf>
    <xf numFmtId="0" fontId="5" fillId="0" borderId="0" xfId="0" applyFont="1" applyAlignment="1" applyProtection="1">
      <alignment horizontal="center"/>
      <protection locked="0"/>
    </xf>
    <xf numFmtId="0" fontId="5" fillId="0" borderId="0" xfId="0" applyFont="1" applyAlignment="1" applyProtection="1">
      <alignment horizontal="center" vertical="center"/>
      <protection locked="0"/>
    </xf>
    <xf numFmtId="0" fontId="4" fillId="0" borderId="0" xfId="0" applyFont="1"/>
    <xf numFmtId="0" fontId="9" fillId="5" borderId="2" xfId="0" applyFont="1" applyFill="1" applyBorder="1" applyAlignment="1" applyProtection="1">
      <alignment vertical="top" wrapText="1"/>
      <protection locked="0"/>
    </xf>
    <xf numFmtId="0" fontId="9" fillId="2" borderId="2" xfId="0" applyFont="1" applyFill="1" applyBorder="1" applyAlignment="1" applyProtection="1">
      <alignment vertical="top" wrapText="1"/>
      <protection locked="0"/>
    </xf>
    <xf numFmtId="0" fontId="9" fillId="0" borderId="12" xfId="0" applyFont="1" applyBorder="1" applyAlignment="1" applyProtection="1">
      <alignment vertical="top" wrapText="1"/>
      <protection locked="0"/>
    </xf>
    <xf numFmtId="0" fontId="9" fillId="0" borderId="13" xfId="0" applyFont="1" applyBorder="1" applyAlignment="1" applyProtection="1">
      <alignment vertical="top" wrapText="1"/>
      <protection locked="0"/>
    </xf>
    <xf numFmtId="0" fontId="9" fillId="0" borderId="15" xfId="0" applyFont="1" applyBorder="1" applyAlignment="1" applyProtection="1">
      <alignment vertical="top" wrapText="1"/>
      <protection locked="0"/>
    </xf>
    <xf numFmtId="0" fontId="9" fillId="0" borderId="16" xfId="0" applyFont="1" applyBorder="1" applyAlignment="1" applyProtection="1">
      <alignment vertical="top" wrapText="1"/>
      <protection locked="0"/>
    </xf>
    <xf numFmtId="0" fontId="9" fillId="0" borderId="18" xfId="0" applyFont="1" applyBorder="1" applyAlignment="1" applyProtection="1">
      <alignment vertical="top" wrapText="1"/>
      <protection locked="0"/>
    </xf>
    <xf numFmtId="0" fontId="9" fillId="0" borderId="19" xfId="0" applyFont="1" applyBorder="1" applyAlignment="1" applyProtection="1">
      <alignment vertical="top" wrapText="1"/>
      <protection locked="0"/>
    </xf>
    <xf numFmtId="0" fontId="9" fillId="0" borderId="7" xfId="0" applyFont="1" applyBorder="1" applyAlignment="1" applyProtection="1">
      <alignment vertical="top" wrapText="1"/>
      <protection locked="0"/>
    </xf>
    <xf numFmtId="0" fontId="9" fillId="5" borderId="7" xfId="0" applyFont="1" applyFill="1" applyBorder="1" applyAlignment="1" applyProtection="1">
      <alignment horizontal="center" vertical="center" wrapText="1"/>
      <protection locked="0"/>
    </xf>
    <xf numFmtId="0" fontId="3" fillId="5" borderId="7" xfId="0" applyFont="1" applyFill="1" applyBorder="1" applyAlignment="1" applyProtection="1">
      <alignment horizontal="center" vertical="center"/>
      <protection locked="0"/>
    </xf>
    <xf numFmtId="0" fontId="9" fillId="0" borderId="10" xfId="0" applyFont="1" applyBorder="1" applyAlignment="1" applyProtection="1">
      <alignment vertical="top" wrapText="1"/>
      <protection locked="0"/>
    </xf>
    <xf numFmtId="0" fontId="13" fillId="0" borderId="10" xfId="2" applyBorder="1" applyAlignment="1" applyProtection="1">
      <alignment vertical="top" wrapText="1"/>
      <protection locked="0"/>
    </xf>
    <xf numFmtId="0" fontId="13" fillId="0" borderId="2" xfId="2" applyBorder="1" applyAlignment="1" applyProtection="1">
      <alignment vertical="top" wrapText="1"/>
      <protection locked="0"/>
    </xf>
    <xf numFmtId="0" fontId="10" fillId="5" borderId="2" xfId="0" applyFont="1" applyFill="1" applyBorder="1" applyAlignment="1" applyProtection="1">
      <alignment vertical="top" wrapText="1"/>
      <protection locked="0"/>
    </xf>
    <xf numFmtId="0" fontId="14" fillId="5" borderId="2" xfId="0" applyFont="1" applyFill="1" applyBorder="1" applyAlignment="1" applyProtection="1">
      <alignment horizontal="center" vertical="center" wrapText="1"/>
      <protection locked="0"/>
    </xf>
    <xf numFmtId="0" fontId="10" fillId="0" borderId="2" xfId="0" applyFont="1" applyBorder="1" applyAlignment="1" applyProtection="1">
      <alignment vertical="top" wrapText="1"/>
      <protection locked="0"/>
    </xf>
    <xf numFmtId="0" fontId="2" fillId="0" borderId="0" xfId="0" applyFont="1"/>
    <xf numFmtId="0" fontId="6" fillId="0" borderId="2" xfId="0" applyFont="1" applyBorder="1" applyAlignment="1">
      <alignment vertical="top" wrapText="1"/>
    </xf>
    <xf numFmtId="0" fontId="6" fillId="0" borderId="2" xfId="0" applyFont="1" applyBorder="1" applyAlignment="1">
      <alignment horizontal="center" vertical="center" wrapText="1"/>
    </xf>
    <xf numFmtId="0" fontId="7" fillId="0" borderId="2" xfId="0" applyFont="1" applyBorder="1" applyAlignment="1">
      <alignment horizontal="center" vertical="center" wrapText="1"/>
    </xf>
    <xf numFmtId="0" fontId="7" fillId="0" borderId="2" xfId="0" applyFont="1" applyBorder="1" applyAlignment="1">
      <alignment vertical="center" wrapText="1"/>
    </xf>
    <xf numFmtId="0" fontId="7" fillId="0" borderId="2" xfId="0" applyFont="1" applyBorder="1" applyAlignment="1">
      <alignment horizontal="left" vertical="center" wrapText="1"/>
    </xf>
    <xf numFmtId="9" fontId="6" fillId="0" borderId="7" xfId="1" applyFont="1" applyBorder="1" applyAlignment="1" applyProtection="1">
      <alignment horizontal="center" vertical="center"/>
    </xf>
    <xf numFmtId="0" fontId="4" fillId="0" borderId="0" xfId="0" applyFont="1" applyAlignment="1">
      <alignment horizontal="left"/>
    </xf>
    <xf numFmtId="0" fontId="6" fillId="0" borderId="1" xfId="0" applyFont="1" applyBorder="1" applyAlignment="1">
      <alignment vertical="top" wrapText="1"/>
    </xf>
    <xf numFmtId="9" fontId="6" fillId="0" borderId="10" xfId="1" applyFont="1" applyBorder="1" applyAlignment="1" applyProtection="1">
      <alignment horizontal="center" vertical="center"/>
    </xf>
    <xf numFmtId="0" fontId="6" fillId="0" borderId="5" xfId="0" applyFont="1" applyBorder="1" applyAlignment="1">
      <alignment vertical="top" wrapText="1"/>
    </xf>
    <xf numFmtId="0" fontId="8" fillId="0" borderId="3" xfId="0" applyFont="1" applyBorder="1" applyAlignment="1">
      <alignment horizontal="center" vertical="center"/>
    </xf>
    <xf numFmtId="9" fontId="11" fillId="0" borderId="3" xfId="1" applyFont="1" applyBorder="1" applyAlignment="1" applyProtection="1">
      <alignment horizontal="center" vertical="center"/>
    </xf>
    <xf numFmtId="0" fontId="14" fillId="0" borderId="2" xfId="0" applyFont="1" applyBorder="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xf>
    <xf numFmtId="49" fontId="5" fillId="0" borderId="0" xfId="0" applyNumberFormat="1" applyFont="1"/>
    <xf numFmtId="0" fontId="5" fillId="0" borderId="21" xfId="0" applyFont="1" applyBorder="1"/>
    <xf numFmtId="0" fontId="5" fillId="0" borderId="22" xfId="0" applyFont="1" applyBorder="1"/>
    <xf numFmtId="0" fontId="5" fillId="0" borderId="23" xfId="0" applyFont="1" applyBorder="1"/>
    <xf numFmtId="10" fontId="11" fillId="0" borderId="3" xfId="1" applyNumberFormat="1" applyFont="1" applyBorder="1" applyAlignment="1" applyProtection="1">
      <alignment horizontal="center" vertical="center"/>
    </xf>
    <xf numFmtId="0" fontId="15" fillId="0" borderId="0" xfId="0" applyFont="1" applyAlignment="1">
      <alignment horizontal="center" vertical="center"/>
    </xf>
    <xf numFmtId="0" fontId="15" fillId="0" borderId="2" xfId="0" applyFont="1" applyBorder="1" applyAlignment="1">
      <alignment horizontal="center" vertical="center"/>
    </xf>
    <xf numFmtId="0" fontId="16" fillId="6" borderId="0" xfId="3" applyBorder="1" applyAlignment="1">
      <alignment vertical="center"/>
    </xf>
    <xf numFmtId="0" fontId="17" fillId="7" borderId="0" xfId="4" applyFill="1">
      <alignment vertical="center" wrapText="1"/>
    </xf>
    <xf numFmtId="0" fontId="17" fillId="7" borderId="0" xfId="4" applyFill="1" applyAlignment="1">
      <alignment vertical="center"/>
    </xf>
    <xf numFmtId="0" fontId="19" fillId="7" borderId="0" xfId="5" applyNumberFormat="1" applyFill="1" applyBorder="1" applyAlignment="1">
      <alignment vertical="center"/>
    </xf>
    <xf numFmtId="0" fontId="17" fillId="7" borderId="0" xfId="4" applyFill="1" applyAlignment="1">
      <alignment horizontal="center" vertical="center"/>
    </xf>
    <xf numFmtId="0" fontId="17" fillId="7" borderId="0" xfId="4" applyFill="1" applyAlignment="1">
      <alignment horizontal="center"/>
    </xf>
    <xf numFmtId="14" fontId="17" fillId="0" borderId="0" xfId="4" applyNumberFormat="1" applyAlignment="1">
      <alignment horizontal="right" vertical="center" indent="1"/>
    </xf>
    <xf numFmtId="0" fontId="17" fillId="0" borderId="0" xfId="4" applyAlignment="1">
      <alignment horizontal="left" vertical="center" wrapText="1" indent="1"/>
    </xf>
    <xf numFmtId="0" fontId="17" fillId="0" borderId="0" xfId="4">
      <alignment vertical="center" wrapText="1"/>
    </xf>
    <xf numFmtId="0" fontId="17" fillId="0" borderId="0" xfId="4" applyAlignment="1">
      <alignment horizontal="center" vertical="center"/>
    </xf>
    <xf numFmtId="0" fontId="22" fillId="7" borderId="0" xfId="4" applyFont="1" applyFill="1" applyAlignment="1">
      <alignment vertical="top" wrapText="1"/>
    </xf>
    <xf numFmtId="0" fontId="15" fillId="7" borderId="0" xfId="4" applyFont="1" applyFill="1">
      <alignment vertical="center" wrapText="1"/>
    </xf>
    <xf numFmtId="0" fontId="23" fillId="7" borderId="0" xfId="4" applyFont="1" applyFill="1">
      <alignment vertical="center" wrapText="1"/>
    </xf>
    <xf numFmtId="0" fontId="24" fillId="7" borderId="0" xfId="4" applyFont="1" applyFill="1">
      <alignment vertical="center" wrapText="1"/>
    </xf>
    <xf numFmtId="14" fontId="17" fillId="7" borderId="0" xfId="4" applyNumberFormat="1" applyFill="1" applyAlignment="1">
      <alignment horizontal="right" vertical="center" indent="1"/>
    </xf>
    <xf numFmtId="0" fontId="17" fillId="7" borderId="0" xfId="4" applyFill="1" applyAlignment="1">
      <alignment horizontal="left" vertical="center" indent="1"/>
    </xf>
    <xf numFmtId="0" fontId="25" fillId="0" borderId="0" xfId="4" applyFont="1" applyAlignment="1">
      <alignment horizontal="left" vertical="center" indent="2"/>
    </xf>
    <xf numFmtId="0" fontId="25" fillId="0" borderId="0" xfId="4" applyFont="1" applyAlignment="1">
      <alignment horizontal="left" vertical="center" indent="1"/>
    </xf>
    <xf numFmtId="0" fontId="25" fillId="0" borderId="0" xfId="4" applyFont="1" applyAlignment="1">
      <alignment vertical="center"/>
    </xf>
    <xf numFmtId="0" fontId="25" fillId="0" borderId="0" xfId="4" applyFont="1" applyAlignment="1">
      <alignment horizontal="center" vertical="center"/>
    </xf>
    <xf numFmtId="0" fontId="25" fillId="0" borderId="0" xfId="4" applyFont="1">
      <alignment vertical="center" wrapText="1"/>
    </xf>
    <xf numFmtId="0" fontId="9" fillId="0" borderId="24" xfId="0" applyFont="1" applyBorder="1" applyAlignment="1" applyProtection="1">
      <alignment vertical="top" wrapText="1"/>
      <protection locked="0"/>
    </xf>
    <xf numFmtId="0" fontId="9" fillId="0" borderId="25" xfId="0" applyFont="1" applyBorder="1" applyAlignment="1" applyProtection="1">
      <alignment vertical="top" wrapText="1"/>
      <protection locked="0"/>
    </xf>
    <xf numFmtId="0" fontId="0" fillId="0" borderId="0" xfId="0" applyAlignment="1">
      <alignment vertical="center"/>
    </xf>
    <xf numFmtId="0" fontId="0" fillId="0" borderId="0" xfId="0" applyAlignment="1">
      <alignment vertical="center" wrapText="1"/>
    </xf>
    <xf numFmtId="0" fontId="9" fillId="2" borderId="10" xfId="0" applyFont="1" applyFill="1" applyBorder="1" applyAlignment="1" applyProtection="1">
      <alignment vertical="top" wrapText="1"/>
      <protection locked="0"/>
    </xf>
    <xf numFmtId="0" fontId="0" fillId="0" borderId="10" xfId="0" applyBorder="1"/>
    <xf numFmtId="0" fontId="9" fillId="0" borderId="0" xfId="0" applyFont="1" applyAlignment="1" applyProtection="1">
      <alignment vertical="top" wrapText="1"/>
      <protection locked="0"/>
    </xf>
    <xf numFmtId="0" fontId="10" fillId="0" borderId="10" xfId="0" applyFont="1" applyBorder="1" applyAlignment="1" applyProtection="1">
      <alignment vertical="top" wrapText="1"/>
      <protection locked="0"/>
    </xf>
    <xf numFmtId="0" fontId="0" fillId="0" borderId="12" xfId="0" applyBorder="1"/>
    <xf numFmtId="0" fontId="26" fillId="0" borderId="0" xfId="2" applyFont="1" applyAlignment="1">
      <alignment horizontal="left" vertical="center"/>
    </xf>
    <xf numFmtId="0" fontId="9" fillId="0" borderId="0" xfId="0" applyFont="1" applyAlignment="1">
      <alignment horizontal="left" vertical="center"/>
    </xf>
    <xf numFmtId="0" fontId="9" fillId="0" borderId="0" xfId="0" applyFont="1"/>
    <xf numFmtId="0" fontId="9" fillId="0" borderId="0" xfId="0" applyFont="1" applyAlignment="1">
      <alignment horizontal="center" vertical="top"/>
    </xf>
    <xf numFmtId="0" fontId="26" fillId="0" borderId="0" xfId="2" applyFont="1" applyAlignment="1">
      <alignment horizontal="center" vertical="center"/>
    </xf>
    <xf numFmtId="9" fontId="9" fillId="0" borderId="10" xfId="1" applyFont="1" applyBorder="1" applyAlignment="1" applyProtection="1">
      <alignment vertical="top" wrapText="1"/>
      <protection locked="0"/>
    </xf>
    <xf numFmtId="0" fontId="6" fillId="0" borderId="3" xfId="0" applyFont="1" applyBorder="1" applyAlignment="1">
      <alignment horizontal="center" vertical="center" wrapText="1"/>
    </xf>
    <xf numFmtId="3" fontId="9" fillId="0" borderId="3" xfId="0" applyNumberFormat="1" applyFont="1" applyBorder="1" applyAlignment="1">
      <alignment horizontal="left" vertical="center"/>
    </xf>
    <xf numFmtId="0" fontId="26" fillId="0" borderId="3" xfId="2" applyFont="1" applyBorder="1" applyAlignment="1">
      <alignment horizontal="left" vertical="center"/>
    </xf>
    <xf numFmtId="0" fontId="9" fillId="0" borderId="3" xfId="0" applyFont="1" applyBorder="1" applyAlignment="1">
      <alignment horizontal="left" vertical="center"/>
    </xf>
    <xf numFmtId="14" fontId="9" fillId="0" borderId="3" xfId="0" applyNumberFormat="1" applyFont="1" applyBorder="1" applyAlignment="1">
      <alignment horizontal="left" vertical="center"/>
    </xf>
    <xf numFmtId="8" fontId="9" fillId="0" borderId="3" xfId="0" applyNumberFormat="1" applyFont="1" applyBorder="1" applyAlignment="1">
      <alignment horizontal="right" vertical="center"/>
    </xf>
    <xf numFmtId="0" fontId="26" fillId="0" borderId="3" xfId="2" applyFont="1" applyBorder="1" applyAlignment="1">
      <alignment vertical="center"/>
    </xf>
    <xf numFmtId="0" fontId="9" fillId="0" borderId="3" xfId="0" applyFont="1" applyBorder="1" applyAlignment="1">
      <alignment vertical="center"/>
    </xf>
    <xf numFmtId="9" fontId="9" fillId="0" borderId="3" xfId="1" applyFont="1" applyBorder="1" applyAlignment="1">
      <alignment horizontal="left" vertical="center"/>
    </xf>
    <xf numFmtId="10" fontId="9" fillId="0" borderId="3" xfId="1" applyNumberFormat="1" applyFont="1" applyBorder="1" applyAlignment="1">
      <alignment horizontal="left" vertical="center"/>
    </xf>
    <xf numFmtId="43" fontId="9" fillId="0" borderId="3" xfId="6" applyFont="1" applyBorder="1" applyAlignment="1">
      <alignment horizontal="left" vertical="center"/>
    </xf>
    <xf numFmtId="0" fontId="6" fillId="0" borderId="3" xfId="0" applyFont="1" applyBorder="1" applyAlignment="1">
      <alignment vertical="center"/>
    </xf>
    <xf numFmtId="0" fontId="9" fillId="0" borderId="3" xfId="0" applyFont="1" applyBorder="1"/>
    <xf numFmtId="49" fontId="6" fillId="0" borderId="3" xfId="0" applyNumberFormat="1" applyFont="1" applyBorder="1" applyAlignment="1">
      <alignment vertical="center"/>
    </xf>
    <xf numFmtId="49" fontId="9" fillId="0" borderId="10" xfId="0" applyNumberFormat="1" applyFont="1" applyBorder="1" applyAlignment="1" applyProtection="1">
      <alignment vertical="top" wrapText="1"/>
      <protection locked="0"/>
    </xf>
    <xf numFmtId="49" fontId="9" fillId="0" borderId="3" xfId="0" applyNumberFormat="1" applyFont="1" applyBorder="1" applyAlignment="1">
      <alignment vertical="center"/>
    </xf>
    <xf numFmtId="49" fontId="9" fillId="0" borderId="3" xfId="0" applyNumberFormat="1" applyFont="1" applyBorder="1"/>
    <xf numFmtId="49" fontId="9" fillId="0" borderId="0" xfId="0" applyNumberFormat="1" applyFont="1"/>
    <xf numFmtId="49" fontId="6" fillId="0" borderId="2" xfId="0" applyNumberFormat="1" applyFont="1" applyBorder="1" applyAlignment="1">
      <alignment horizontal="center" vertical="center" wrapText="1"/>
    </xf>
    <xf numFmtId="49" fontId="0" fillId="0" borderId="0" xfId="0" applyNumberFormat="1"/>
    <xf numFmtId="0" fontId="9" fillId="0" borderId="3" xfId="0" applyFont="1" applyBorder="1" applyAlignment="1" applyProtection="1">
      <alignment vertical="top" wrapText="1"/>
      <protection locked="0"/>
    </xf>
    <xf numFmtId="43" fontId="9" fillId="0" borderId="3" xfId="6" applyFont="1" applyBorder="1" applyAlignment="1"/>
    <xf numFmtId="10" fontId="9" fillId="0" borderId="3" xfId="1" applyNumberFormat="1" applyFont="1" applyBorder="1" applyAlignment="1"/>
    <xf numFmtId="10" fontId="6" fillId="8" borderId="3" xfId="1" applyNumberFormat="1" applyFont="1" applyFill="1" applyBorder="1" applyAlignment="1"/>
    <xf numFmtId="0" fontId="6" fillId="3" borderId="3" xfId="0" applyFont="1" applyFill="1" applyBorder="1" applyAlignment="1">
      <alignment horizontal="left" vertical="center"/>
    </xf>
    <xf numFmtId="10" fontId="6" fillId="3" borderId="3" xfId="1" applyNumberFormat="1" applyFont="1" applyFill="1" applyBorder="1" applyAlignment="1"/>
    <xf numFmtId="43" fontId="6" fillId="8" borderId="3" xfId="6" applyFont="1" applyFill="1" applyBorder="1" applyAlignment="1"/>
    <xf numFmtId="0" fontId="13" fillId="0" borderId="7" xfId="2" applyBorder="1" applyAlignment="1" applyProtection="1">
      <alignment vertical="top" wrapText="1"/>
      <protection locked="0"/>
    </xf>
    <xf numFmtId="0" fontId="0" fillId="0" borderId="10" xfId="0" applyBorder="1" applyAlignment="1">
      <alignment wrapText="1"/>
    </xf>
    <xf numFmtId="0" fontId="0" fillId="0" borderId="0" xfId="0" applyAlignment="1">
      <alignment wrapText="1"/>
    </xf>
    <xf numFmtId="0" fontId="27" fillId="0" borderId="0" xfId="0" applyFont="1" applyAlignment="1">
      <alignment horizontal="left" vertical="center"/>
    </xf>
    <xf numFmtId="0" fontId="27" fillId="0" borderId="0" xfId="0" applyFont="1" applyAlignment="1">
      <alignment horizontal="center" vertical="top"/>
    </xf>
    <xf numFmtId="164" fontId="9" fillId="0" borderId="3" xfId="6" applyNumberFormat="1" applyFont="1" applyBorder="1" applyAlignment="1"/>
    <xf numFmtId="9" fontId="9" fillId="0" borderId="3" xfId="1" applyFont="1" applyBorder="1" applyAlignment="1">
      <alignment horizontal="center" vertical="center"/>
    </xf>
    <xf numFmtId="164" fontId="6" fillId="8" borderId="3" xfId="6" applyNumberFormat="1" applyFont="1" applyFill="1" applyBorder="1" applyAlignment="1"/>
    <xf numFmtId="0" fontId="9" fillId="0" borderId="3" xfId="0" applyFont="1" applyBorder="1" applyAlignment="1">
      <alignment horizontal="center" vertical="center"/>
    </xf>
    <xf numFmtId="165" fontId="9" fillId="0" borderId="3" xfId="1" applyNumberFormat="1" applyFont="1" applyBorder="1" applyAlignment="1">
      <alignment horizontal="center" vertical="center"/>
    </xf>
    <xf numFmtId="49" fontId="9" fillId="9" borderId="10" xfId="0" applyNumberFormat="1" applyFont="1" applyFill="1" applyBorder="1" applyAlignment="1" applyProtection="1">
      <alignment vertical="top" wrapText="1"/>
      <protection locked="0"/>
    </xf>
    <xf numFmtId="0" fontId="6" fillId="8" borderId="3" xfId="0" applyFont="1" applyFill="1" applyBorder="1"/>
    <xf numFmtId="0" fontId="6" fillId="8" borderId="3" xfId="0" applyFont="1" applyFill="1" applyBorder="1" applyAlignment="1">
      <alignment horizontal="left" vertical="center"/>
    </xf>
    <xf numFmtId="1" fontId="9" fillId="0" borderId="3" xfId="0" applyNumberFormat="1" applyFont="1" applyBorder="1" applyAlignment="1">
      <alignment horizontal="center"/>
    </xf>
    <xf numFmtId="9" fontId="9" fillId="0" borderId="3" xfId="1" applyFont="1" applyBorder="1" applyAlignment="1">
      <alignment horizontal="center" vertical="center" wrapText="1"/>
    </xf>
    <xf numFmtId="165" fontId="9" fillId="0" borderId="3" xfId="1" applyNumberFormat="1" applyFont="1" applyBorder="1" applyAlignment="1">
      <alignment horizontal="left" vertical="center"/>
    </xf>
    <xf numFmtId="0" fontId="9" fillId="0" borderId="3" xfId="0" applyFont="1" applyBorder="1" applyAlignment="1">
      <alignment horizontal="center"/>
    </xf>
    <xf numFmtId="9" fontId="9" fillId="0" borderId="10" xfId="1" applyFont="1" applyBorder="1" applyAlignment="1" applyProtection="1">
      <alignment horizontal="center" vertical="center" wrapText="1"/>
      <protection locked="0"/>
    </xf>
    <xf numFmtId="9" fontId="0" fillId="0" borderId="10" xfId="1" applyFont="1" applyBorder="1" applyAlignment="1">
      <alignment horizontal="center" vertical="center"/>
    </xf>
    <xf numFmtId="0" fontId="0" fillId="0" borderId="0" xfId="0" applyAlignment="1">
      <alignment horizontal="center" vertical="center"/>
    </xf>
    <xf numFmtId="43" fontId="9" fillId="0" borderId="3" xfId="6" applyFont="1" applyBorder="1" applyAlignment="1">
      <alignment horizontal="center" vertical="center"/>
    </xf>
    <xf numFmtId="0" fontId="28" fillId="0" borderId="0" xfId="0" applyFont="1" applyAlignment="1">
      <alignment wrapText="1"/>
    </xf>
    <xf numFmtId="0" fontId="29" fillId="0" borderId="0" xfId="0" applyFont="1" applyAlignment="1">
      <alignment vertical="center" wrapText="1"/>
    </xf>
    <xf numFmtId="0" fontId="30" fillId="0" borderId="0" xfId="0" applyFont="1" applyAlignment="1">
      <alignment vertical="center" wrapText="1"/>
    </xf>
    <xf numFmtId="0" fontId="31" fillId="10" borderId="26" xfId="0" applyFont="1" applyFill="1" applyBorder="1" applyAlignment="1">
      <alignment horizontal="center" wrapText="1"/>
    </xf>
    <xf numFmtId="0" fontId="31" fillId="10" borderId="27" xfId="0" applyFont="1" applyFill="1" applyBorder="1" applyAlignment="1">
      <alignment horizontal="center" wrapText="1"/>
    </xf>
    <xf numFmtId="0" fontId="32" fillId="10" borderId="28" xfId="0" applyFont="1" applyFill="1" applyBorder="1" applyAlignment="1">
      <alignment vertical="center" wrapText="1"/>
    </xf>
    <xf numFmtId="0" fontId="32" fillId="10" borderId="29" xfId="0" applyFont="1" applyFill="1" applyBorder="1" applyAlignment="1">
      <alignment vertical="center" wrapText="1"/>
    </xf>
    <xf numFmtId="0" fontId="31" fillId="10" borderId="28" xfId="0" applyFont="1" applyFill="1" applyBorder="1" applyAlignment="1">
      <alignment vertical="center" wrapText="1"/>
    </xf>
    <xf numFmtId="0" fontId="31" fillId="10" borderId="29" xfId="0" applyFont="1" applyFill="1" applyBorder="1" applyAlignment="1">
      <alignment vertical="center" wrapText="1"/>
    </xf>
    <xf numFmtId="165" fontId="0" fillId="0" borderId="0" xfId="0" applyNumberFormat="1"/>
    <xf numFmtId="0" fontId="6" fillId="0" borderId="3" xfId="0" applyFont="1" applyBorder="1"/>
    <xf numFmtId="0" fontId="0" fillId="0" borderId="10" xfId="0" applyBorder="1" applyAlignment="1">
      <alignment horizontal="left" wrapText="1"/>
    </xf>
    <xf numFmtId="2" fontId="9" fillId="0" borderId="10" xfId="0" applyNumberFormat="1" applyFont="1" applyBorder="1" applyAlignment="1" applyProtection="1">
      <alignment vertical="top" wrapText="1"/>
      <protection locked="0"/>
    </xf>
    <xf numFmtId="0" fontId="10" fillId="0" borderId="2" xfId="0" quotePrefix="1" applyFont="1" applyBorder="1" applyAlignment="1" applyProtection="1">
      <alignment vertical="top" wrapText="1"/>
      <protection locked="0"/>
    </xf>
    <xf numFmtId="0" fontId="9" fillId="0" borderId="30" xfId="0" applyFont="1" applyBorder="1" applyAlignment="1" applyProtection="1">
      <alignment vertical="top" wrapText="1"/>
      <protection locked="0"/>
    </xf>
    <xf numFmtId="0" fontId="15" fillId="0" borderId="0" xfId="0" applyFont="1"/>
    <xf numFmtId="8" fontId="9" fillId="0" borderId="0" xfId="0" applyNumberFormat="1" applyFont="1"/>
    <xf numFmtId="165" fontId="9" fillId="0" borderId="0" xfId="0" applyNumberFormat="1" applyFont="1"/>
    <xf numFmtId="1" fontId="6" fillId="8" borderId="3" xfId="0" applyNumberFormat="1" applyFont="1" applyFill="1" applyBorder="1" applyAlignment="1">
      <alignment horizontal="left" vertical="center"/>
    </xf>
    <xf numFmtId="0" fontId="9" fillId="0" borderId="15" xfId="0" applyFont="1" applyBorder="1"/>
    <xf numFmtId="0" fontId="13" fillId="0" borderId="10" xfId="2" applyFill="1" applyBorder="1" applyAlignment="1" applyProtection="1">
      <alignment vertical="top" wrapText="1"/>
      <protection locked="0"/>
    </xf>
    <xf numFmtId="0" fontId="13" fillId="0" borderId="0" xfId="2" applyBorder="1" applyAlignment="1" applyProtection="1">
      <alignment vertical="top" wrapText="1"/>
      <protection locked="0"/>
    </xf>
    <xf numFmtId="0" fontId="13" fillId="11" borderId="10" xfId="2" applyFill="1" applyBorder="1" applyAlignment="1" applyProtection="1">
      <alignment vertical="top" wrapText="1"/>
      <protection locked="0"/>
    </xf>
    <xf numFmtId="0" fontId="13" fillId="0" borderId="2" xfId="2" applyFill="1" applyBorder="1" applyAlignment="1" applyProtection="1">
      <alignment vertical="top" wrapText="1"/>
      <protection locked="0"/>
    </xf>
    <xf numFmtId="49" fontId="9" fillId="2" borderId="10" xfId="0" applyNumberFormat="1" applyFont="1" applyFill="1" applyBorder="1" applyAlignment="1" applyProtection="1">
      <alignment vertical="top" wrapText="1"/>
      <protection locked="0"/>
    </xf>
    <xf numFmtId="49" fontId="9" fillId="12" borderId="10" xfId="0" applyNumberFormat="1" applyFont="1" applyFill="1" applyBorder="1" applyAlignment="1" applyProtection="1">
      <alignment vertical="top" wrapText="1"/>
      <protection locked="0"/>
    </xf>
    <xf numFmtId="49" fontId="9" fillId="12" borderId="10" xfId="0" applyNumberFormat="1" applyFont="1" applyFill="1" applyBorder="1" applyAlignment="1">
      <alignment horizontal="left" vertical="center"/>
    </xf>
    <xf numFmtId="49" fontId="9" fillId="12" borderId="3" xfId="0" applyNumberFormat="1" applyFont="1" applyFill="1" applyBorder="1" applyAlignment="1" applyProtection="1">
      <alignment vertical="top" wrapText="1"/>
      <protection locked="0"/>
    </xf>
    <xf numFmtId="0" fontId="6" fillId="0" borderId="31" xfId="0" applyFont="1" applyBorder="1" applyAlignment="1">
      <alignment horizontal="left" vertical="center" wrapText="1"/>
    </xf>
    <xf numFmtId="0" fontId="0" fillId="0" borderId="0" xfId="0" applyAlignment="1">
      <alignment horizontal="left"/>
    </xf>
    <xf numFmtId="0" fontId="9" fillId="13" borderId="10" xfId="0" applyFont="1" applyFill="1" applyBorder="1" applyAlignment="1" applyProtection="1">
      <alignment vertical="top" wrapText="1"/>
      <protection locked="0"/>
    </xf>
    <xf numFmtId="0" fontId="16" fillId="7" borderId="0" xfId="3" applyNumberFormat="1" applyFill="1" applyBorder="1" applyAlignment="1">
      <alignment horizontal="left" vertical="center"/>
    </xf>
    <xf numFmtId="0" fontId="18" fillId="7" borderId="0" xfId="4" applyFont="1" applyFill="1" applyAlignment="1">
      <alignment horizontal="center" vertical="center"/>
    </xf>
    <xf numFmtId="0" fontId="20" fillId="7" borderId="0" xfId="4" applyFont="1" applyFill="1" applyAlignment="1">
      <alignment horizontal="left" vertical="center"/>
    </xf>
    <xf numFmtId="0" fontId="21" fillId="7" borderId="0" xfId="4" applyFont="1" applyFill="1" applyAlignment="1">
      <alignment vertical="top"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9" fontId="12" fillId="4" borderId="8" xfId="1" applyFont="1" applyFill="1" applyBorder="1" applyAlignment="1" applyProtection="1">
      <alignment horizontal="center" vertical="center"/>
    </xf>
    <xf numFmtId="9" fontId="12" fillId="4" borderId="11" xfId="1" applyFont="1" applyFill="1" applyBorder="1" applyAlignment="1" applyProtection="1">
      <alignment horizontal="center" vertical="center"/>
    </xf>
    <xf numFmtId="9" fontId="12" fillId="4" borderId="14" xfId="1" applyFont="1" applyFill="1" applyBorder="1" applyAlignment="1" applyProtection="1">
      <alignment horizontal="center" vertical="center"/>
    </xf>
    <xf numFmtId="9" fontId="12" fillId="4" borderId="17" xfId="1" applyFont="1" applyFill="1" applyBorder="1" applyAlignment="1" applyProtection="1">
      <alignment horizontal="center" vertical="center"/>
    </xf>
    <xf numFmtId="9" fontId="12" fillId="4" borderId="20" xfId="1" applyFont="1" applyFill="1" applyBorder="1" applyAlignment="1" applyProtection="1">
      <alignment horizontal="center" vertical="center"/>
    </xf>
    <xf numFmtId="0" fontId="6" fillId="0" borderId="16" xfId="0" applyFont="1" applyBorder="1" applyAlignment="1">
      <alignment horizontal="center" vertical="center" textRotation="90"/>
    </xf>
  </cellXfs>
  <cellStyles count="7">
    <cellStyle name="Hiperlink" xfId="2" builtinId="8"/>
    <cellStyle name="Normal" xfId="0" builtinId="0"/>
    <cellStyle name="Normal 2" xfId="4" xr:uid="{C6E5DE97-5166-4D7D-BC59-0334E77FD661}"/>
    <cellStyle name="Porcentagem" xfId="1" builtinId="5"/>
    <cellStyle name="Título 1 2" xfId="5" xr:uid="{523023A0-5267-442D-A185-18D5688E247E}"/>
    <cellStyle name="Título 5" xfId="3" xr:uid="{E8C9B6C6-5F38-43C4-9D26-725FBACF0425}"/>
    <cellStyle name="Vírgula" xfId="6" builtinId="3"/>
  </cellStyles>
  <dxfs count="10">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tint="0.499984740745262"/>
        <name val="Calibri"/>
        <family val="2"/>
        <scheme val="minor"/>
      </font>
      <numFmt numFmtId="0" formatCode="General"/>
      <fill>
        <patternFill patternType="none">
          <fgColor indexed="64"/>
          <bgColor indexed="65"/>
        </patternFill>
      </fill>
      <alignment horizontal="general" vertical="center"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tint="0.499984740745262"/>
        <name val="Calibri"/>
        <family val="2"/>
        <scheme val="minor"/>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alignment horizontal="left" vertical="center" textRotation="0" wrapText="1" relativeIndent="1" justifyLastLine="0" shrinkToFit="0" readingOrder="0"/>
    </dxf>
    <dxf>
      <alignment horizontal="right" vertical="center" textRotation="0" wrapText="0" indent="1" justifyLastLine="0" shrinkToFit="0" readingOrder="0"/>
    </dxf>
    <dxf>
      <numFmt numFmtId="19" formatCode="dd/mm/yyyy"/>
      <alignment horizontal="right" textRotation="0" wrapText="0" indent="1" justifyLastLine="0" shrinkToFit="0" readingOrder="0"/>
    </dxf>
    <dxf>
      <font>
        <strike val="0"/>
        <outline val="0"/>
        <shadow val="0"/>
        <u val="none"/>
        <vertAlign val="baseline"/>
        <sz val="14"/>
        <color theme="0"/>
        <name val="Calibri Light"/>
        <family val="2"/>
        <scheme val="major"/>
      </font>
    </dxf>
    <dxf>
      <font>
        <b val="0"/>
        <i val="0"/>
        <color theme="0"/>
      </font>
      <fill>
        <patternFill>
          <bgColor theme="3"/>
        </patternFill>
      </fill>
      <border diagonalUp="0" diagonalDown="0">
        <left/>
        <right/>
        <top/>
        <bottom/>
        <vertical/>
        <horizontal/>
      </border>
    </dxf>
    <dxf>
      <font>
        <color theme="2"/>
      </font>
      <fill>
        <patternFill patternType="solid">
          <bgColor theme="1"/>
        </patternFill>
      </fill>
      <border diagonalUp="0" diagonalDown="0">
        <left/>
        <right/>
        <top/>
        <bottom/>
        <vertical/>
        <horizontal style="thin">
          <color theme="0" tint="-0.499984740745262"/>
        </horizontal>
      </border>
    </dxf>
  </dxfs>
  <tableStyles count="1" defaultTableStyle="TableStyleMedium2" defaultPivotStyle="PivotStyleLight16">
    <tableStyle name="Linha do Tempo do Projeto" pivot="0" count="2" xr9:uid="{7183AA17-C33F-4E66-92FC-0037819B85E2}">
      <tableStyleElement type="wholeTable" dxfId="9"/>
      <tableStyleElement type="headerRow"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4399308576993913E-2"/>
          <c:y val="3.9426523297491037E-2"/>
          <c:w val="0.87774435881027235"/>
          <c:h val="0.92114695340501795"/>
        </c:manualLayout>
      </c:layout>
      <c:barChart>
        <c:barDir val="col"/>
        <c:grouping val="clustered"/>
        <c:varyColors val="0"/>
        <c:ser>
          <c:idx val="1"/>
          <c:order val="1"/>
          <c:tx>
            <c:strRef>
              <c:f>'Linha do Tempo do Projeto'!$E$16</c:f>
              <c:strCache>
                <c:ptCount val="1"/>
                <c:pt idx="0">
                  <c:v>Posição</c:v>
                </c:pt>
              </c:strCache>
            </c:strRef>
          </c:tx>
          <c:spPr>
            <a:noFill/>
            <a:ln>
              <a:noFill/>
            </a:ln>
            <a:effectLst/>
          </c:spPr>
          <c:invertIfNegative val="0"/>
          <c:dLbls>
            <c:dLbl>
              <c:idx val="0"/>
              <c:layout>
                <c:manualLayout>
                  <c:x val="4.7163915818921949E-8"/>
                  <c:y val="-8.2121881209074843E-18"/>
                </c:manualLayout>
              </c:layout>
              <c:tx>
                <c:rich>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fld id="{38BBA013-30A3-4E6C-A1D3-5EF6D1513EB1}" type="CELLRANGE">
                      <a:rPr lang="en-US" altLang="zh-CN"/>
                      <a:pPr algn="ctr">
                        <a:defRPr sz="1100"/>
                      </a:pPr>
                      <a:t>[INTERVALODACÉLULA]</a:t>
                    </a:fld>
                    <a:endParaRPr lang="en-US" baseline="0"/>
                  </a:p>
                  <a:p>
                    <a:pPr algn="ctr">
                      <a:defRPr sz="1100"/>
                    </a:pPr>
                    <a:fld id="{695A9D1D-15EE-425F-A650-75662AB74DA2}" type="CATEGORYNAME">
                      <a:rPr lang="en-US" altLang="zh-CN"/>
                      <a:pPr algn="ctr">
                        <a:defRPr sz="1100"/>
                      </a:pPr>
                      <a:t>[NOME DA CATEGORIA]</a:t>
                    </a:fld>
                    <a:endParaRPr lang="pt-BR"/>
                  </a:p>
                </c:rich>
              </c:tx>
              <c:spPr>
                <a:noFill/>
                <a:ln>
                  <a:noFill/>
                </a:ln>
                <a:effectLst/>
              </c:spPr>
              <c:txPr>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endParaRPr lang="pt-BR"/>
                </a:p>
              </c:txPr>
              <c:dLblPos val="outEnd"/>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 xmlns:c16="http://schemas.microsoft.com/office/drawing/2014/chart" uri="{C3380CC4-5D6E-409C-BE32-E72D297353CC}">
                  <c16:uniqueId val="{00000000-6445-41B0-90BD-E5B55CD8819F}"/>
                </c:ext>
              </c:extLst>
            </c:dLbl>
            <c:dLbl>
              <c:idx val="1"/>
              <c:layout>
                <c:manualLayout>
                  <c:x val="-7.5489036210859058E-3"/>
                  <c:y val="4.4802867383512544E-2"/>
                </c:manualLayout>
              </c:layout>
              <c:tx>
                <c:rich>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fld id="{3AEDABC0-ED0B-4B29-B966-F0824DBF65DE}" type="CELLRANGE">
                      <a:rPr lang="en-US" altLang="zh-CN"/>
                      <a:pPr algn="ctr">
                        <a:defRPr sz="1100"/>
                      </a:pPr>
                      <a:t>[INTERVALODACÉLULA]</a:t>
                    </a:fld>
                    <a:endParaRPr lang="en-US" baseline="0"/>
                  </a:p>
                  <a:p>
                    <a:pPr algn="ctr">
                      <a:defRPr sz="1100"/>
                    </a:pPr>
                    <a:fld id="{8ADBBBA2-1DBF-4F21-A72E-E068DE7E37C1}" type="CATEGORYNAME">
                      <a:rPr lang="en-US" altLang="zh-CN"/>
                      <a:pPr algn="ctr">
                        <a:defRPr sz="1100"/>
                      </a:pPr>
                      <a:t>[NOME DA CATEGORIA]</a:t>
                    </a:fld>
                    <a:endParaRPr lang="pt-BR"/>
                  </a:p>
                </c:rich>
              </c:tx>
              <c:spPr>
                <a:noFill/>
                <a:ln>
                  <a:noFill/>
                </a:ln>
                <a:effectLst/>
              </c:spPr>
              <c:txPr>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endParaRPr lang="pt-BR"/>
                </a:p>
              </c:txPr>
              <c:dLblPos val="outEnd"/>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1268220759852421"/>
                      <c:h val="0.19663082437275986"/>
                    </c:manualLayout>
                  </c15:layout>
                  <c15:dlblFieldTable/>
                  <c15:showDataLabelsRange val="1"/>
                </c:ext>
                <c:ext xmlns:c16="http://schemas.microsoft.com/office/drawing/2014/chart" uri="{C3380CC4-5D6E-409C-BE32-E72D297353CC}">
                  <c16:uniqueId val="{00000001-6445-41B0-90BD-E5B55CD8819F}"/>
                </c:ext>
              </c:extLst>
            </c:dLbl>
            <c:dLbl>
              <c:idx val="2"/>
              <c:layout>
                <c:manualLayout>
                  <c:x val="-3.8688298472437127E-2"/>
                  <c:y val="1.7921711398978354E-2"/>
                </c:manualLayout>
              </c:layout>
              <c:tx>
                <c:rich>
                  <a:bodyPr/>
                  <a:lstStyle/>
                  <a:p>
                    <a:fld id="{89C66AAD-5390-4101-A161-865A928CC1AE}" type="CELLRANGE">
                      <a:rPr lang="en-US" altLang="zh-CN"/>
                      <a:pPr/>
                      <a:t>[INTERVALODACÉLULA]</a:t>
                    </a:fld>
                    <a:endParaRPr lang="en-US" baseline="0"/>
                  </a:p>
                  <a:p>
                    <a:fld id="{EFC92BFA-4E62-46E3-9E76-D1EBE8419B53}" type="CATEGORYNAME">
                      <a:rPr lang="en-US" altLang="zh-CN"/>
                      <a:pPr/>
                      <a:t>[NOME DA CATEGORIA]</a:t>
                    </a:fld>
                    <a:endParaRPr lang="pt-BR"/>
                  </a:p>
                </c:rich>
              </c:tx>
              <c:dLblPos val="outEnd"/>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6445-41B0-90BD-E5B55CD8819F}"/>
                </c:ext>
              </c:extLst>
            </c:dLbl>
            <c:dLbl>
              <c:idx val="3"/>
              <c:layout>
                <c:manualLayout>
                  <c:x val="4.7163915820294599E-8"/>
                  <c:y val="-3.2848752483629937E-17"/>
                </c:manualLayout>
              </c:layout>
              <c:tx>
                <c:rich>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fld id="{EF4A7E30-7AF8-4233-B90F-4C5786D1B879}" type="CELLRANGE">
                      <a:rPr lang="en-US" altLang="zh-CN"/>
                      <a:pPr algn="ctr">
                        <a:defRPr sz="1100"/>
                      </a:pPr>
                      <a:t>[INTERVALODACÉLULA]</a:t>
                    </a:fld>
                    <a:endParaRPr lang="en-US" baseline="0"/>
                  </a:p>
                  <a:p>
                    <a:pPr algn="ctr">
                      <a:defRPr sz="1100"/>
                    </a:pPr>
                    <a:fld id="{BA519C51-CDAD-4385-B9A0-6D3A04256C2F}" type="CATEGORYNAME">
                      <a:rPr lang="en-US" altLang="zh-CN"/>
                      <a:pPr algn="ctr">
                        <a:defRPr sz="1100"/>
                      </a:pPr>
                      <a:t>[NOME DA CATEGORIA]</a:t>
                    </a:fld>
                    <a:endParaRPr lang="pt-BR"/>
                  </a:p>
                </c:rich>
              </c:tx>
              <c:spPr>
                <a:noFill/>
                <a:ln>
                  <a:noFill/>
                </a:ln>
                <a:effectLst/>
              </c:spPr>
              <c:txPr>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endParaRPr lang="pt-BR"/>
                </a:p>
              </c:txPr>
              <c:dLblPos val="outEnd"/>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 xmlns:c16="http://schemas.microsoft.com/office/drawing/2014/chart" uri="{C3380CC4-5D6E-409C-BE32-E72D297353CC}">
                  <c16:uniqueId val="{00000003-6445-41B0-90BD-E5B55CD8819F}"/>
                </c:ext>
              </c:extLst>
            </c:dLbl>
            <c:dLbl>
              <c:idx val="4"/>
              <c:layout>
                <c:manualLayout>
                  <c:x val="-5.2641289625375419E-2"/>
                  <c:y val="8.3638512529375486E-2"/>
                </c:manualLayout>
              </c:layout>
              <c:tx>
                <c:rich>
                  <a:bodyPr/>
                  <a:lstStyle/>
                  <a:p>
                    <a:fld id="{41AC6839-2D7B-4CE5-BC64-BDE049CAC51D}" type="CELLRANGE">
                      <a:rPr lang="en-US" altLang="zh-CN"/>
                      <a:pPr/>
                      <a:t>[INTERVALODACÉLULA]</a:t>
                    </a:fld>
                    <a:endParaRPr lang="en-US" baseline="0"/>
                  </a:p>
                  <a:p>
                    <a:fld id="{37131ACD-84F4-42EB-814F-3CBCFA9F05AF}" type="CATEGORYNAME">
                      <a:rPr lang="en-US" altLang="zh-CN"/>
                      <a:pPr/>
                      <a:t>[NOME DA CATEGORIA]</a:t>
                    </a:fld>
                    <a:endParaRPr lang="pt-BR"/>
                  </a:p>
                </c:rich>
              </c:tx>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10663323871827235"/>
                      <c:h val="0.18844067192517364"/>
                    </c:manualLayout>
                  </c15:layout>
                  <c15:dlblFieldTable/>
                  <c15:showDataLabelsRange val="1"/>
                </c:ext>
                <c:ext xmlns:c16="http://schemas.microsoft.com/office/drawing/2014/chart" uri="{C3380CC4-5D6E-409C-BE32-E72D297353CC}">
                  <c16:uniqueId val="{00000004-6445-41B0-90BD-E5B55CD8819F}"/>
                </c:ext>
              </c:extLst>
            </c:dLbl>
            <c:dLbl>
              <c:idx val="5"/>
              <c:layout>
                <c:manualLayout>
                  <c:x val="-6.650301282491184E-3"/>
                  <c:y val="1.715206586508642E-2"/>
                </c:manualLayout>
              </c:layout>
              <c:tx>
                <c:rich>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fld id="{CE72315B-35BD-4F85-A731-B5509EE2FDF0}" type="CELLRANGE">
                      <a:rPr lang="en-US" altLang="zh-CN"/>
                      <a:pPr algn="ctr">
                        <a:defRPr sz="1100"/>
                      </a:pPr>
                      <a:t>[INTERVALODACÉLULA]</a:t>
                    </a:fld>
                    <a:endParaRPr lang="en-US" baseline="0"/>
                  </a:p>
                  <a:p>
                    <a:pPr algn="ctr">
                      <a:defRPr sz="1100"/>
                    </a:pPr>
                    <a:fld id="{A55CB0EC-89B2-467B-85A1-0549DB7653E7}" type="CATEGORYNAME">
                      <a:rPr lang="en-US" altLang="zh-CN"/>
                      <a:pPr algn="ctr">
                        <a:defRPr sz="1100"/>
                      </a:pPr>
                      <a:t>[NOME DA CATEGORIA]</a:t>
                    </a:fld>
                    <a:endParaRPr lang="pt-BR"/>
                  </a:p>
                </c:rich>
              </c:tx>
              <c:spPr>
                <a:noFill/>
                <a:ln>
                  <a:noFill/>
                </a:ln>
                <a:effectLst/>
              </c:spPr>
              <c:txPr>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endParaRPr lang="pt-BR"/>
                </a:p>
              </c:txPr>
              <c:dLblPos val="outEnd"/>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9.1303221557337833E-2"/>
                      <c:h val="0.15696713121492598"/>
                    </c:manualLayout>
                  </c15:layout>
                  <c15:dlblFieldTable/>
                  <c15:showDataLabelsRange val="1"/>
                </c:ext>
                <c:ext xmlns:c16="http://schemas.microsoft.com/office/drawing/2014/chart" uri="{C3380CC4-5D6E-409C-BE32-E72D297353CC}">
                  <c16:uniqueId val="{00000005-6445-41B0-90BD-E5B55CD8819F}"/>
                </c:ext>
              </c:extLst>
            </c:dLbl>
            <c:dLbl>
              <c:idx val="6"/>
              <c:layout>
                <c:manualLayout>
                  <c:x val="-5.0138028644757845E-2"/>
                  <c:y val="-8.5834676271990713E-3"/>
                </c:manualLayout>
              </c:layout>
              <c:tx>
                <c:rich>
                  <a:bodyPr/>
                  <a:lstStyle/>
                  <a:p>
                    <a:fld id="{F1682120-E413-489F-BBFC-DA651141CB86}" type="CELLRANGE">
                      <a:rPr lang="en-US" altLang="zh-CN"/>
                      <a:pPr/>
                      <a:t>[INTERVALODACÉLULA]</a:t>
                    </a:fld>
                    <a:endParaRPr lang="en-US" baseline="0"/>
                  </a:p>
                  <a:p>
                    <a:fld id="{DF5C3B40-E92F-4EB1-808D-51167C502D28}" type="CATEGORYNAME">
                      <a:rPr lang="en-US" altLang="zh-CN"/>
                      <a:pPr/>
                      <a:t>[NOME DA CATEGORIA]</a:t>
                    </a:fld>
                    <a:endParaRPr lang="pt-BR"/>
                  </a:p>
                </c:rich>
              </c:tx>
              <c:dLblPos val="outEnd"/>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6445-41B0-90BD-E5B55CD8819F}"/>
                </c:ext>
              </c:extLst>
            </c:dLbl>
            <c:dLbl>
              <c:idx val="7"/>
              <c:layout>
                <c:manualLayout>
                  <c:x val="3.6910354903677903E-2"/>
                  <c:y val="-2.8612309736588508E-3"/>
                </c:manualLayout>
              </c:layout>
              <c:tx>
                <c:rich>
                  <a:bodyPr rot="0" spcFirstLastPara="1" vertOverflow="ellipsis" vert="horz" wrap="square" anchor="ctr" anchorCtr="0"/>
                  <a:lstStyle/>
                  <a:p>
                    <a:pPr algn="l">
                      <a:defRPr sz="1100" b="0" i="0" u="none" strike="noStrike" kern="1200" baseline="0">
                        <a:solidFill>
                          <a:schemeClr val="bg1"/>
                        </a:solidFill>
                        <a:latin typeface="+mn-lt"/>
                        <a:ea typeface="+mn-ea"/>
                        <a:cs typeface="+mn-cs"/>
                      </a:defRPr>
                    </a:pPr>
                    <a:fld id="{9100B6D6-BCD7-4526-B0FA-27C34E1F9D33}" type="CELLRANGE">
                      <a:rPr lang="en-US" altLang="zh-CN"/>
                      <a:pPr algn="l">
                        <a:defRPr sz="1100"/>
                      </a:pPr>
                      <a:t>[INTERVALODACÉLULA]</a:t>
                    </a:fld>
                    <a:endParaRPr lang="en-US" baseline="0"/>
                  </a:p>
                  <a:p>
                    <a:pPr algn="l">
                      <a:defRPr sz="1100"/>
                    </a:pPr>
                    <a:fld id="{63F6FEE7-E7B9-47A4-AD99-F858ED888535}" type="CATEGORYNAME">
                      <a:rPr lang="en-US" altLang="zh-CN"/>
                      <a:pPr algn="l">
                        <a:defRPr sz="1100"/>
                      </a:pPr>
                      <a:t>[NOME DA CATEGORIA]</a:t>
                    </a:fld>
                    <a:endParaRPr lang="pt-BR"/>
                  </a:p>
                </c:rich>
              </c:tx>
              <c:spPr>
                <a:noFill/>
                <a:ln>
                  <a:noFill/>
                </a:ln>
                <a:effectLst/>
              </c:spPr>
              <c:txPr>
                <a:bodyPr rot="0" spcFirstLastPara="1" vertOverflow="ellipsis" vert="horz" wrap="square" anchor="ctr" anchorCtr="0"/>
                <a:lstStyle/>
                <a:p>
                  <a:pPr algn="l">
                    <a:defRPr sz="1100" b="0" i="0" u="none" strike="noStrike" kern="1200" baseline="0">
                      <a:solidFill>
                        <a:schemeClr val="bg1"/>
                      </a:solidFill>
                      <a:latin typeface="+mn-lt"/>
                      <a:ea typeface="+mn-ea"/>
                      <a:cs typeface="+mn-cs"/>
                    </a:defRPr>
                  </a:pPr>
                  <a:endParaRPr lang="pt-BR"/>
                </a:p>
              </c:txPr>
              <c:dLblPos val="outEnd"/>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0.10605689410740773"/>
                      <c:h val="8.5436356873454064E-2"/>
                    </c:manualLayout>
                  </c15:layout>
                  <c15:dlblFieldTable/>
                  <c15:showDataLabelsRange val="1"/>
                </c:ext>
                <c:ext xmlns:c16="http://schemas.microsoft.com/office/drawing/2014/chart" uri="{C3380CC4-5D6E-409C-BE32-E72D297353CC}">
                  <c16:uniqueId val="{00000007-6445-41B0-90BD-E5B55CD8819F}"/>
                </c:ext>
              </c:extLst>
            </c:dLbl>
            <c:dLbl>
              <c:idx val="8"/>
              <c:layout>
                <c:manualLayout>
                  <c:x val="4.7163915820294599E-8"/>
                  <c:y val="0"/>
                </c:manualLayout>
              </c:layout>
              <c:tx>
                <c:rich>
                  <a:bodyPr/>
                  <a:lstStyle/>
                  <a:p>
                    <a:fld id="{3385B721-571E-4BBB-A385-E771BDC53DC7}" type="CELLRANGE">
                      <a:rPr lang="en-US" altLang="zh-CN"/>
                      <a:pPr/>
                      <a:t>[INTERVALODACÉLULA]</a:t>
                    </a:fld>
                    <a:endParaRPr lang="en-US" baseline="0"/>
                  </a:p>
                  <a:p>
                    <a:fld id="{266135CB-479F-4905-A553-8B3EA861FA68}" type="CATEGORYNAME">
                      <a:rPr lang="en-US" altLang="zh-CN"/>
                      <a:pPr/>
                      <a:t>[NOME DA CATEGORIA]</a:t>
                    </a:fld>
                    <a:endParaRPr lang="pt-BR"/>
                  </a:p>
                </c:rich>
              </c:tx>
              <c:dLblPos val="outEnd"/>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8-6445-41B0-90BD-E5B55CD8819F}"/>
                </c:ext>
              </c:extLst>
            </c:dLbl>
            <c:dLbl>
              <c:idx val="9"/>
              <c:layout>
                <c:manualLayout>
                  <c:x val="4.7163915820294599E-8"/>
                  <c:y val="-1.6424376241814969E-17"/>
                </c:manualLayout>
              </c:layout>
              <c:tx>
                <c:rich>
                  <a:bodyPr/>
                  <a:lstStyle/>
                  <a:p>
                    <a:fld id="{70EBAD28-6B3E-4AD0-BE0D-03059317BF5A}" type="CELLRANGE">
                      <a:rPr lang="en-US" altLang="zh-CN"/>
                      <a:pPr/>
                      <a:t>[INTERVALODACÉLULA]</a:t>
                    </a:fld>
                    <a:endParaRPr lang="en-US" baseline="0"/>
                  </a:p>
                  <a:p>
                    <a:fld id="{E2100826-A16D-4679-AF10-D241A3D148C0}" type="CATEGORYNAME">
                      <a:rPr lang="en-US" altLang="zh-CN"/>
                      <a:pPr/>
                      <a:t>[NOME DA CATEGORIA]</a:t>
                    </a:fld>
                    <a:endParaRPr lang="pt-BR"/>
                  </a:p>
                </c:rich>
              </c:tx>
              <c:dLblPos val="outEnd"/>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9-6445-41B0-90BD-E5B55CD8819F}"/>
                </c:ext>
              </c:extLst>
            </c:dLbl>
            <c:dLbl>
              <c:idx val="10"/>
              <c:layout>
                <c:manualLayout>
                  <c:x val="4.7163915908144244E-8"/>
                  <c:y val="1.3139500993451975E-16"/>
                </c:manualLayout>
              </c:layout>
              <c:tx>
                <c:rich>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fld id="{AE0859E4-BF7E-44F5-AA70-6251FE00BDB3}" type="CELLRANGE">
                      <a:rPr lang="en-US" altLang="zh-CN"/>
                      <a:pPr algn="ctr">
                        <a:defRPr sz="1100"/>
                      </a:pPr>
                      <a:t>[INTERVALODACÉLULA]</a:t>
                    </a:fld>
                    <a:endParaRPr lang="en-US" baseline="0"/>
                  </a:p>
                  <a:p>
                    <a:pPr algn="ctr">
                      <a:defRPr sz="1100"/>
                    </a:pPr>
                    <a:fld id="{0617D681-6427-422C-86DC-EE73622515E9}" type="CATEGORYNAME">
                      <a:rPr lang="en-US" altLang="zh-CN"/>
                      <a:pPr algn="ctr">
                        <a:defRPr sz="1100"/>
                      </a:pPr>
                      <a:t>[NOME DA CATEGORIA]</a:t>
                    </a:fld>
                    <a:endParaRPr lang="pt-BR"/>
                  </a:p>
                </c:rich>
              </c:tx>
              <c:spPr>
                <a:noFill/>
                <a:ln>
                  <a:noFill/>
                </a:ln>
                <a:effectLst/>
              </c:spPr>
              <c:txPr>
                <a:bodyPr rot="0" spcFirstLastPara="1" vertOverflow="ellipsis" vert="horz" wrap="square" anchor="ctr" anchorCtr="0"/>
                <a:lstStyle/>
                <a:p>
                  <a:pPr algn="ctr">
                    <a:defRPr sz="1100" b="0" i="0" u="none" strike="noStrike" kern="1200" baseline="0">
                      <a:solidFill>
                        <a:schemeClr val="bg1"/>
                      </a:solidFill>
                      <a:latin typeface="+mn-lt"/>
                      <a:ea typeface="+mn-ea"/>
                      <a:cs typeface="+mn-cs"/>
                    </a:defRPr>
                  </a:pPr>
                  <a:endParaRPr lang="pt-BR"/>
                </a:p>
              </c:txPr>
              <c:dLblPos val="outEnd"/>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 xmlns:c16="http://schemas.microsoft.com/office/drawing/2014/chart" uri="{C3380CC4-5D6E-409C-BE32-E72D297353CC}">
                  <c16:uniqueId val="{0000000A-6445-41B0-90BD-E5B55CD8819F}"/>
                </c:ext>
              </c:extLst>
            </c:dLbl>
            <c:dLbl>
              <c:idx val="11"/>
              <c:layout>
                <c:manualLayout>
                  <c:x val="4.7163915820294599E-8"/>
                  <c:y val="-3.2848752483629937E-17"/>
                </c:manualLayout>
              </c:layout>
              <c:tx>
                <c:rich>
                  <a:bodyPr/>
                  <a:lstStyle/>
                  <a:p>
                    <a:fld id="{85C1A84E-729C-4046-8960-A8CB5BD2C35F}" type="CELLRANGE">
                      <a:rPr lang="en-US" altLang="zh-CN"/>
                      <a:pPr/>
                      <a:t>[INTERVALODACÉLULA]</a:t>
                    </a:fld>
                    <a:endParaRPr lang="en-US" baseline="0"/>
                  </a:p>
                  <a:p>
                    <a:fld id="{0D95E02C-930F-4864-9E58-3980F3EDDDF4}" type="CATEGORYNAME">
                      <a:rPr lang="en-US" altLang="zh-CN"/>
                      <a:pPr/>
                      <a:t>[NOME DA CATEGORIA]</a:t>
                    </a:fld>
                    <a:endParaRPr lang="pt-BR"/>
                  </a:p>
                </c:rich>
              </c:tx>
              <c:dLblPos val="outEnd"/>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6445-41B0-90BD-E5B55CD8819F}"/>
                </c:ext>
              </c:extLst>
            </c:dLbl>
            <c:dLbl>
              <c:idx val="12"/>
              <c:layout>
                <c:manualLayout>
                  <c:x val="3.9040716173319945E-2"/>
                  <c:y val="1.4309534274957235E-3"/>
                </c:manualLayout>
              </c:layout>
              <c:tx>
                <c:rich>
                  <a:bodyPr rot="0" spcFirstLastPara="1" vertOverflow="ellipsis" vert="horz" wrap="square" anchor="t" anchorCtr="0"/>
                  <a:lstStyle/>
                  <a:p>
                    <a:pPr algn="l">
                      <a:defRPr sz="1100" b="0" i="0" u="none" strike="noStrike" kern="1200" baseline="0">
                        <a:solidFill>
                          <a:schemeClr val="bg1"/>
                        </a:solidFill>
                        <a:latin typeface="+mn-lt"/>
                        <a:ea typeface="+mn-ea"/>
                        <a:cs typeface="+mn-cs"/>
                      </a:defRPr>
                    </a:pPr>
                    <a:fld id="{6765A073-0BC3-43F1-944D-00DF9C4FC898}" type="CELLRANGE">
                      <a:rPr lang="en-US" altLang="zh-CN"/>
                      <a:pPr algn="l">
                        <a:defRPr sz="1100"/>
                      </a:pPr>
                      <a:t>[INTERVALODACÉLULA]</a:t>
                    </a:fld>
                    <a:endParaRPr lang="en-US" baseline="0"/>
                  </a:p>
                  <a:p>
                    <a:pPr algn="l">
                      <a:defRPr sz="1100"/>
                    </a:pPr>
                    <a:fld id="{4DCF4CA1-F86D-4829-92FB-8AD8358ACA12}" type="CATEGORYNAME">
                      <a:rPr lang="en-US" altLang="zh-CN"/>
                      <a:pPr algn="l">
                        <a:defRPr sz="1100"/>
                      </a:pPr>
                      <a:t>[NOME DA CATEGORIA]</a:t>
                    </a:fld>
                    <a:endParaRPr lang="pt-BR"/>
                  </a:p>
                </c:rich>
              </c:tx>
              <c:spPr>
                <a:noFill/>
                <a:ln>
                  <a:noFill/>
                </a:ln>
                <a:effectLst/>
              </c:spPr>
              <c:txPr>
                <a:bodyPr rot="0" spcFirstLastPara="1" vertOverflow="ellipsis" vert="horz" wrap="square" anchor="t" anchorCtr="0"/>
                <a:lstStyle/>
                <a:p>
                  <a:pPr algn="l">
                    <a:defRPr sz="1100" b="0" i="0" u="none" strike="noStrike" kern="1200" baseline="0">
                      <a:solidFill>
                        <a:schemeClr val="bg1"/>
                      </a:solidFill>
                      <a:latin typeface="+mn-lt"/>
                      <a:ea typeface="+mn-ea"/>
                      <a:cs typeface="+mn-cs"/>
                    </a:defRPr>
                  </a:pPr>
                  <a:endParaRPr lang="pt-BR"/>
                </a:p>
              </c:txPr>
              <c:dLblPos val="outEnd"/>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layout>
                    <c:manualLayout>
                      <c:w val="8.9198389724893384E-2"/>
                      <c:h val="9.1426693122163963E-2"/>
                    </c:manualLayout>
                  </c15:layout>
                  <c15:dlblFieldTable/>
                  <c15:showDataLabelsRange val="1"/>
                </c:ext>
                <c:ext xmlns:c16="http://schemas.microsoft.com/office/drawing/2014/chart" uri="{C3380CC4-5D6E-409C-BE32-E72D297353CC}">
                  <c16:uniqueId val="{0000000C-6445-41B0-90BD-E5B55CD8819F}"/>
                </c:ext>
              </c:extLst>
            </c:dLbl>
            <c:dLbl>
              <c:idx val="13"/>
              <c:tx>
                <c:rich>
                  <a:bodyPr/>
                  <a:lstStyle/>
                  <a:p>
                    <a:fld id="{535B7290-7685-47C9-8197-F0DD2386166C}" type="CELLRANGE">
                      <a:rPr lang="pt-BR"/>
                      <a:pPr/>
                      <a:t>[INTERVALODACÉLULA]</a:t>
                    </a:fld>
                    <a:r>
                      <a:rPr lang="pt-BR" baseline="0"/>
                      <a:t>
</a:t>
                    </a:r>
                    <a:fld id="{573D398F-B744-4616-B64F-3DF449A80BA9}" type="CATEGORYNAME">
                      <a:rPr lang="pt-BR" baseline="0"/>
                      <a:pPr/>
                      <a:t>[NOME DA CATEGORIA]</a:t>
                    </a:fld>
                    <a:endParaRPr lang="pt-BR" baseline="0"/>
                  </a:p>
                </c:rich>
              </c:tx>
              <c:dLblPos val="outEnd"/>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445-41B0-90BD-E5B55CD8819F}"/>
                </c:ext>
              </c:extLst>
            </c:dLbl>
            <c:dLbl>
              <c:idx val="14"/>
              <c:layout>
                <c:manualLayout>
                  <c:x val="2.8258042182593451E-2"/>
                  <c:y val="-8.5836929209766304E-3"/>
                </c:manualLayout>
              </c:layout>
              <c:tx>
                <c:rich>
                  <a:bodyPr rot="0" spcFirstLastPara="1" vertOverflow="ellipsis" vert="horz" wrap="square" anchor="ctr" anchorCtr="0"/>
                  <a:lstStyle/>
                  <a:p>
                    <a:pPr algn="l">
                      <a:defRPr sz="1100" b="0" i="0" u="none" strike="noStrike" kern="1200" baseline="0">
                        <a:solidFill>
                          <a:schemeClr val="bg1"/>
                        </a:solidFill>
                        <a:latin typeface="+mn-lt"/>
                        <a:ea typeface="+mn-ea"/>
                        <a:cs typeface="+mn-cs"/>
                      </a:defRPr>
                    </a:pPr>
                    <a:fld id="{7C5E5C07-6764-489D-8B9E-ADDA894E2EEA}" type="CELLRANGE">
                      <a:rPr lang="en-US" baseline="0"/>
                      <a:pPr algn="l">
                        <a:defRPr sz="1100"/>
                      </a:pPr>
                      <a:t>[INTERVALODACÉLULA]</a:t>
                    </a:fld>
                    <a:r>
                      <a:rPr lang="en-US" baseline="0"/>
                      <a:t>
</a:t>
                    </a:r>
                    <a:fld id="{99AB7838-6D85-46D0-B892-7DE81D469294}" type="CATEGORYNAME">
                      <a:rPr lang="en-US" baseline="0"/>
                      <a:pPr algn="l">
                        <a:defRPr sz="1100"/>
                      </a:pPr>
                      <a:t>[NOME DA CATEGORIA]</a:t>
                    </a:fld>
                    <a:endParaRPr lang="en-US" baseline="0"/>
                  </a:p>
                </c:rich>
              </c:tx>
              <c:spPr>
                <a:noFill/>
                <a:ln>
                  <a:noFill/>
                </a:ln>
                <a:effectLst/>
              </c:spPr>
              <c:txPr>
                <a:bodyPr rot="0" spcFirstLastPara="1" vertOverflow="ellipsis" vert="horz" wrap="square" anchor="ctr" anchorCtr="0"/>
                <a:lstStyle/>
                <a:p>
                  <a:pPr algn="l">
                    <a:defRPr sz="1100" b="0" i="0" u="none" strike="noStrike" kern="1200" baseline="0">
                      <a:solidFill>
                        <a:schemeClr val="bg1"/>
                      </a:solidFill>
                      <a:latin typeface="+mn-lt"/>
                      <a:ea typeface="+mn-ea"/>
                      <a:cs typeface="+mn-cs"/>
                    </a:defRPr>
                  </a:pPr>
                  <a:endParaRPr lang="pt-BR"/>
                </a:p>
              </c:txPr>
              <c:dLblPos val="outEnd"/>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 xmlns:c16="http://schemas.microsoft.com/office/drawing/2014/chart" uri="{C3380CC4-5D6E-409C-BE32-E72D297353CC}">
                  <c16:uniqueId val="{0000000E-6445-41B0-90BD-E5B55CD8819F}"/>
                </c:ext>
              </c:extLst>
            </c:dLbl>
            <c:dLbl>
              <c:idx val="15"/>
              <c:tx>
                <c:rich>
                  <a:bodyPr/>
                  <a:lstStyle/>
                  <a:p>
                    <a:fld id="{AA3A9E14-C7C4-4020-A897-0529B8DF4149}" type="CELLRANGE">
                      <a:rPr lang="pt-BR"/>
                      <a:pPr/>
                      <a:t>[INTERVALODACÉLULA]</a:t>
                    </a:fld>
                    <a:r>
                      <a:rPr lang="pt-BR" baseline="0"/>
                      <a:t>
</a:t>
                    </a:r>
                    <a:fld id="{00540E55-7BA3-4893-8EE5-73CC0E8A5C17}" type="CATEGORYNAME">
                      <a:rPr lang="pt-BR" baseline="0"/>
                      <a:pPr/>
                      <a:t>[NOME DA CATEGORIA]</a:t>
                    </a:fld>
                    <a:endParaRPr lang="pt-BR" baseline="0"/>
                  </a:p>
                </c:rich>
              </c:tx>
              <c:dLblPos val="outEnd"/>
              <c:showLegendKey val="0"/>
              <c:showVal val="0"/>
              <c:showCatName val="1"/>
              <c:showSerName val="0"/>
              <c:showPercent val="0"/>
              <c:showBubbleSize val="0"/>
              <c:separator>
</c:separator>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6445-41B0-90BD-E5B55CD8819F}"/>
                </c:ext>
              </c:extLst>
            </c:dLbl>
            <c:spPr>
              <a:noFill/>
              <a:ln>
                <a:noFill/>
              </a:ln>
              <a:effectLst/>
            </c:spPr>
            <c:txPr>
              <a:bodyPr rot="0" spcFirstLastPara="1" vertOverflow="ellipsis" vert="horz" wrap="square" anchor="ctr" anchorCtr="0"/>
              <a:lstStyle/>
              <a:p>
                <a:pPr algn="r">
                  <a:defRPr sz="1100" b="0" i="0" u="none" strike="noStrike" kern="1200" baseline="0">
                    <a:solidFill>
                      <a:schemeClr val="bg1"/>
                    </a:solidFill>
                    <a:latin typeface="+mn-lt"/>
                    <a:ea typeface="+mn-ea"/>
                    <a:cs typeface="+mn-cs"/>
                  </a:defRPr>
                </a:pPr>
                <a:endParaRPr lang="pt-BR"/>
              </a:p>
            </c:txPr>
            <c:dLblPos val="outEnd"/>
            <c:showLegendKey val="0"/>
            <c:showVal val="0"/>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errBars>
            <c:errBarType val="minus"/>
            <c:errValType val="percentage"/>
            <c:noEndCap val="0"/>
            <c:val val="100"/>
            <c:spPr>
              <a:solidFill>
                <a:schemeClr val="tx1"/>
              </a:solidFill>
              <a:ln w="15875" cap="flat" cmpd="sng" algn="ctr">
                <a:solidFill>
                  <a:schemeClr val="bg1">
                    <a:lumMod val="50000"/>
                  </a:schemeClr>
                </a:solidFill>
                <a:prstDash val="solid"/>
                <a:round/>
              </a:ln>
              <a:effectLst/>
            </c:spPr>
          </c:errBars>
          <c:cat>
            <c:strRef>
              <c:f>'Linha do Tempo do Projeto'!$C$17:$C$32</c:f>
              <c:strCache>
                <c:ptCount val="16"/>
                <c:pt idx="0">
                  <c:v>Início do Projeto </c:v>
                </c:pt>
                <c:pt idx="1">
                  <c:v>Ferramenta de Mapeamento</c:v>
                </c:pt>
                <c:pt idx="2">
                  <c:v>Envio das Contas Target</c:v>
                </c:pt>
                <c:pt idx="3">
                  <c:v>Distribuição da ferramenta</c:v>
                </c:pt>
                <c:pt idx="4">
                  <c:v>Recebimento e Compilação do Mapeamento</c:v>
                </c:pt>
                <c:pt idx="5">
                  <c:v>Análise / Levantamento de ações</c:v>
                </c:pt>
                <c:pt idx="6">
                  <c:v>Desenvolvimento das ações</c:v>
                </c:pt>
                <c:pt idx="7">
                  <c:v>Aprovação/ Ajuste das Ações</c:v>
                </c:pt>
                <c:pt idx="8">
                  <c:v>Kick off</c:v>
                </c:pt>
                <c:pt idx="9">
                  <c:v>Levantamento de Pautas (Inbound)</c:v>
                </c:pt>
                <c:pt idx="10">
                  <c:v>Fechamento de Pautas</c:v>
                </c:pt>
                <c:pt idx="11">
                  <c:v>Tradução</c:v>
                </c:pt>
                <c:pt idx="12">
                  <c:v>Mapeamento de Fluxos</c:v>
                </c:pt>
                <c:pt idx="13">
                  <c:v>Play nos Fluxos</c:v>
                </c:pt>
                <c:pt idx="14">
                  <c:v>Otimização de Fluxos</c:v>
                </c:pt>
                <c:pt idx="15">
                  <c:v>Análise dos fluxos</c:v>
                </c:pt>
              </c:strCache>
            </c:strRef>
          </c:cat>
          <c:val>
            <c:numRef>
              <c:f>'Linha do Tempo do Projeto'!$E$17:$E$32</c:f>
              <c:numCache>
                <c:formatCode>General</c:formatCode>
                <c:ptCount val="16"/>
                <c:pt idx="0">
                  <c:v>20</c:v>
                </c:pt>
                <c:pt idx="1">
                  <c:v>10</c:v>
                </c:pt>
                <c:pt idx="2">
                  <c:v>-10</c:v>
                </c:pt>
                <c:pt idx="3">
                  <c:v>10</c:v>
                </c:pt>
                <c:pt idx="4">
                  <c:v>-10</c:v>
                </c:pt>
                <c:pt idx="5">
                  <c:v>15</c:v>
                </c:pt>
                <c:pt idx="6">
                  <c:v>-15</c:v>
                </c:pt>
                <c:pt idx="7">
                  <c:v>10</c:v>
                </c:pt>
                <c:pt idx="8">
                  <c:v>-20</c:v>
                </c:pt>
                <c:pt idx="9">
                  <c:v>20</c:v>
                </c:pt>
                <c:pt idx="10">
                  <c:v>-15</c:v>
                </c:pt>
                <c:pt idx="11">
                  <c:v>10</c:v>
                </c:pt>
                <c:pt idx="12">
                  <c:v>-5</c:v>
                </c:pt>
                <c:pt idx="13">
                  <c:v>5</c:v>
                </c:pt>
                <c:pt idx="14">
                  <c:v>15</c:v>
                </c:pt>
                <c:pt idx="15">
                  <c:v>5</c:v>
                </c:pt>
              </c:numCache>
            </c:numRef>
          </c:val>
          <c:extLst>
            <c:ext xmlns:c15="http://schemas.microsoft.com/office/drawing/2012/chart" uri="{02D57815-91ED-43cb-92C2-25804820EDAC}">
              <c15:datalabelsRange>
                <c15:f>'Linha do Tempo do Projeto'!$D$17:$D$32</c15:f>
                <c15:dlblRangeCache>
                  <c:ptCount val="16"/>
                  <c:pt idx="0">
                    <c:v>Fábio</c:v>
                  </c:pt>
                  <c:pt idx="1">
                    <c:v>Fábio</c:v>
                  </c:pt>
                  <c:pt idx="2">
                    <c:v>Érico</c:v>
                  </c:pt>
                  <c:pt idx="3">
                    <c:v>Fábio</c:v>
                  </c:pt>
                  <c:pt idx="4">
                    <c:v>Vendas/Fábio</c:v>
                  </c:pt>
                  <c:pt idx="5">
                    <c:v>Fábio/Camila/Vendas</c:v>
                  </c:pt>
                  <c:pt idx="6">
                    <c:v>Fábio</c:v>
                  </c:pt>
                  <c:pt idx="7">
                    <c:v>Fábio/Camila/Vendas</c:v>
                  </c:pt>
                  <c:pt idx="8">
                    <c:v>Marketing/Vendas</c:v>
                  </c:pt>
                  <c:pt idx="9">
                    <c:v>Fábio</c:v>
                  </c:pt>
                  <c:pt idx="10">
                    <c:v>Fábio</c:v>
                  </c:pt>
                  <c:pt idx="11">
                    <c:v>Fábio</c:v>
                  </c:pt>
                  <c:pt idx="12">
                    <c:v>Fábio</c:v>
                  </c:pt>
                  <c:pt idx="13">
                    <c:v>Fábio</c:v>
                  </c:pt>
                  <c:pt idx="14">
                    <c:v>Fábio</c:v>
                  </c:pt>
                  <c:pt idx="15">
                    <c:v>Fábio</c:v>
                  </c:pt>
                </c15:dlblRangeCache>
              </c15:datalabelsRange>
            </c:ext>
            <c:ext xmlns:c16="http://schemas.microsoft.com/office/drawing/2014/chart" uri="{C3380CC4-5D6E-409C-BE32-E72D297353CC}">
              <c16:uniqueId val="{00000010-6445-41B0-90BD-E5B55CD8819F}"/>
            </c:ext>
          </c:extLst>
        </c:ser>
        <c:dLbls>
          <c:showLegendKey val="0"/>
          <c:showVal val="0"/>
          <c:showCatName val="0"/>
          <c:showSerName val="0"/>
          <c:showPercent val="0"/>
          <c:showBubbleSize val="0"/>
        </c:dLbls>
        <c:gapWidth val="150"/>
        <c:axId val="717045280"/>
        <c:axId val="717044888"/>
      </c:barChart>
      <c:lineChart>
        <c:grouping val="standard"/>
        <c:varyColors val="0"/>
        <c:ser>
          <c:idx val="0"/>
          <c:order val="0"/>
          <c:tx>
            <c:strRef>
              <c:f>'Linha do Tempo do Projeto'!$B$16</c:f>
              <c:strCache>
                <c:ptCount val="1"/>
                <c:pt idx="0">
                  <c:v>Data</c:v>
                </c:pt>
              </c:strCache>
            </c:strRef>
          </c:tx>
          <c:spPr>
            <a:ln w="19050" cap="rnd" cmpd="sng" algn="ctr">
              <a:noFill/>
              <a:prstDash val="solid"/>
              <a:round/>
            </a:ln>
            <a:effectLst/>
          </c:spPr>
          <c:marker>
            <c:symbol val="square"/>
            <c:size val="7"/>
            <c:spPr>
              <a:solidFill>
                <a:schemeClr val="accent1"/>
              </a:solidFill>
              <a:ln w="6350" cap="flat" cmpd="sng" algn="ctr">
                <a:noFill/>
                <a:prstDash val="solid"/>
                <a:round/>
              </a:ln>
              <a:effectLst/>
            </c:spPr>
          </c:marker>
          <c:dPt>
            <c:idx val="12"/>
            <c:bubble3D val="0"/>
            <c:extLst>
              <c:ext xmlns:c16="http://schemas.microsoft.com/office/drawing/2014/chart" uri="{C3380CC4-5D6E-409C-BE32-E72D297353CC}">
                <c16:uniqueId val="{00000011-6445-41B0-90BD-E5B55CD8819F}"/>
              </c:ext>
            </c:extLst>
          </c:dPt>
          <c:errBars>
            <c:errDir val="y"/>
            <c:errBarType val="both"/>
            <c:errValType val="percentage"/>
            <c:noEndCap val="0"/>
            <c:val val="5"/>
            <c:spPr>
              <a:solidFill>
                <a:schemeClr val="tx1"/>
              </a:solidFill>
              <a:ln w="12700" cap="flat" cmpd="sng" algn="ctr">
                <a:solidFill>
                  <a:schemeClr val="bg1">
                    <a:lumMod val="50000"/>
                  </a:schemeClr>
                </a:solidFill>
                <a:prstDash val="solid"/>
                <a:round/>
              </a:ln>
              <a:effectLst/>
            </c:spPr>
          </c:errBars>
          <c:cat>
            <c:numRef>
              <c:f>'Linha do Tempo do Projeto'!$B$17:$B$32</c:f>
              <c:numCache>
                <c:formatCode>m/d/yyyy</c:formatCode>
                <c:ptCount val="16"/>
                <c:pt idx="0">
                  <c:v>45306</c:v>
                </c:pt>
                <c:pt idx="1">
                  <c:v>45319</c:v>
                </c:pt>
                <c:pt idx="2">
                  <c:v>45330</c:v>
                </c:pt>
                <c:pt idx="3">
                  <c:v>45331</c:v>
                </c:pt>
                <c:pt idx="4">
                  <c:v>45341</c:v>
                </c:pt>
                <c:pt idx="5">
                  <c:v>45342</c:v>
                </c:pt>
                <c:pt idx="6">
                  <c:v>45344</c:v>
                </c:pt>
                <c:pt idx="7">
                  <c:v>45349</c:v>
                </c:pt>
                <c:pt idx="8">
                  <c:v>45355</c:v>
                </c:pt>
                <c:pt idx="9">
                  <c:v>45358</c:v>
                </c:pt>
                <c:pt idx="10">
                  <c:v>45362</c:v>
                </c:pt>
                <c:pt idx="11">
                  <c:v>45363</c:v>
                </c:pt>
                <c:pt idx="12">
                  <c:v>45365</c:v>
                </c:pt>
                <c:pt idx="13">
                  <c:v>45369</c:v>
                </c:pt>
                <c:pt idx="14">
                  <c:v>45372</c:v>
                </c:pt>
                <c:pt idx="15">
                  <c:v>45382</c:v>
                </c:pt>
              </c:numCache>
            </c:numRef>
          </c:cat>
          <c:val>
            <c:numRef>
              <c:f>'Linha do Tempo do Projeto'!$F$17:$F$32</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1"/>
          <c:extLst>
            <c:ext xmlns:c16="http://schemas.microsoft.com/office/drawing/2014/chart" uri="{C3380CC4-5D6E-409C-BE32-E72D297353CC}">
              <c16:uniqueId val="{00000012-6445-41B0-90BD-E5B55CD8819F}"/>
            </c:ext>
          </c:extLst>
        </c:ser>
        <c:dLbls>
          <c:showLegendKey val="0"/>
          <c:showVal val="0"/>
          <c:showCatName val="0"/>
          <c:showSerName val="0"/>
          <c:showPercent val="0"/>
          <c:showBubbleSize val="0"/>
        </c:dLbls>
        <c:marker val="1"/>
        <c:smooth val="0"/>
        <c:axId val="717044104"/>
        <c:axId val="717044496"/>
      </c:lineChart>
      <c:dateAx>
        <c:axId val="717044104"/>
        <c:scaling>
          <c:orientation val="minMax"/>
        </c:scaling>
        <c:delete val="0"/>
        <c:axPos val="b"/>
        <c:numFmt formatCode="d\ mmm" sourceLinked="0"/>
        <c:majorTickMark val="cross"/>
        <c:minorTickMark val="in"/>
        <c:tickLblPos val="nextTo"/>
        <c:spPr>
          <a:noFill/>
          <a:ln w="9525" cap="flat" cmpd="sng" algn="ctr">
            <a:solidFill>
              <a:schemeClr val="tx2"/>
            </a:solidFill>
            <a:prstDash val="solid"/>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pt-BR"/>
          </a:p>
        </c:txPr>
        <c:crossAx val="717044496"/>
        <c:crosses val="autoZero"/>
        <c:auto val="1"/>
        <c:lblOffset val="100"/>
        <c:baseTimeUnit val="days"/>
        <c:majorUnit val="10"/>
        <c:majorTimeUnit val="days"/>
        <c:minorUnit val="1"/>
        <c:minorTimeUnit val="days"/>
      </c:dateAx>
      <c:valAx>
        <c:axId val="717044496"/>
        <c:scaling>
          <c:orientation val="minMax"/>
        </c:scaling>
        <c:delete val="1"/>
        <c:axPos val="l"/>
        <c:numFmt formatCode="General" sourceLinked="1"/>
        <c:majorTickMark val="out"/>
        <c:minorTickMark val="none"/>
        <c:tickLblPos val="nextTo"/>
        <c:crossAx val="717044104"/>
        <c:crosses val="autoZero"/>
        <c:crossBetween val="midCat"/>
      </c:valAx>
      <c:valAx>
        <c:axId val="717044888"/>
        <c:scaling>
          <c:orientation val="minMax"/>
        </c:scaling>
        <c:delete val="1"/>
        <c:axPos val="r"/>
        <c:numFmt formatCode="General" sourceLinked="1"/>
        <c:majorTickMark val="out"/>
        <c:minorTickMark val="none"/>
        <c:tickLblPos val="nextTo"/>
        <c:crossAx val="717045280"/>
        <c:crosses val="max"/>
        <c:crossBetween val="between"/>
      </c:valAx>
      <c:catAx>
        <c:axId val="717045280"/>
        <c:scaling>
          <c:orientation val="minMax"/>
        </c:scaling>
        <c:delete val="1"/>
        <c:axPos val="b"/>
        <c:numFmt formatCode="General" sourceLinked="1"/>
        <c:majorTickMark val="out"/>
        <c:minorTickMark val="none"/>
        <c:tickLblPos val="nextTo"/>
        <c:crossAx val="717044888"/>
        <c:crosses val="autoZero"/>
        <c:auto val="1"/>
        <c:lblAlgn val="ctr"/>
        <c:lblOffset val="100"/>
        <c:noMultiLvlLbl val="0"/>
      </c:catAx>
      <c:spPr>
        <a:noFill/>
        <a:ln>
          <a:noFill/>
        </a:ln>
        <a:effectLst/>
      </c:spPr>
    </c:plotArea>
    <c:plotVisOnly val="0"/>
    <c:dispBlanksAs val="gap"/>
    <c:showDLblsOverMax val="0"/>
  </c:chart>
  <c:spPr>
    <a:noFill/>
    <a:ln w="6350" cap="flat" cmpd="sng" algn="ctr">
      <a:noFill/>
      <a:prstDash val="solid"/>
      <a:round/>
    </a:ln>
    <a:effectLst/>
  </c:spPr>
  <c:txPr>
    <a:bodyPr/>
    <a:lstStyle/>
    <a:p>
      <a:pPr>
        <a:defRPr>
          <a:solidFill>
            <a:schemeClr val="bg1"/>
          </a:solidFill>
        </a:defRPr>
      </a:pPr>
      <a:endParaRPr lang="pt-BR"/>
    </a:p>
  </c:txPr>
  <c:printSettings>
    <c:headerFooter/>
    <c:pageMargins b="0.75" l="0.7" r="0.7" t="0.75" header="0.3" footer="0.3"/>
    <c:pageSetup orientation="landscape"/>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'Base OPPs (Target)'!$S$87</c:f>
              <c:strCache>
                <c:ptCount val="1"/>
                <c:pt idx="0">
                  <c:v>CW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spcCol="144000" anchor="ctr" anchorCtr="1">
                <a:spAutoFit/>
              </a:bodyPr>
              <a:lstStyle/>
              <a:p>
                <a:pPr>
                  <a:defRPr sz="1200" b="1" i="0" u="none" strike="noStrike" kern="1200" baseline="0">
                    <a:solidFill>
                      <a:schemeClr val="accent1"/>
                    </a:solidFill>
                    <a:latin typeface="+mn-lt"/>
                    <a:ea typeface="+mn-ea"/>
                    <a:cs typeface="+mn-cs"/>
                  </a:defRPr>
                </a:pPr>
                <a:endParaRPr lang="pt-B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(Target)'!$Q$88:$Q$104</c:f>
              <c:strCache>
                <c:ptCount val="17"/>
                <c:pt idx="0">
                  <c:v>Seguros</c:v>
                </c:pt>
                <c:pt idx="1">
                  <c:v>Varejo</c:v>
                </c:pt>
                <c:pt idx="2">
                  <c:v>Financeiro</c:v>
                </c:pt>
                <c:pt idx="3">
                  <c:v>Mobilidade</c:v>
                </c:pt>
                <c:pt idx="4">
                  <c:v>Indústria</c:v>
                </c:pt>
                <c:pt idx="5">
                  <c:v>Pesquisa</c:v>
                </c:pt>
                <c:pt idx="6">
                  <c:v>Telecomunicações</c:v>
                </c:pt>
                <c:pt idx="7">
                  <c:v>Saúde</c:v>
                </c:pt>
                <c:pt idx="8">
                  <c:v>Distribuição</c:v>
                </c:pt>
                <c:pt idx="9">
                  <c:v>Mineração</c:v>
                </c:pt>
                <c:pt idx="10">
                  <c:v>Mineração</c:v>
                </c:pt>
                <c:pt idx="11">
                  <c:v>Automotivo</c:v>
                </c:pt>
                <c:pt idx="12">
                  <c:v>Energia</c:v>
                </c:pt>
                <c:pt idx="13">
                  <c:v>Agroindustrial</c:v>
                </c:pt>
                <c:pt idx="14">
                  <c:v>Leilões</c:v>
                </c:pt>
                <c:pt idx="15">
                  <c:v>Indústria Pesada</c:v>
                </c:pt>
                <c:pt idx="16">
                  <c:v>Tecnologia</c:v>
                </c:pt>
              </c:strCache>
            </c:strRef>
          </c:cat>
          <c:val>
            <c:numRef>
              <c:f>'Base OPPs (Target)'!$S$88:$S$104</c:f>
              <c:numCache>
                <c:formatCode>0.0%</c:formatCode>
                <c:ptCount val="17"/>
                <c:pt idx="0">
                  <c:v>0.25770171805710845</c:v>
                </c:pt>
                <c:pt idx="1">
                  <c:v>0.25023806970133711</c:v>
                </c:pt>
                <c:pt idx="2">
                  <c:v>0.13424927394107344</c:v>
                </c:pt>
                <c:pt idx="3" formatCode="0%">
                  <c:v>9.2737597811425959E-2</c:v>
                </c:pt>
                <c:pt idx="4">
                  <c:v>8.9324337952781371E-2</c:v>
                </c:pt>
                <c:pt idx="5" formatCode="0%">
                  <c:v>3.7001029714231894E-2</c:v>
                </c:pt>
                <c:pt idx="6" formatCode="0%">
                  <c:v>3.1632538350917117E-2</c:v>
                </c:pt>
                <c:pt idx="7">
                  <c:v>2.363745179247155E-2</c:v>
                </c:pt>
                <c:pt idx="8" formatCode="0%">
                  <c:v>2.0984250232373023E-2</c:v>
                </c:pt>
                <c:pt idx="9" formatCode="0%">
                  <c:v>1.4416910728558857E-2</c:v>
                </c:pt>
                <c:pt idx="10" formatCode="0%">
                  <c:v>1.4416910728558857E-2</c:v>
                </c:pt>
                <c:pt idx="11" formatCode="0%">
                  <c:v>1.164184150939231E-2</c:v>
                </c:pt>
                <c:pt idx="12" formatCode="0%">
                  <c:v>7.9938867753016479E-3</c:v>
                </c:pt>
                <c:pt idx="13" formatCode="0%">
                  <c:v>7.3618619334295332E-3</c:v>
                </c:pt>
                <c:pt idx="14">
                  <c:v>4.7547287920929882E-3</c:v>
                </c:pt>
                <c:pt idx="15">
                  <c:v>1.1275967337501603E-3</c:v>
                </c:pt>
                <c:pt idx="16">
                  <c:v>7.7999524519571574E-4</c:v>
                </c:pt>
              </c:numCache>
            </c:numRef>
          </c:val>
          <c:extLst>
            <c:ext xmlns:c16="http://schemas.microsoft.com/office/drawing/2014/chart" uri="{C3380CC4-5D6E-409C-BE32-E72D297353CC}">
              <c16:uniqueId val="{00000000-3083-4B7D-B103-755F6227DFC6}"/>
            </c:ext>
          </c:extLst>
        </c:ser>
        <c:dLbls>
          <c:showLegendKey val="0"/>
          <c:showVal val="0"/>
          <c:showCatName val="0"/>
          <c:showSerName val="0"/>
          <c:showPercent val="0"/>
          <c:showBubbleSize val="0"/>
        </c:dLbls>
        <c:gapWidth val="50"/>
        <c:overlap val="-27"/>
        <c:axId val="1192618927"/>
        <c:axId val="1187822767"/>
      </c:barChart>
      <c:catAx>
        <c:axId val="119261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87822767"/>
        <c:crosses val="autoZero"/>
        <c:auto val="1"/>
        <c:lblAlgn val="ctr"/>
        <c:lblOffset val="100"/>
        <c:noMultiLvlLbl val="0"/>
      </c:catAx>
      <c:valAx>
        <c:axId val="1187822767"/>
        <c:scaling>
          <c:orientation val="minMax"/>
        </c:scaling>
        <c:delete val="1"/>
        <c:axPos val="l"/>
        <c:numFmt formatCode="0.0%" sourceLinked="1"/>
        <c:majorTickMark val="none"/>
        <c:minorTickMark val="none"/>
        <c:tickLblPos val="nextTo"/>
        <c:crossAx val="119261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'Base OPPs (Target)'!$S$110</c:f>
              <c:strCache>
                <c:ptCount val="1"/>
                <c:pt idx="0">
                  <c:v>CW (Vol.)%</c:v>
                </c:pt>
              </c:strCache>
            </c:strRef>
          </c:tx>
          <c:spPr>
            <a:solidFill>
              <a:schemeClr val="accent6"/>
            </a:solidFill>
            <a:ln>
              <a:noFill/>
            </a:ln>
            <a:effectLst/>
          </c:spPr>
          <c:invertIfNegative val="0"/>
          <c:dLbls>
            <c:dLbl>
              <c:idx val="1"/>
              <c:layout>
                <c:manualLayout>
                  <c:x val="-1.4242413503692038E-3"/>
                  <c:y val="0.1016277046030659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5D1-4D71-A6A2-BC0845B84A1B}"/>
                </c:ext>
              </c:extLst>
            </c:dLbl>
            <c:dLbl>
              <c:idx val="2"/>
              <c:layout>
                <c:manualLayout>
                  <c:x val="0"/>
                  <c:y val="0.1047895149469952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E9-4F2D-BB2B-E1E50E44029F}"/>
                </c:ext>
              </c:extLst>
            </c:dLbl>
            <c:dLbl>
              <c:idx val="3"/>
              <c:layout>
                <c:manualLayout>
                  <c:x val="0"/>
                  <c:y val="0.1676943791117019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E9-4F2D-BB2B-E1E50E44029F}"/>
                </c:ext>
              </c:extLst>
            </c:dLbl>
            <c:dLbl>
              <c:idx val="5"/>
              <c:layout>
                <c:manualLayout>
                  <c:x val="-3.0581039755351682E-3"/>
                  <c:y val="1.15011665208515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71B-4C69-86FD-ED453F5FBFB2}"/>
                </c:ext>
              </c:extLst>
            </c:dLbl>
            <c:dLbl>
              <c:idx val="6"/>
              <c:layout>
                <c:manualLayout>
                  <c:x val="-2.9332652138304148E-3"/>
                  <c:y val="-8.8454852234379796E-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446-4B84-AE75-C9EF7D8C80A3}"/>
                </c:ext>
              </c:extLst>
            </c:dLbl>
            <c:dLbl>
              <c:idx val="7"/>
              <c:layout>
                <c:manualLayout>
                  <c:x val="-1.4666326069153149E-3"/>
                  <c:y val="2.4118007976275693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446-4B84-AE75-C9EF7D8C80A3}"/>
                </c:ext>
              </c:extLst>
            </c:dLbl>
            <c:dLbl>
              <c:idx val="8"/>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ctr"/>
              <c:showLegendKey val="0"/>
              <c:showVal val="1"/>
              <c:showCatName val="0"/>
              <c:showSerName val="0"/>
              <c:showPercent val="0"/>
              <c:showBubbleSize val="0"/>
              <c:extLst>
                <c:ext xmlns:c16="http://schemas.microsoft.com/office/drawing/2014/chart" uri="{C3380CC4-5D6E-409C-BE32-E72D297353CC}">
                  <c16:uniqueId val="{00000003-154F-4BED-A1FE-7E3CB6CCDC64}"/>
                </c:ext>
              </c:extLst>
            </c:dLbl>
            <c:dLbl>
              <c:idx val="9"/>
              <c:layout>
                <c:manualLayout>
                  <c:x val="-5.3775913906547226E-17"/>
                  <c:y val="3.9920530766986611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54F-4BED-A1FE-7E3CB6CCDC64}"/>
                </c:ext>
              </c:extLst>
            </c:dLbl>
            <c:dLbl>
              <c:idx val="10"/>
              <c:layout>
                <c:manualLayout>
                  <c:x val="-1.4666326069153149E-3"/>
                  <c:y val="2.5796434536592017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54F-4BED-A1FE-7E3CB6CCDC64}"/>
                </c:ext>
              </c:extLst>
            </c:dLbl>
            <c:dLbl>
              <c:idx val="11"/>
              <c:layout>
                <c:manualLayout>
                  <c:x val="0"/>
                  <c:y val="7.8729221347330729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54F-4BED-A1FE-7E3CB6CCDC64}"/>
                </c:ext>
              </c:extLst>
            </c:dLbl>
            <c:dLbl>
              <c:idx val="12"/>
              <c:layout>
                <c:manualLayout>
                  <c:x val="0"/>
                  <c:y val="1.606196952653645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973-4712-9D03-9FAEF97E99B7}"/>
                </c:ext>
              </c:extLst>
            </c:dLbl>
            <c:dLbl>
              <c:idx val="13"/>
              <c:layout>
                <c:manualLayout>
                  <c:x val="0"/>
                  <c:y val="1.9611412209837406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71B-4C69-86FD-ED453F5FBFB2}"/>
                </c:ext>
              </c:extLst>
            </c:dLbl>
            <c:dLbl>
              <c:idx val="14"/>
              <c:layout>
                <c:manualLayout>
                  <c:x val="0"/>
                  <c:y val="3.7361475648877225E-3"/>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973-4712-9D03-9FAEF97E99B7}"/>
                </c:ext>
              </c:extLst>
            </c:dLbl>
            <c:dLbl>
              <c:idx val="15"/>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ctr"/>
              <c:showLegendKey val="0"/>
              <c:showVal val="1"/>
              <c:showCatName val="0"/>
              <c:showSerName val="0"/>
              <c:showPercent val="0"/>
              <c:showBubbleSize val="0"/>
              <c:extLst>
                <c:ext xmlns:c16="http://schemas.microsoft.com/office/drawing/2014/chart" uri="{C3380CC4-5D6E-409C-BE32-E72D297353CC}">
                  <c16:uniqueId val="{00000002-E973-4712-9D03-9FAEF97E99B7}"/>
                </c:ext>
              </c:extLst>
            </c:dLbl>
            <c:dLbl>
              <c:idx val="16"/>
              <c:layout>
                <c:manualLayout>
                  <c:x val="-1.1212918377705683E-16"/>
                  <c:y val="1.2248104403616129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BE9-4F2D-BB2B-E1E50E44029F}"/>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(Target)'!$Q$111:$Q$127</c:f>
              <c:strCache>
                <c:ptCount val="17"/>
                <c:pt idx="0">
                  <c:v>Varejo</c:v>
                </c:pt>
                <c:pt idx="1">
                  <c:v>Financeiro</c:v>
                </c:pt>
                <c:pt idx="2">
                  <c:v>Indústria</c:v>
                </c:pt>
                <c:pt idx="3">
                  <c:v>Seguros</c:v>
                </c:pt>
                <c:pt idx="4">
                  <c:v>Mobilidade</c:v>
                </c:pt>
                <c:pt idx="5">
                  <c:v>Pesquisa</c:v>
                </c:pt>
                <c:pt idx="6">
                  <c:v>Mineração</c:v>
                </c:pt>
                <c:pt idx="7">
                  <c:v>Mineração</c:v>
                </c:pt>
                <c:pt idx="8">
                  <c:v>Leilões</c:v>
                </c:pt>
                <c:pt idx="9">
                  <c:v>Saúde</c:v>
                </c:pt>
                <c:pt idx="10">
                  <c:v>Automotivo</c:v>
                </c:pt>
                <c:pt idx="11">
                  <c:v>Distribuição</c:v>
                </c:pt>
                <c:pt idx="12">
                  <c:v>Indústria Pesada</c:v>
                </c:pt>
                <c:pt idx="13">
                  <c:v>Telecomunicações</c:v>
                </c:pt>
                <c:pt idx="14">
                  <c:v>Agroindustrial</c:v>
                </c:pt>
                <c:pt idx="15">
                  <c:v>Tecnologia</c:v>
                </c:pt>
                <c:pt idx="16">
                  <c:v>Energia</c:v>
                </c:pt>
              </c:strCache>
            </c:strRef>
          </c:cat>
          <c:val>
            <c:numRef>
              <c:f>'Base OPPs (Target)'!$S$111:$S$127</c:f>
              <c:numCache>
                <c:formatCode>0%</c:formatCode>
                <c:ptCount val="17"/>
                <c:pt idx="0">
                  <c:v>0.22708039492242596</c:v>
                </c:pt>
                <c:pt idx="1">
                  <c:v>0.12976022566995768</c:v>
                </c:pt>
                <c:pt idx="2">
                  <c:v>0.12834978843441466</c:v>
                </c:pt>
                <c:pt idx="3">
                  <c:v>0.12411847672778561</c:v>
                </c:pt>
                <c:pt idx="4">
                  <c:v>8.4626234132581094E-2</c:v>
                </c:pt>
                <c:pt idx="5" formatCode="0.0%">
                  <c:v>4.372355430183357E-2</c:v>
                </c:pt>
                <c:pt idx="6">
                  <c:v>4.0902679830747531E-2</c:v>
                </c:pt>
                <c:pt idx="7">
                  <c:v>4.0902679830747531E-2</c:v>
                </c:pt>
                <c:pt idx="8" formatCode="0.0%">
                  <c:v>3.8081805359661498E-2</c:v>
                </c:pt>
                <c:pt idx="9">
                  <c:v>3.244005641748942E-2</c:v>
                </c:pt>
                <c:pt idx="10">
                  <c:v>2.8208744710860368E-2</c:v>
                </c:pt>
                <c:pt idx="11">
                  <c:v>2.6798307475317348E-2</c:v>
                </c:pt>
                <c:pt idx="12" formatCode="0.0%">
                  <c:v>2.2566995768688293E-2</c:v>
                </c:pt>
                <c:pt idx="13">
                  <c:v>1.9746121297602257E-2</c:v>
                </c:pt>
                <c:pt idx="14">
                  <c:v>5.6417489421720732E-3</c:v>
                </c:pt>
                <c:pt idx="15" formatCode="0.0%">
                  <c:v>4.2313117066290554E-3</c:v>
                </c:pt>
                <c:pt idx="16" formatCode="0.0%">
                  <c:v>2.8208744710860366E-3</c:v>
                </c:pt>
              </c:numCache>
            </c:numRef>
          </c:val>
          <c:extLst>
            <c:ext xmlns:c16="http://schemas.microsoft.com/office/drawing/2014/chart" uri="{C3380CC4-5D6E-409C-BE32-E72D297353CC}">
              <c16:uniqueId val="{00000002-154F-4BED-A1FE-7E3CB6CCDC64}"/>
            </c:ext>
          </c:extLst>
        </c:ser>
        <c:dLbls>
          <c:showLegendKey val="0"/>
          <c:showVal val="0"/>
          <c:showCatName val="0"/>
          <c:showSerName val="0"/>
          <c:showPercent val="0"/>
          <c:showBubbleSize val="0"/>
        </c:dLbls>
        <c:gapWidth val="50"/>
        <c:overlap val="-27"/>
        <c:axId val="1192618927"/>
        <c:axId val="1187822767"/>
      </c:barChart>
      <c:catAx>
        <c:axId val="119261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pt-BR"/>
          </a:p>
        </c:txPr>
        <c:crossAx val="1187822767"/>
        <c:crosses val="autoZero"/>
        <c:auto val="1"/>
        <c:lblAlgn val="ctr"/>
        <c:lblOffset val="100"/>
        <c:noMultiLvlLbl val="0"/>
      </c:catAx>
      <c:valAx>
        <c:axId val="1187822767"/>
        <c:scaling>
          <c:orientation val="minMax"/>
        </c:scaling>
        <c:delete val="1"/>
        <c:axPos val="l"/>
        <c:numFmt formatCode="0%" sourceLinked="1"/>
        <c:majorTickMark val="none"/>
        <c:minorTickMark val="none"/>
        <c:tickLblPos val="nextTo"/>
        <c:crossAx val="119261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'Base OPPs (Target)'!$AO$2</c:f>
          <c:strCache>
            <c:ptCount val="1"/>
            <c:pt idx="0">
              <c:v>Tamanho da Empresa (funcionários)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'Base OPPs (Target)'!$AQ$2</c:f>
              <c:strCache>
                <c:ptCount val="1"/>
                <c:pt idx="0">
                  <c:v>%</c:v>
                </c:pt>
              </c:strCache>
            </c:strRef>
          </c:tx>
          <c:spPr>
            <a:solidFill>
              <a:schemeClr val="accent1"/>
            </a:solidFill>
            <a:ln>
              <a:noFill/>
            </a:ln>
            <a:effectLst/>
          </c:spPr>
          <c:invertIfNegative val="0"/>
          <c:dLbls>
            <c:dLbl>
              <c:idx val="4"/>
              <c:layout>
                <c:manualLayout>
                  <c:x val="-7.6685616078234605E-17"/>
                  <c:y val="0.15621933668931889"/>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B7C-4918-BD42-BBC9F3F49483}"/>
                </c:ext>
              </c:extLst>
            </c:dLbl>
            <c:dLbl>
              <c:idx val="5"/>
              <c:layout>
                <c:manualLayout>
                  <c:x val="0"/>
                  <c:y val="1.1148757875529601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FB-4F95-933D-8790FA4E645B}"/>
                </c:ext>
              </c:extLst>
            </c:dLbl>
            <c:dLbl>
              <c:idx val="6"/>
              <c:layout>
                <c:manualLayout>
                  <c:x val="0"/>
                  <c:y val="1.7702171554850578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pt-BR"/>
                </a:p>
              </c:tx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D9F-4BF1-9A4B-C6685D7361CC}"/>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(Target)'!$AO$3:$AO$9</c:f>
              <c:strCache>
                <c:ptCount val="7"/>
                <c:pt idx="0">
                  <c:v>1001 - 5000</c:v>
                </c:pt>
                <c:pt idx="1">
                  <c:v>201 - 500</c:v>
                </c:pt>
                <c:pt idx="2">
                  <c:v>10000 +</c:v>
                </c:pt>
                <c:pt idx="3">
                  <c:v>5001 - 10000</c:v>
                </c:pt>
                <c:pt idx="4">
                  <c:v>500 - 1000</c:v>
                </c:pt>
                <c:pt idx="5">
                  <c:v>51 - 200</c:v>
                </c:pt>
                <c:pt idx="6">
                  <c:v>11 - 50</c:v>
                </c:pt>
              </c:strCache>
            </c:strRef>
          </c:cat>
          <c:val>
            <c:numRef>
              <c:f>'Base OPPs (Target)'!$AQ$3:$AQ$9</c:f>
              <c:numCache>
                <c:formatCode>0%</c:formatCode>
                <c:ptCount val="7"/>
                <c:pt idx="0">
                  <c:v>0.3902439024390244</c:v>
                </c:pt>
                <c:pt idx="1">
                  <c:v>0.17073170731707318</c:v>
                </c:pt>
                <c:pt idx="2">
                  <c:v>0.14634146341463414</c:v>
                </c:pt>
                <c:pt idx="3">
                  <c:v>0.12195121951219512</c:v>
                </c:pt>
                <c:pt idx="4">
                  <c:v>0.12195121951219512</c:v>
                </c:pt>
                <c:pt idx="5">
                  <c:v>2.4390243902439025E-2</c:v>
                </c:pt>
                <c:pt idx="6">
                  <c:v>2.4390243902439025E-2</c:v>
                </c:pt>
              </c:numCache>
            </c:numRef>
          </c:val>
          <c:extLst>
            <c:ext xmlns:c16="http://schemas.microsoft.com/office/drawing/2014/chart" uri="{C3380CC4-5D6E-409C-BE32-E72D297353CC}">
              <c16:uniqueId val="{00000000-E0FB-4F95-933D-8790FA4E645B}"/>
            </c:ext>
          </c:extLst>
        </c:ser>
        <c:dLbls>
          <c:showLegendKey val="0"/>
          <c:showVal val="0"/>
          <c:showCatName val="0"/>
          <c:showSerName val="0"/>
          <c:showPercent val="0"/>
          <c:showBubbleSize val="0"/>
        </c:dLbls>
        <c:gapWidth val="20"/>
        <c:overlap val="-27"/>
        <c:axId val="1623591984"/>
        <c:axId val="1623592464"/>
      </c:barChart>
      <c:catAx>
        <c:axId val="162359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623592464"/>
        <c:crosses val="autoZero"/>
        <c:auto val="1"/>
        <c:lblAlgn val="ctr"/>
        <c:lblOffset val="100"/>
        <c:noMultiLvlLbl val="0"/>
      </c:catAx>
      <c:valAx>
        <c:axId val="1623592464"/>
        <c:scaling>
          <c:orientation val="minMax"/>
        </c:scaling>
        <c:delete val="1"/>
        <c:axPos val="l"/>
        <c:numFmt formatCode="0%" sourceLinked="1"/>
        <c:majorTickMark val="none"/>
        <c:minorTickMark val="none"/>
        <c:tickLblPos val="nextTo"/>
        <c:crossAx val="1623591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'Base OPPs (Target)'!$AS$2</c:f>
          <c:strCache>
            <c:ptCount val="1"/>
            <c:pt idx="0">
              <c:v>Tamanho da Empresa (Fat/anual)</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'Base OPPs (Target)'!$AU$2</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pt-B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(Target)'!$AS$3:$AS$8</c:f>
              <c:strCache>
                <c:ptCount val="6"/>
                <c:pt idx="0">
                  <c:v>2 B</c:v>
                </c:pt>
                <c:pt idx="1">
                  <c:v>5 B +</c:v>
                </c:pt>
                <c:pt idx="2">
                  <c:v>1 B</c:v>
                </c:pt>
                <c:pt idx="3">
                  <c:v>500 M</c:v>
                </c:pt>
                <c:pt idx="4">
                  <c:v>100 M</c:v>
                </c:pt>
                <c:pt idx="5">
                  <c:v>200 M</c:v>
                </c:pt>
              </c:strCache>
            </c:strRef>
          </c:cat>
          <c:val>
            <c:numRef>
              <c:f>'Base OPPs (Target)'!$AU$3:$AU$8</c:f>
              <c:numCache>
                <c:formatCode>0%</c:formatCode>
                <c:ptCount val="6"/>
                <c:pt idx="0">
                  <c:v>0.34146341463414637</c:v>
                </c:pt>
                <c:pt idx="1">
                  <c:v>0.21951219512195122</c:v>
                </c:pt>
                <c:pt idx="2">
                  <c:v>0.17073170731707318</c:v>
                </c:pt>
                <c:pt idx="3">
                  <c:v>0.12195121951219512</c:v>
                </c:pt>
                <c:pt idx="4">
                  <c:v>9.7560975609756101E-2</c:v>
                </c:pt>
                <c:pt idx="5">
                  <c:v>4.878048780487805E-2</c:v>
                </c:pt>
              </c:numCache>
            </c:numRef>
          </c:val>
          <c:extLst>
            <c:ext xmlns:c16="http://schemas.microsoft.com/office/drawing/2014/chart" uri="{C3380CC4-5D6E-409C-BE32-E72D297353CC}">
              <c16:uniqueId val="{00000000-EB36-46E0-8C6E-042E40FCBBDD}"/>
            </c:ext>
          </c:extLst>
        </c:ser>
        <c:dLbls>
          <c:showLegendKey val="0"/>
          <c:showVal val="0"/>
          <c:showCatName val="0"/>
          <c:showSerName val="0"/>
          <c:showPercent val="0"/>
          <c:showBubbleSize val="0"/>
        </c:dLbls>
        <c:gapWidth val="20"/>
        <c:overlap val="-27"/>
        <c:axId val="1788875296"/>
        <c:axId val="1788893536"/>
      </c:barChart>
      <c:catAx>
        <c:axId val="17888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pt-BR"/>
          </a:p>
        </c:txPr>
        <c:crossAx val="1788893536"/>
        <c:crosses val="autoZero"/>
        <c:auto val="1"/>
        <c:lblAlgn val="ctr"/>
        <c:lblOffset val="100"/>
        <c:noMultiLvlLbl val="0"/>
      </c:catAx>
      <c:valAx>
        <c:axId val="1788893536"/>
        <c:scaling>
          <c:orientation val="minMax"/>
        </c:scaling>
        <c:delete val="1"/>
        <c:axPos val="l"/>
        <c:numFmt formatCode="0%" sourceLinked="1"/>
        <c:majorTickMark val="none"/>
        <c:minorTickMark val="none"/>
        <c:tickLblPos val="nextTo"/>
        <c:crossAx val="17888752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 Setor Mapeado (Qtd.)</a:t>
            </a:r>
          </a:p>
        </c:rich>
      </c:tx>
      <c:layout>
        <c:manualLayout>
          <c:xMode val="edge"/>
          <c:yMode val="edge"/>
          <c:x val="0.23551817585826815"/>
          <c:y val="2.039592177923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'Base OPPs (Target)'!$N$16</c:f>
              <c:strCache>
                <c:ptCount val="1"/>
                <c:pt idx="0">
                  <c:v>QTD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(Target)'!$M$17:$M$33</c:f>
              <c:strCache>
                <c:ptCount val="17"/>
                <c:pt idx="0">
                  <c:v>Distribuição</c:v>
                </c:pt>
                <c:pt idx="1">
                  <c:v>Telecomunicações</c:v>
                </c:pt>
                <c:pt idx="2">
                  <c:v>Pesquisa</c:v>
                </c:pt>
                <c:pt idx="3">
                  <c:v>Mobilidade</c:v>
                </c:pt>
                <c:pt idx="4">
                  <c:v>Mineração</c:v>
                </c:pt>
                <c:pt idx="5">
                  <c:v>Leilões</c:v>
                </c:pt>
                <c:pt idx="6">
                  <c:v>Mineração</c:v>
                </c:pt>
                <c:pt idx="7">
                  <c:v>Agroindustrial</c:v>
                </c:pt>
                <c:pt idx="8">
                  <c:v>Tecnologia</c:v>
                </c:pt>
                <c:pt idx="9">
                  <c:v>Energia</c:v>
                </c:pt>
                <c:pt idx="10">
                  <c:v>Indústria Pesada</c:v>
                </c:pt>
                <c:pt idx="11">
                  <c:v>Automotivo</c:v>
                </c:pt>
                <c:pt idx="12">
                  <c:v>Financeiro</c:v>
                </c:pt>
                <c:pt idx="13">
                  <c:v>Seguros</c:v>
                </c:pt>
                <c:pt idx="14">
                  <c:v>Saúde</c:v>
                </c:pt>
                <c:pt idx="15">
                  <c:v>Varejo</c:v>
                </c:pt>
                <c:pt idx="16">
                  <c:v>Indústria</c:v>
                </c:pt>
              </c:strCache>
            </c:strRef>
          </c:cat>
          <c:val>
            <c:numRef>
              <c:f>'Base OPPs (Target)'!$N$17:$N$33</c:f>
              <c:numCache>
                <c:formatCode>General</c:formatCode>
                <c:ptCount val="17"/>
                <c:pt idx="0">
                  <c:v>1</c:v>
                </c:pt>
                <c:pt idx="1">
                  <c:v>1</c:v>
                </c:pt>
                <c:pt idx="2">
                  <c:v>1</c:v>
                </c:pt>
                <c:pt idx="3">
                  <c:v>1</c:v>
                </c:pt>
                <c:pt idx="4">
                  <c:v>1</c:v>
                </c:pt>
                <c:pt idx="5">
                  <c:v>1</c:v>
                </c:pt>
                <c:pt idx="6">
                  <c:v>2</c:v>
                </c:pt>
                <c:pt idx="7">
                  <c:v>2</c:v>
                </c:pt>
                <c:pt idx="8">
                  <c:v>2</c:v>
                </c:pt>
                <c:pt idx="9">
                  <c:v>2</c:v>
                </c:pt>
                <c:pt idx="10">
                  <c:v>2</c:v>
                </c:pt>
                <c:pt idx="11">
                  <c:v>2</c:v>
                </c:pt>
                <c:pt idx="12">
                  <c:v>2</c:v>
                </c:pt>
                <c:pt idx="13">
                  <c:v>4</c:v>
                </c:pt>
                <c:pt idx="14">
                  <c:v>4</c:v>
                </c:pt>
                <c:pt idx="15">
                  <c:v>6</c:v>
                </c:pt>
                <c:pt idx="16">
                  <c:v>8</c:v>
                </c:pt>
              </c:numCache>
            </c:numRef>
          </c:val>
          <c:extLst>
            <c:ext xmlns:c16="http://schemas.microsoft.com/office/drawing/2014/chart" uri="{C3380CC4-5D6E-409C-BE32-E72D297353CC}">
              <c16:uniqueId val="{00000000-5CF0-4C35-B994-386AFC0408F4}"/>
            </c:ext>
          </c:extLst>
        </c:ser>
        <c:dLbls>
          <c:showLegendKey val="0"/>
          <c:showVal val="0"/>
          <c:showCatName val="0"/>
          <c:showSerName val="0"/>
          <c:showPercent val="0"/>
          <c:showBubbleSize val="0"/>
        </c:dLbls>
        <c:gapWidth val="35"/>
        <c:axId val="1879014048"/>
        <c:axId val="1879008768"/>
      </c:barChart>
      <c:catAx>
        <c:axId val="187901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79008768"/>
        <c:crosses val="autoZero"/>
        <c:auto val="1"/>
        <c:lblAlgn val="ctr"/>
        <c:lblOffset val="100"/>
        <c:noMultiLvlLbl val="0"/>
      </c:catAx>
      <c:valAx>
        <c:axId val="1879008768"/>
        <c:scaling>
          <c:orientation val="minMax"/>
        </c:scaling>
        <c:delete val="1"/>
        <c:axPos val="b"/>
        <c:numFmt formatCode="General" sourceLinked="1"/>
        <c:majorTickMark val="none"/>
        <c:minorTickMark val="none"/>
        <c:tickLblPos val="nextTo"/>
        <c:crossAx val="1879014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5.9124054293170199E-2"/>
          <c:y val="6.5279140408916317E-2"/>
          <c:w val="0.90696519052989555"/>
          <c:h val="0.74257038091801475"/>
        </c:manualLayout>
      </c:layout>
      <c:barChart>
        <c:barDir val="col"/>
        <c:grouping val="clustered"/>
        <c:varyColors val="0"/>
        <c:ser>
          <c:idx val="0"/>
          <c:order val="0"/>
          <c:tx>
            <c:strRef>
              <c:f>'Base OPPs (Target)'!$AM$2</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(Target)'!$AK$3:$AK$19</c:f>
              <c:strCache>
                <c:ptCount val="17"/>
                <c:pt idx="0">
                  <c:v>Qlik</c:v>
                </c:pt>
                <c:pt idx="1">
                  <c:v>Outro</c:v>
                </c:pt>
                <c:pt idx="2">
                  <c:v>Serviços Gerenciados</c:v>
                </c:pt>
                <c:pt idx="3">
                  <c:v>Alteryx</c:v>
                </c:pt>
                <c:pt idx="4">
                  <c:v>Microsoft</c:v>
                </c:pt>
                <c:pt idx="5">
                  <c:v>Automation Anywhere</c:v>
                </c:pt>
                <c:pt idx="6">
                  <c:v>Snowflake</c:v>
                </c:pt>
                <c:pt idx="7">
                  <c:v>Arquitetura de Dados</c:v>
                </c:pt>
                <c:pt idx="8">
                  <c:v>DataRobot</c:v>
                </c:pt>
                <c:pt idx="9">
                  <c:v>PyPlan</c:v>
                </c:pt>
                <c:pt idx="10">
                  <c:v>Talend</c:v>
                </c:pt>
                <c:pt idx="11">
                  <c:v>Hyper Report</c:v>
                </c:pt>
                <c:pt idx="12">
                  <c:v>Denodo</c:v>
                </c:pt>
                <c:pt idx="13">
                  <c:v>H2O.ai</c:v>
                </c:pt>
                <c:pt idx="14">
                  <c:v>Power BI</c:v>
                </c:pt>
                <c:pt idx="15">
                  <c:v>IBM</c:v>
                </c:pt>
                <c:pt idx="16">
                  <c:v>Fivetran</c:v>
                </c:pt>
              </c:strCache>
            </c:strRef>
          </c:cat>
          <c:val>
            <c:numRef>
              <c:f>'Base OPPs (Target)'!$AM$3:$AM$19</c:f>
              <c:numCache>
                <c:formatCode>0%</c:formatCode>
                <c:ptCount val="17"/>
                <c:pt idx="0">
                  <c:v>0.69574247144340606</c:v>
                </c:pt>
                <c:pt idx="1">
                  <c:v>5.2959501557632398E-2</c:v>
                </c:pt>
                <c:pt idx="2">
                  <c:v>4.6728971962616821E-2</c:v>
                </c:pt>
                <c:pt idx="3">
                  <c:v>4.46521287642783E-2</c:v>
                </c:pt>
                <c:pt idx="4">
                  <c:v>4.0498442367601244E-2</c:v>
                </c:pt>
                <c:pt idx="5">
                  <c:v>3.3229491173416406E-2</c:v>
                </c:pt>
                <c:pt idx="6">
                  <c:v>2.5960539979231569E-2</c:v>
                </c:pt>
                <c:pt idx="7">
                  <c:v>2.4922118380062305E-2</c:v>
                </c:pt>
                <c:pt idx="8">
                  <c:v>1.142263759086189E-2</c:v>
                </c:pt>
                <c:pt idx="9">
                  <c:v>8.3073727933541015E-3</c:v>
                </c:pt>
                <c:pt idx="10">
                  <c:v>5.1921079958463139E-3</c:v>
                </c:pt>
                <c:pt idx="11">
                  <c:v>3.1152647975077881E-3</c:v>
                </c:pt>
                <c:pt idx="12">
                  <c:v>2.0768431983385254E-3</c:v>
                </c:pt>
                <c:pt idx="13">
                  <c:v>2.0768431983385254E-3</c:v>
                </c:pt>
                <c:pt idx="14">
                  <c:v>1.0384215991692627E-3</c:v>
                </c:pt>
                <c:pt idx="15">
                  <c:v>1.0384215991692627E-3</c:v>
                </c:pt>
                <c:pt idx="16">
                  <c:v>1.0384215991692627E-3</c:v>
                </c:pt>
              </c:numCache>
            </c:numRef>
          </c:val>
          <c:extLst>
            <c:ext xmlns:c16="http://schemas.microsoft.com/office/drawing/2014/chart" uri="{C3380CC4-5D6E-409C-BE32-E72D297353CC}">
              <c16:uniqueId val="{00000000-901D-4806-B531-B4D017AAA544}"/>
            </c:ext>
          </c:extLst>
        </c:ser>
        <c:dLbls>
          <c:showLegendKey val="0"/>
          <c:showVal val="0"/>
          <c:showCatName val="0"/>
          <c:showSerName val="0"/>
          <c:showPercent val="0"/>
          <c:showBubbleSize val="0"/>
        </c:dLbls>
        <c:gapWidth val="35"/>
        <c:overlap val="-27"/>
        <c:axId val="1967913744"/>
        <c:axId val="1967929584"/>
      </c:barChart>
      <c:catAx>
        <c:axId val="1967913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67929584"/>
        <c:crosses val="autoZero"/>
        <c:auto val="1"/>
        <c:lblAlgn val="ctr"/>
        <c:lblOffset val="100"/>
        <c:noMultiLvlLbl val="0"/>
      </c:catAx>
      <c:valAx>
        <c:axId val="1967929584"/>
        <c:scaling>
          <c:orientation val="minMax"/>
        </c:scaling>
        <c:delete val="1"/>
        <c:axPos val="l"/>
        <c:numFmt formatCode="0%" sourceLinked="1"/>
        <c:majorTickMark val="none"/>
        <c:minorTickMark val="none"/>
        <c:tickLblPos val="nextTo"/>
        <c:crossAx val="1967913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manualLayout>
          <c:layoutTarget val="inner"/>
          <c:xMode val="edge"/>
          <c:yMode val="edge"/>
          <c:x val="0.20665621684854693"/>
          <c:y val="0.17171296296296296"/>
          <c:w val="0.79181576340242399"/>
          <c:h val="0.46100867599883349"/>
        </c:manualLayout>
      </c:layout>
      <c:barChart>
        <c:barDir val="col"/>
        <c:grouping val="clustered"/>
        <c:varyColors val="0"/>
        <c:ser>
          <c:idx val="0"/>
          <c:order val="0"/>
          <c:tx>
            <c:strRef>
              <c:f>'Base OPPs (Target)'!$AI$2</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(Target)'!$AG$3:$AG$9</c:f>
              <c:strCache>
                <c:ptCount val="7"/>
                <c:pt idx="0">
                  <c:v>A10 Novas Tecnologias</c:v>
                </c:pt>
                <c:pt idx="1">
                  <c:v>IN Master</c:v>
                </c:pt>
                <c:pt idx="2">
                  <c:v>Renovação</c:v>
                </c:pt>
                <c:pt idx="3">
                  <c:v>Academia</c:v>
                </c:pt>
                <c:pt idx="4">
                  <c:v>A10 Solution Provider</c:v>
                </c:pt>
                <c:pt idx="5">
                  <c:v>A10 School</c:v>
                </c:pt>
                <c:pt idx="6">
                  <c:v>IN GOV</c:v>
                </c:pt>
              </c:strCache>
            </c:strRef>
          </c:cat>
          <c:val>
            <c:numRef>
              <c:f>'Base OPPs (Target)'!$AI$3:$AI$9</c:f>
              <c:numCache>
                <c:formatCode>0.0%</c:formatCode>
                <c:ptCount val="7"/>
                <c:pt idx="0">
                  <c:v>0.5714285714285714</c:v>
                </c:pt>
                <c:pt idx="1">
                  <c:v>0.2099125364431487</c:v>
                </c:pt>
                <c:pt idx="2">
                  <c:v>0.16132167152575316</c:v>
                </c:pt>
                <c:pt idx="3">
                  <c:v>3.4013605442176874E-2</c:v>
                </c:pt>
                <c:pt idx="4">
                  <c:v>1.0689990281827016E-2</c:v>
                </c:pt>
                <c:pt idx="5">
                  <c:v>1.0689990281827016E-2</c:v>
                </c:pt>
                <c:pt idx="6">
                  <c:v>1.9436345966958211E-3</c:v>
                </c:pt>
              </c:numCache>
            </c:numRef>
          </c:val>
          <c:extLst>
            <c:ext xmlns:c16="http://schemas.microsoft.com/office/drawing/2014/chart" uri="{C3380CC4-5D6E-409C-BE32-E72D297353CC}">
              <c16:uniqueId val="{00000000-B55B-45FA-B9F0-7A9FBDF74796}"/>
            </c:ext>
          </c:extLst>
        </c:ser>
        <c:dLbls>
          <c:showLegendKey val="0"/>
          <c:showVal val="0"/>
          <c:showCatName val="0"/>
          <c:showSerName val="0"/>
          <c:showPercent val="0"/>
          <c:showBubbleSize val="0"/>
        </c:dLbls>
        <c:gapWidth val="35"/>
        <c:overlap val="-27"/>
        <c:axId val="1879027488"/>
        <c:axId val="1879030368"/>
      </c:barChart>
      <c:catAx>
        <c:axId val="1879027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79030368"/>
        <c:crosses val="autoZero"/>
        <c:auto val="1"/>
        <c:lblAlgn val="ctr"/>
        <c:lblOffset val="100"/>
        <c:noMultiLvlLbl val="0"/>
      </c:catAx>
      <c:valAx>
        <c:axId val="1879030368"/>
        <c:scaling>
          <c:orientation val="minMax"/>
        </c:scaling>
        <c:delete val="1"/>
        <c:axPos val="l"/>
        <c:numFmt formatCode="0.0%" sourceLinked="1"/>
        <c:majorTickMark val="none"/>
        <c:minorTickMark val="none"/>
        <c:tickLblPos val="nextTo"/>
        <c:crossAx val="1879027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'Base OPPs (Target)'!$AE$2</c:f>
              <c:strCache>
                <c:ptCount val="1"/>
                <c:pt idx="0">
                  <c:v>%</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(Target)'!$AC$3:$AC$11</c:f>
              <c:strCache>
                <c:ptCount val="9"/>
                <c:pt idx="0">
                  <c:v>Expand - Perpétua</c:v>
                </c:pt>
                <c:pt idx="1">
                  <c:v>Renovação - Perpétua</c:v>
                </c:pt>
                <c:pt idx="2">
                  <c:v>Expand - Subscrição</c:v>
                </c:pt>
                <c:pt idx="3">
                  <c:v>Land - Perpétua</c:v>
                </c:pt>
                <c:pt idx="4">
                  <c:v>Serviço</c:v>
                </c:pt>
                <c:pt idx="5">
                  <c:v>Land - Subscrição</c:v>
                </c:pt>
                <c:pt idx="6">
                  <c:v>Renovação - Subscrição</c:v>
                </c:pt>
                <c:pt idx="7">
                  <c:v>Treinamento</c:v>
                </c:pt>
                <c:pt idx="8">
                  <c:v>Suporte</c:v>
                </c:pt>
              </c:strCache>
            </c:strRef>
          </c:cat>
          <c:val>
            <c:numRef>
              <c:f>'Base OPPs (Target)'!$AE$3:$AE$11</c:f>
              <c:numCache>
                <c:formatCode>0%</c:formatCode>
                <c:ptCount val="9"/>
                <c:pt idx="0">
                  <c:v>0.21102362204724409</c:v>
                </c:pt>
                <c:pt idx="1">
                  <c:v>0.1984251968503937</c:v>
                </c:pt>
                <c:pt idx="2">
                  <c:v>0.14173228346456693</c:v>
                </c:pt>
                <c:pt idx="3">
                  <c:v>0.12440944881889764</c:v>
                </c:pt>
                <c:pt idx="4">
                  <c:v>0.10866141732283464</c:v>
                </c:pt>
                <c:pt idx="5">
                  <c:v>0.11338582677165354</c:v>
                </c:pt>
                <c:pt idx="6">
                  <c:v>7.2440944881889763E-2</c:v>
                </c:pt>
                <c:pt idx="7">
                  <c:v>2.6771653543307086E-2</c:v>
                </c:pt>
                <c:pt idx="8">
                  <c:v>3.1496062992125984E-3</c:v>
                </c:pt>
              </c:numCache>
            </c:numRef>
          </c:val>
          <c:extLst>
            <c:ext xmlns:c16="http://schemas.microsoft.com/office/drawing/2014/chart" uri="{C3380CC4-5D6E-409C-BE32-E72D297353CC}">
              <c16:uniqueId val="{00000000-0BF6-4095-A07F-ECB842460A7A}"/>
            </c:ext>
          </c:extLst>
        </c:ser>
        <c:dLbls>
          <c:showLegendKey val="0"/>
          <c:showVal val="0"/>
          <c:showCatName val="0"/>
          <c:showSerName val="0"/>
          <c:showPercent val="0"/>
          <c:showBubbleSize val="0"/>
        </c:dLbls>
        <c:gapWidth val="35"/>
        <c:overlap val="-27"/>
        <c:axId val="1956392880"/>
        <c:axId val="1956376560"/>
      </c:barChart>
      <c:catAx>
        <c:axId val="195639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956376560"/>
        <c:crosses val="autoZero"/>
        <c:auto val="1"/>
        <c:lblAlgn val="ctr"/>
        <c:lblOffset val="100"/>
        <c:noMultiLvlLbl val="0"/>
      </c:catAx>
      <c:valAx>
        <c:axId val="1956376560"/>
        <c:scaling>
          <c:orientation val="minMax"/>
        </c:scaling>
        <c:delete val="1"/>
        <c:axPos val="l"/>
        <c:numFmt formatCode="0%" sourceLinked="1"/>
        <c:majorTickMark val="none"/>
        <c:minorTickMark val="none"/>
        <c:tickLblPos val="nextTo"/>
        <c:crossAx val="1956392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Part Setor Mapeado (Qtd.)</a:t>
            </a:r>
          </a:p>
        </c:rich>
      </c:tx>
      <c:layout>
        <c:manualLayout>
          <c:xMode val="edge"/>
          <c:yMode val="edge"/>
          <c:x val="0.23551817585826815"/>
          <c:y val="2.039592177923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bar"/>
        <c:grouping val="clustered"/>
        <c:varyColors val="0"/>
        <c:ser>
          <c:idx val="0"/>
          <c:order val="0"/>
          <c:tx>
            <c:strRef>
              <c:f>'Base OPPs (Target)'!$N$16</c:f>
              <c:strCache>
                <c:ptCount val="1"/>
                <c:pt idx="0">
                  <c:v>QTD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(Target)'!$M$65:$M$80</c:f>
              <c:strCache>
                <c:ptCount val="16"/>
                <c:pt idx="0">
                  <c:v>Telecommunications</c:v>
                </c:pt>
                <c:pt idx="1">
                  <c:v>Distribution</c:v>
                </c:pt>
                <c:pt idx="2">
                  <c:v>Agro-Industrial</c:v>
                </c:pt>
                <c:pt idx="3">
                  <c:v>Research</c:v>
                </c:pt>
                <c:pt idx="4">
                  <c:v>Mobility</c:v>
                </c:pt>
                <c:pt idx="5">
                  <c:v>Mining</c:v>
                </c:pt>
                <c:pt idx="6">
                  <c:v>Auctions</c:v>
                </c:pt>
                <c:pt idx="7">
                  <c:v>Technology</c:v>
                </c:pt>
                <c:pt idx="8">
                  <c:v>Energy</c:v>
                </c:pt>
                <c:pt idx="9">
                  <c:v>Heavy Industry</c:v>
                </c:pt>
                <c:pt idx="10">
                  <c:v>Automotive</c:v>
                </c:pt>
                <c:pt idx="11">
                  <c:v>Health</c:v>
                </c:pt>
                <c:pt idx="12">
                  <c:v>Financial</c:v>
                </c:pt>
                <c:pt idx="13">
                  <c:v>Insurance</c:v>
                </c:pt>
                <c:pt idx="14">
                  <c:v>Retail</c:v>
                </c:pt>
                <c:pt idx="15">
                  <c:v>Industry</c:v>
                </c:pt>
              </c:strCache>
            </c:strRef>
          </c:cat>
          <c:val>
            <c:numRef>
              <c:f>'Base OPPs (Target)'!$N$65:$N$80</c:f>
              <c:numCache>
                <c:formatCode>General</c:formatCode>
                <c:ptCount val="16"/>
                <c:pt idx="0">
                  <c:v>1</c:v>
                </c:pt>
                <c:pt idx="1">
                  <c:v>1</c:v>
                </c:pt>
                <c:pt idx="2">
                  <c:v>1</c:v>
                </c:pt>
                <c:pt idx="3">
                  <c:v>1</c:v>
                </c:pt>
                <c:pt idx="4">
                  <c:v>1</c:v>
                </c:pt>
                <c:pt idx="5">
                  <c:v>1</c:v>
                </c:pt>
                <c:pt idx="6">
                  <c:v>1</c:v>
                </c:pt>
                <c:pt idx="7">
                  <c:v>2</c:v>
                </c:pt>
                <c:pt idx="8">
                  <c:v>2</c:v>
                </c:pt>
                <c:pt idx="9">
                  <c:v>2</c:v>
                </c:pt>
                <c:pt idx="10">
                  <c:v>2</c:v>
                </c:pt>
                <c:pt idx="11">
                  <c:v>2</c:v>
                </c:pt>
                <c:pt idx="12">
                  <c:v>2</c:v>
                </c:pt>
                <c:pt idx="13">
                  <c:v>4</c:v>
                </c:pt>
                <c:pt idx="14">
                  <c:v>6</c:v>
                </c:pt>
                <c:pt idx="15">
                  <c:v>8</c:v>
                </c:pt>
              </c:numCache>
            </c:numRef>
          </c:val>
          <c:extLst>
            <c:ext xmlns:c16="http://schemas.microsoft.com/office/drawing/2014/chart" uri="{C3380CC4-5D6E-409C-BE32-E72D297353CC}">
              <c16:uniqueId val="{00000000-262D-446B-B7FB-886FF8CF9D5F}"/>
            </c:ext>
          </c:extLst>
        </c:ser>
        <c:dLbls>
          <c:showLegendKey val="0"/>
          <c:showVal val="0"/>
          <c:showCatName val="0"/>
          <c:showSerName val="0"/>
          <c:showPercent val="0"/>
          <c:showBubbleSize val="0"/>
        </c:dLbls>
        <c:gapWidth val="35"/>
        <c:axId val="1879014048"/>
        <c:axId val="1879008768"/>
      </c:barChart>
      <c:catAx>
        <c:axId val="18790140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879008768"/>
        <c:crosses val="autoZero"/>
        <c:auto val="1"/>
        <c:lblAlgn val="ctr"/>
        <c:lblOffset val="100"/>
        <c:noMultiLvlLbl val="0"/>
      </c:catAx>
      <c:valAx>
        <c:axId val="1879008768"/>
        <c:scaling>
          <c:orientation val="minMax"/>
        </c:scaling>
        <c:delete val="1"/>
        <c:axPos val="b"/>
        <c:numFmt formatCode="General" sourceLinked="1"/>
        <c:majorTickMark val="none"/>
        <c:minorTickMark val="none"/>
        <c:tickLblPos val="nextTo"/>
        <c:crossAx val="18790140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'Base OPPs (Target)'!$AI$87</c:f>
              <c:strCache>
                <c:ptCount val="1"/>
                <c:pt idx="0">
                  <c:v>CW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1"/>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(Target)'!$AG$88:$AG$103</c:f>
              <c:strCache>
                <c:ptCount val="16"/>
                <c:pt idx="0">
                  <c:v>Insurance</c:v>
                </c:pt>
                <c:pt idx="1">
                  <c:v>Retail</c:v>
                </c:pt>
                <c:pt idx="2">
                  <c:v>Financial</c:v>
                </c:pt>
                <c:pt idx="3">
                  <c:v>Mobility</c:v>
                </c:pt>
                <c:pt idx="4">
                  <c:v>Industry</c:v>
                </c:pt>
                <c:pt idx="5">
                  <c:v>Research</c:v>
                </c:pt>
                <c:pt idx="6">
                  <c:v>Telecommunications</c:v>
                </c:pt>
                <c:pt idx="7">
                  <c:v>Distribution</c:v>
                </c:pt>
                <c:pt idx="8">
                  <c:v>Health</c:v>
                </c:pt>
                <c:pt idx="9">
                  <c:v>Automotive</c:v>
                </c:pt>
                <c:pt idx="10">
                  <c:v>Energy</c:v>
                </c:pt>
                <c:pt idx="11">
                  <c:v>Agro-Industrial</c:v>
                </c:pt>
                <c:pt idx="12">
                  <c:v>Mining</c:v>
                </c:pt>
                <c:pt idx="13">
                  <c:v>Auctions</c:v>
                </c:pt>
                <c:pt idx="14">
                  <c:v>Heavy Industry</c:v>
                </c:pt>
                <c:pt idx="15">
                  <c:v>Technology</c:v>
                </c:pt>
              </c:strCache>
            </c:strRef>
          </c:cat>
          <c:val>
            <c:numRef>
              <c:f>'Base OPPs (Target)'!$AI$88:$AI$103</c:f>
              <c:numCache>
                <c:formatCode>0%</c:formatCode>
                <c:ptCount val="16"/>
                <c:pt idx="0">
                  <c:v>0.2670919052243737</c:v>
                </c:pt>
                <c:pt idx="1">
                  <c:v>0.25935629494479467</c:v>
                </c:pt>
                <c:pt idx="2">
                  <c:v>0.13914107605586096</c:v>
                </c:pt>
                <c:pt idx="3">
                  <c:v>9.6116789100709005E-2</c:v>
                </c:pt>
                <c:pt idx="4">
                  <c:v>9.257915619106255E-2</c:v>
                </c:pt>
                <c:pt idx="5">
                  <c:v>3.8349280696094508E-2</c:v>
                </c:pt>
                <c:pt idx="6">
                  <c:v>3.2785171161944716E-2</c:v>
                </c:pt>
                <c:pt idx="7">
                  <c:v>2.1748878573744985E-2</c:v>
                </c:pt>
                <c:pt idx="8">
                  <c:v>1.2125628348890725E-2</c:v>
                </c:pt>
                <c:pt idx="9">
                  <c:v>1.2066049277850436E-2</c:v>
                </c:pt>
                <c:pt idx="10">
                  <c:v>8.2851696335609556E-3</c:v>
                </c:pt>
                <c:pt idx="11">
                  <c:v>7.6301149430549825E-3</c:v>
                </c:pt>
                <c:pt idx="12" formatCode="0.0%">
                  <c:v>5.8194020893288633E-3</c:v>
                </c:pt>
                <c:pt idx="13" formatCode="0.0%">
                  <c:v>4.9279825585946289E-3</c:v>
                </c:pt>
                <c:pt idx="14" formatCode="0.0%">
                  <c:v>1.1686843309107057E-3</c:v>
                </c:pt>
                <c:pt idx="15" formatCode="0.0%">
                  <c:v>8.0841686922362218E-4</c:v>
                </c:pt>
              </c:numCache>
            </c:numRef>
          </c:val>
          <c:extLst>
            <c:ext xmlns:c16="http://schemas.microsoft.com/office/drawing/2014/chart" uri="{C3380CC4-5D6E-409C-BE32-E72D297353CC}">
              <c16:uniqueId val="{00000000-0C0D-49A1-91BB-D319724277D5}"/>
            </c:ext>
          </c:extLst>
        </c:ser>
        <c:dLbls>
          <c:showLegendKey val="0"/>
          <c:showVal val="0"/>
          <c:showCatName val="0"/>
          <c:showSerName val="0"/>
          <c:showPercent val="0"/>
          <c:showBubbleSize val="0"/>
        </c:dLbls>
        <c:gapWidth val="50"/>
        <c:overlap val="-27"/>
        <c:axId val="1192618927"/>
        <c:axId val="1187822767"/>
      </c:barChart>
      <c:catAx>
        <c:axId val="119261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187822767"/>
        <c:crosses val="autoZero"/>
        <c:auto val="1"/>
        <c:lblAlgn val="ctr"/>
        <c:lblOffset val="100"/>
        <c:noMultiLvlLbl val="0"/>
      </c:catAx>
      <c:valAx>
        <c:axId val="1187822767"/>
        <c:scaling>
          <c:orientation val="minMax"/>
        </c:scaling>
        <c:delete val="1"/>
        <c:axPos val="l"/>
        <c:numFmt formatCode="0%" sourceLinked="1"/>
        <c:majorTickMark val="none"/>
        <c:minorTickMark val="none"/>
        <c:tickLblPos val="nextTo"/>
        <c:crossAx val="119261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'Base OPPs (Target)'!$AI$108</c:f>
              <c:strCache>
                <c:ptCount val="1"/>
                <c:pt idx="0">
                  <c:v>CW (Vol.)%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6">
                        <a:lumMod val="75000"/>
                      </a:schemeClr>
                    </a:solidFill>
                    <a:latin typeface="+mn-lt"/>
                    <a:ea typeface="+mn-ea"/>
                    <a:cs typeface="+mn-cs"/>
                  </a:defRPr>
                </a:pPr>
                <a:endParaRPr lang="pt-B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'Base OPPs (Target)'!$AG$109:$AG$124</c:f>
              <c:strCache>
                <c:ptCount val="16"/>
                <c:pt idx="0">
                  <c:v>Retail</c:v>
                </c:pt>
                <c:pt idx="1">
                  <c:v>Financial</c:v>
                </c:pt>
                <c:pt idx="2">
                  <c:v>Industry</c:v>
                </c:pt>
                <c:pt idx="3">
                  <c:v>Insurance</c:v>
                </c:pt>
                <c:pt idx="4">
                  <c:v>Mobility</c:v>
                </c:pt>
                <c:pt idx="5">
                  <c:v>Research</c:v>
                </c:pt>
                <c:pt idx="6">
                  <c:v>Auctions</c:v>
                </c:pt>
                <c:pt idx="7">
                  <c:v>Automotive</c:v>
                </c:pt>
                <c:pt idx="8">
                  <c:v>Distribution</c:v>
                </c:pt>
                <c:pt idx="9">
                  <c:v>Heavy Industry</c:v>
                </c:pt>
                <c:pt idx="10">
                  <c:v>Telecommunications</c:v>
                </c:pt>
                <c:pt idx="11">
                  <c:v>Mining</c:v>
                </c:pt>
                <c:pt idx="12">
                  <c:v>Health</c:v>
                </c:pt>
                <c:pt idx="13">
                  <c:v>Agro-Industrial</c:v>
                </c:pt>
                <c:pt idx="14">
                  <c:v>Technology</c:v>
                </c:pt>
                <c:pt idx="15">
                  <c:v>Energy</c:v>
                </c:pt>
              </c:strCache>
            </c:strRef>
          </c:cat>
          <c:val>
            <c:numRef>
              <c:f>'Base OPPs (Target)'!$AI$109:$AI$124</c:f>
              <c:numCache>
                <c:formatCode>0%</c:formatCode>
                <c:ptCount val="16"/>
                <c:pt idx="0">
                  <c:v>0.24922600619195046</c:v>
                </c:pt>
                <c:pt idx="1">
                  <c:v>0.14241486068111456</c:v>
                </c:pt>
                <c:pt idx="2">
                  <c:v>0.14086687306501547</c:v>
                </c:pt>
                <c:pt idx="3">
                  <c:v>0.13622291021671826</c:v>
                </c:pt>
                <c:pt idx="4">
                  <c:v>9.2879256965944276E-2</c:v>
                </c:pt>
                <c:pt idx="5" formatCode="0.0%">
                  <c:v>4.7987616099071206E-2</c:v>
                </c:pt>
                <c:pt idx="6">
                  <c:v>4.1795665634674919E-2</c:v>
                </c:pt>
                <c:pt idx="7">
                  <c:v>3.0959752321981424E-2</c:v>
                </c:pt>
                <c:pt idx="8">
                  <c:v>2.9411764705882353E-2</c:v>
                </c:pt>
                <c:pt idx="9">
                  <c:v>2.4767801857585141E-2</c:v>
                </c:pt>
                <c:pt idx="10">
                  <c:v>2.1671826625386997E-2</c:v>
                </c:pt>
                <c:pt idx="11">
                  <c:v>2.0123839009287926E-2</c:v>
                </c:pt>
                <c:pt idx="12">
                  <c:v>7.7399380804953561E-3</c:v>
                </c:pt>
                <c:pt idx="13">
                  <c:v>6.1919504643962852E-3</c:v>
                </c:pt>
                <c:pt idx="14" formatCode="0.0%">
                  <c:v>4.6439628482972135E-3</c:v>
                </c:pt>
                <c:pt idx="15" formatCode="0.0%">
                  <c:v>3.0959752321981426E-3</c:v>
                </c:pt>
              </c:numCache>
            </c:numRef>
          </c:val>
          <c:extLst>
            <c:ext xmlns:c16="http://schemas.microsoft.com/office/drawing/2014/chart" uri="{C3380CC4-5D6E-409C-BE32-E72D297353CC}">
              <c16:uniqueId val="{0000000D-7428-4DFF-8294-5A2B61C940D1}"/>
            </c:ext>
          </c:extLst>
        </c:ser>
        <c:dLbls>
          <c:showLegendKey val="0"/>
          <c:showVal val="0"/>
          <c:showCatName val="0"/>
          <c:showSerName val="0"/>
          <c:showPercent val="0"/>
          <c:showBubbleSize val="0"/>
        </c:dLbls>
        <c:gapWidth val="50"/>
        <c:overlap val="-27"/>
        <c:axId val="1192618927"/>
        <c:axId val="1187822767"/>
      </c:barChart>
      <c:catAx>
        <c:axId val="119261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pt-BR"/>
          </a:p>
        </c:txPr>
        <c:crossAx val="1187822767"/>
        <c:crosses val="autoZero"/>
        <c:auto val="1"/>
        <c:lblAlgn val="ctr"/>
        <c:lblOffset val="100"/>
        <c:noMultiLvlLbl val="0"/>
      </c:catAx>
      <c:valAx>
        <c:axId val="1187822767"/>
        <c:scaling>
          <c:orientation val="minMax"/>
        </c:scaling>
        <c:delete val="1"/>
        <c:axPos val="l"/>
        <c:numFmt formatCode="0%" sourceLinked="1"/>
        <c:majorTickMark val="none"/>
        <c:minorTickMark val="none"/>
        <c:tickLblPos val="nextTo"/>
        <c:crossAx val="1192618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238125</xdr:rowOff>
    </xdr:from>
    <xdr:to>
      <xdr:col>17</xdr:col>
      <xdr:colOff>19049</xdr:colOff>
      <xdr:row>14</xdr:row>
      <xdr:rowOff>447674</xdr:rowOff>
    </xdr:to>
    <xdr:graphicFrame macro="">
      <xdr:nvGraphicFramePr>
        <xdr:cNvPr id="2" name="Linha do Tempo do Projeto" descr="Gráfico de linhas que representa cada marco no período de tempo correspondente">
          <a:extLst>
            <a:ext uri="{FF2B5EF4-FFF2-40B4-BE49-F238E27FC236}">
              <a16:creationId xmlns:a16="http://schemas.microsoft.com/office/drawing/2014/main" id="{9E736A7D-1B8F-469E-89A2-AC6CE15DF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1209675</xdr:colOff>
      <xdr:row>6</xdr:row>
      <xdr:rowOff>228600</xdr:rowOff>
    </xdr:from>
    <xdr:to>
      <xdr:col>3</xdr:col>
      <xdr:colOff>1400175</xdr:colOff>
      <xdr:row>8</xdr:row>
      <xdr:rowOff>0</xdr:rowOff>
    </xdr:to>
    <xdr:pic>
      <xdr:nvPicPr>
        <xdr:cNvPr id="3" name="Bandeira de Chegada" descr="Bandeira de chegada">
          <a:extLst>
            <a:ext uri="{FF2B5EF4-FFF2-40B4-BE49-F238E27FC236}">
              <a16:creationId xmlns:a16="http://schemas.microsoft.com/office/drawing/2014/main" id="{9D1ABCAC-7D2B-4FB2-8517-4BE8C0B7812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00750" y="2152650"/>
          <a:ext cx="190500" cy="266700"/>
        </a:xfrm>
        <a:prstGeom prst="rect">
          <a:avLst/>
        </a:prstGeom>
      </xdr:spPr>
    </xdr:pic>
    <xdr:clientData/>
  </xdr:twoCellAnchor>
  <xdr:oneCellAnchor>
    <xdr:from>
      <xdr:col>9</xdr:col>
      <xdr:colOff>161925</xdr:colOff>
      <xdr:row>6</xdr:row>
      <xdr:rowOff>228600</xdr:rowOff>
    </xdr:from>
    <xdr:ext cx="190500" cy="266700"/>
    <xdr:pic>
      <xdr:nvPicPr>
        <xdr:cNvPr id="4" name="Bandeira de Chegada" descr="Bandeira de chegada">
          <a:extLst>
            <a:ext uri="{FF2B5EF4-FFF2-40B4-BE49-F238E27FC236}">
              <a16:creationId xmlns:a16="http://schemas.microsoft.com/office/drawing/2014/main" id="{0057291F-260A-420E-A5E7-3AED13800BF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1268075" y="2152650"/>
          <a:ext cx="190500" cy="266700"/>
        </a:xfrm>
        <a:prstGeom prst="rect">
          <a:avLst/>
        </a:prstGeom>
      </xdr:spPr>
    </xdr:pic>
    <xdr:clientData/>
  </xdr:oneCellAnchor>
  <xdr:oneCellAnchor>
    <xdr:from>
      <xdr:col>8</xdr:col>
      <xdr:colOff>619125</xdr:colOff>
      <xdr:row>7</xdr:row>
      <xdr:rowOff>0</xdr:rowOff>
    </xdr:from>
    <xdr:ext cx="190500" cy="266700"/>
    <xdr:pic>
      <xdr:nvPicPr>
        <xdr:cNvPr id="5" name="Bandeira de Chegada" descr="Bandeira de chegada">
          <a:extLst>
            <a:ext uri="{FF2B5EF4-FFF2-40B4-BE49-F238E27FC236}">
              <a16:creationId xmlns:a16="http://schemas.microsoft.com/office/drawing/2014/main" id="{E414C2F1-3ADB-44D1-8A99-9C6C03F0B7A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687050" y="2171700"/>
          <a:ext cx="190500" cy="266700"/>
        </a:xfrm>
        <a:prstGeom prst="rect">
          <a:avLst/>
        </a:prstGeom>
      </xdr:spPr>
    </xdr:pic>
    <xdr:clientData/>
  </xdr:oneCellAnchor>
  <xdr:oneCellAnchor>
    <xdr:from>
      <xdr:col>11</xdr:col>
      <xdr:colOff>257175</xdr:colOff>
      <xdr:row>6</xdr:row>
      <xdr:rowOff>228600</xdr:rowOff>
    </xdr:from>
    <xdr:ext cx="190500" cy="266700"/>
    <xdr:pic>
      <xdr:nvPicPr>
        <xdr:cNvPr id="6" name="Bandeira de Chegada" descr="Bandeira de chegada">
          <a:extLst>
            <a:ext uri="{FF2B5EF4-FFF2-40B4-BE49-F238E27FC236}">
              <a16:creationId xmlns:a16="http://schemas.microsoft.com/office/drawing/2014/main" id="{6A3DFB3E-65B5-4410-AC82-3B7A35E4C6A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439775" y="2152650"/>
          <a:ext cx="190500" cy="2667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19</xdr:col>
      <xdr:colOff>495300</xdr:colOff>
      <xdr:row>85</xdr:row>
      <xdr:rowOff>180975</xdr:rowOff>
    </xdr:from>
    <xdr:to>
      <xdr:col>28</xdr:col>
      <xdr:colOff>200025</xdr:colOff>
      <xdr:row>104</xdr:row>
      <xdr:rowOff>44823</xdr:rowOff>
    </xdr:to>
    <xdr:graphicFrame macro="">
      <xdr:nvGraphicFramePr>
        <xdr:cNvPr id="4" name="Gráfico 3">
          <a:extLst>
            <a:ext uri="{FF2B5EF4-FFF2-40B4-BE49-F238E27FC236}">
              <a16:creationId xmlns:a16="http://schemas.microsoft.com/office/drawing/2014/main" id="{8BF3B541-2A48-8FEC-9524-4C5A3D2FCB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531133</xdr:colOff>
      <xdr:row>108</xdr:row>
      <xdr:rowOff>143327</xdr:rowOff>
    </xdr:from>
    <xdr:to>
      <xdr:col>28</xdr:col>
      <xdr:colOff>326572</xdr:colOff>
      <xdr:row>127</xdr:row>
      <xdr:rowOff>89646</xdr:rowOff>
    </xdr:to>
    <xdr:graphicFrame macro="">
      <xdr:nvGraphicFramePr>
        <xdr:cNvPr id="5" name="Gráfico 4">
          <a:extLst>
            <a:ext uri="{FF2B5EF4-FFF2-40B4-BE49-F238E27FC236}">
              <a16:creationId xmlns:a16="http://schemas.microsoft.com/office/drawing/2014/main" id="{3784409D-D162-4B7E-B233-10DBBE885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39</xdr:col>
      <xdr:colOff>179917</xdr:colOff>
      <xdr:row>11</xdr:row>
      <xdr:rowOff>9523</xdr:rowOff>
    </xdr:from>
    <xdr:to>
      <xdr:col>42</xdr:col>
      <xdr:colOff>571500</xdr:colOff>
      <xdr:row>32</xdr:row>
      <xdr:rowOff>123264</xdr:rowOff>
    </xdr:to>
    <xdr:graphicFrame macro="">
      <xdr:nvGraphicFramePr>
        <xdr:cNvPr id="2" name="Gráfico 1">
          <a:extLst>
            <a:ext uri="{FF2B5EF4-FFF2-40B4-BE49-F238E27FC236}">
              <a16:creationId xmlns:a16="http://schemas.microsoft.com/office/drawing/2014/main" id="{92F39C86-62A2-7279-8A45-E6AC89A93F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43</xdr:col>
      <xdr:colOff>195791</xdr:colOff>
      <xdr:row>11</xdr:row>
      <xdr:rowOff>9525</xdr:rowOff>
    </xdr:from>
    <xdr:to>
      <xdr:col>48</xdr:col>
      <xdr:colOff>459442</xdr:colOff>
      <xdr:row>32</xdr:row>
      <xdr:rowOff>52917</xdr:rowOff>
    </xdr:to>
    <xdr:graphicFrame macro="">
      <xdr:nvGraphicFramePr>
        <xdr:cNvPr id="3" name="Gráfico 2">
          <a:extLst>
            <a:ext uri="{FF2B5EF4-FFF2-40B4-BE49-F238E27FC236}">
              <a16:creationId xmlns:a16="http://schemas.microsoft.com/office/drawing/2014/main" id="{B06103C2-C7F2-36B2-1A03-C7C1B4A4F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509868</xdr:colOff>
      <xdr:row>38</xdr:row>
      <xdr:rowOff>40343</xdr:rowOff>
    </xdr:from>
    <xdr:to>
      <xdr:col>14</xdr:col>
      <xdr:colOff>728382</xdr:colOff>
      <xdr:row>57</xdr:row>
      <xdr:rowOff>100853</xdr:rowOff>
    </xdr:to>
    <xdr:graphicFrame macro="">
      <xdr:nvGraphicFramePr>
        <xdr:cNvPr id="6" name="Gráfico 5">
          <a:extLst>
            <a:ext uri="{FF2B5EF4-FFF2-40B4-BE49-F238E27FC236}">
              <a16:creationId xmlns:a16="http://schemas.microsoft.com/office/drawing/2014/main" id="{9A86AA63-C2FD-2AC7-A43F-1B5B0734E7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35</xdr:col>
      <xdr:colOff>224118</xdr:colOff>
      <xdr:row>22</xdr:row>
      <xdr:rowOff>134470</xdr:rowOff>
    </xdr:from>
    <xdr:to>
      <xdr:col>42</xdr:col>
      <xdr:colOff>470646</xdr:colOff>
      <xdr:row>42</xdr:row>
      <xdr:rowOff>78441</xdr:rowOff>
    </xdr:to>
    <xdr:graphicFrame macro="">
      <xdr:nvGraphicFramePr>
        <xdr:cNvPr id="7" name="Gráfico 6">
          <a:extLst>
            <a:ext uri="{FF2B5EF4-FFF2-40B4-BE49-F238E27FC236}">
              <a16:creationId xmlns:a16="http://schemas.microsoft.com/office/drawing/2014/main" id="{BD66E900-75DF-679E-178D-3D7D2FE4E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672355</xdr:colOff>
      <xdr:row>11</xdr:row>
      <xdr:rowOff>62753</xdr:rowOff>
    </xdr:from>
    <xdr:to>
      <xdr:col>34</xdr:col>
      <xdr:colOff>582707</xdr:colOff>
      <xdr:row>26</xdr:row>
      <xdr:rowOff>138953</xdr:rowOff>
    </xdr:to>
    <xdr:graphicFrame macro="">
      <xdr:nvGraphicFramePr>
        <xdr:cNvPr id="8" name="Gráfico 7">
          <a:extLst>
            <a:ext uri="{FF2B5EF4-FFF2-40B4-BE49-F238E27FC236}">
              <a16:creationId xmlns:a16="http://schemas.microsoft.com/office/drawing/2014/main" id="{08C7BDA3-D61B-CFD2-1F63-C1EDC0C846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235324</xdr:colOff>
      <xdr:row>11</xdr:row>
      <xdr:rowOff>107577</xdr:rowOff>
    </xdr:from>
    <xdr:to>
      <xdr:col>31</xdr:col>
      <xdr:colOff>156883</xdr:colOff>
      <xdr:row>26</xdr:row>
      <xdr:rowOff>183777</xdr:rowOff>
    </xdr:to>
    <xdr:graphicFrame macro="">
      <xdr:nvGraphicFramePr>
        <xdr:cNvPr id="9" name="Gráfico 8">
          <a:extLst>
            <a:ext uri="{FF2B5EF4-FFF2-40B4-BE49-F238E27FC236}">
              <a16:creationId xmlns:a16="http://schemas.microsoft.com/office/drawing/2014/main" id="{98AEFCBA-99BD-8D4C-5B82-FEF8CEA07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509868</xdr:colOff>
      <xdr:row>86</xdr:row>
      <xdr:rowOff>40342</xdr:rowOff>
    </xdr:from>
    <xdr:to>
      <xdr:col>14</xdr:col>
      <xdr:colOff>728382</xdr:colOff>
      <xdr:row>114</xdr:row>
      <xdr:rowOff>-1</xdr:rowOff>
    </xdr:to>
    <xdr:graphicFrame macro="">
      <xdr:nvGraphicFramePr>
        <xdr:cNvPr id="10" name="Gráfico 9">
          <a:extLst>
            <a:ext uri="{FF2B5EF4-FFF2-40B4-BE49-F238E27FC236}">
              <a16:creationId xmlns:a16="http://schemas.microsoft.com/office/drawing/2014/main" id="{897D06D3-7CF1-448D-91C5-2B1EDB58A2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35</xdr:col>
      <xdr:colOff>495300</xdr:colOff>
      <xdr:row>85</xdr:row>
      <xdr:rowOff>180975</xdr:rowOff>
    </xdr:from>
    <xdr:to>
      <xdr:col>44</xdr:col>
      <xdr:colOff>200025</xdr:colOff>
      <xdr:row>100</xdr:row>
      <xdr:rowOff>66675</xdr:rowOff>
    </xdr:to>
    <xdr:graphicFrame macro="">
      <xdr:nvGraphicFramePr>
        <xdr:cNvPr id="11" name="Gráfico 10">
          <a:extLst>
            <a:ext uri="{FF2B5EF4-FFF2-40B4-BE49-F238E27FC236}">
              <a16:creationId xmlns:a16="http://schemas.microsoft.com/office/drawing/2014/main" id="{911B8533-A93D-45CD-815F-0CC8271B4E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xdr:col>
      <xdr:colOff>531133</xdr:colOff>
      <xdr:row>106</xdr:row>
      <xdr:rowOff>143328</xdr:rowOff>
    </xdr:from>
    <xdr:to>
      <xdr:col>44</xdr:col>
      <xdr:colOff>326572</xdr:colOff>
      <xdr:row>122</xdr:row>
      <xdr:rowOff>29028</xdr:rowOff>
    </xdr:to>
    <xdr:graphicFrame macro="">
      <xdr:nvGraphicFramePr>
        <xdr:cNvPr id="12" name="Gráfico 11">
          <a:extLst>
            <a:ext uri="{FF2B5EF4-FFF2-40B4-BE49-F238E27FC236}">
              <a16:creationId xmlns:a16="http://schemas.microsoft.com/office/drawing/2014/main" id="{033CC1AD-282F-40C2-84F2-18657C254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457200</xdr:colOff>
      <xdr:row>0</xdr:row>
      <xdr:rowOff>171450</xdr:rowOff>
    </xdr:from>
    <xdr:to>
      <xdr:col>10</xdr:col>
      <xdr:colOff>485775</xdr:colOff>
      <xdr:row>40</xdr:row>
      <xdr:rowOff>66675</xdr:rowOff>
    </xdr:to>
    <xdr:sp macro="" textlink="">
      <xdr:nvSpPr>
        <xdr:cNvPr id="3" name="Retângulo: Cantos Arredondados 2">
          <a:extLst>
            <a:ext uri="{FF2B5EF4-FFF2-40B4-BE49-F238E27FC236}">
              <a16:creationId xmlns:a16="http://schemas.microsoft.com/office/drawing/2014/main" id="{9B096C3A-BDED-4D12-56AB-8CF8B5756223}"/>
            </a:ext>
          </a:extLst>
        </xdr:cNvPr>
        <xdr:cNvSpPr/>
      </xdr:nvSpPr>
      <xdr:spPr>
        <a:xfrm>
          <a:off x="457200" y="171450"/>
          <a:ext cx="6124575" cy="7515225"/>
        </a:xfrm>
        <a:prstGeom prst="roundRect">
          <a:avLst>
            <a:gd name="adj" fmla="val 2670"/>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pt-BR" sz="1600" b="1" i="0">
              <a:solidFill>
                <a:schemeClr val="tx1">
                  <a:lumMod val="85000"/>
                  <a:lumOff val="15000"/>
                </a:schemeClr>
              </a:solidFill>
              <a:effectLst/>
              <a:latin typeface="+mn-lt"/>
              <a:ea typeface="+mn-ea"/>
              <a:cs typeface="+mn-cs"/>
            </a:rPr>
            <a:t>Análise de Segmentação de Clientes</a:t>
          </a:r>
          <a:endParaRPr lang="pt-BR" sz="1600">
            <a:solidFill>
              <a:schemeClr val="tx1">
                <a:lumMod val="85000"/>
                <a:lumOff val="15000"/>
              </a:schemeClr>
            </a:solidFill>
            <a:effectLst/>
          </a:endParaRPr>
        </a:p>
        <a:p>
          <a:r>
            <a:rPr lang="pt-BR" sz="1600" b="0" i="0">
              <a:solidFill>
                <a:schemeClr val="tx1">
                  <a:lumMod val="85000"/>
                  <a:lumOff val="15000"/>
                </a:schemeClr>
              </a:solidFill>
              <a:effectLst/>
              <a:latin typeface="+mn-lt"/>
              <a:ea typeface="+mn-ea"/>
              <a:cs typeface="+mn-cs"/>
            </a:rPr>
            <a:t>Departamentos:</a:t>
          </a:r>
        </a:p>
        <a:p>
          <a:endParaRPr lang="pt-BR">
            <a:solidFill>
              <a:schemeClr val="tx1">
                <a:lumMod val="85000"/>
                <a:lumOff val="15000"/>
              </a:schemeClr>
            </a:solidFill>
            <a:effectLst/>
          </a:endParaRPr>
        </a:p>
        <a:p>
          <a:r>
            <a:rPr lang="pt-BR" sz="1100" b="1" i="0">
              <a:solidFill>
                <a:schemeClr val="tx1">
                  <a:lumMod val="85000"/>
                  <a:lumOff val="15000"/>
                </a:schemeClr>
              </a:solidFill>
              <a:effectLst/>
              <a:latin typeface="+mn-lt"/>
              <a:ea typeface="+mn-ea"/>
              <a:cs typeface="+mn-cs"/>
            </a:rPr>
            <a:t>TI</a:t>
          </a:r>
          <a:r>
            <a:rPr lang="pt-BR" sz="1100" b="0" i="0">
              <a:solidFill>
                <a:schemeClr val="tx1">
                  <a:lumMod val="85000"/>
                  <a:lumOff val="15000"/>
                </a:schemeClr>
              </a:solidFill>
              <a:effectLst/>
              <a:latin typeface="+mn-lt"/>
              <a:ea typeface="+mn-ea"/>
              <a:cs typeface="+mn-cs"/>
            </a:rPr>
            <a:t>: É o departamento com maior representação, com 9 contatos. Isso sugere uma forte inclinação dos clientes mapeados para o setor de tecnologia, o que pode indicar oportunidades de ABM focadas em soluções tecnológicas.</a:t>
          </a:r>
          <a:endParaRPr lang="pt-BR">
            <a:solidFill>
              <a:schemeClr val="tx1">
                <a:lumMod val="85000"/>
                <a:lumOff val="15000"/>
              </a:schemeClr>
            </a:solidFill>
            <a:effectLst/>
          </a:endParaRPr>
        </a:p>
        <a:p>
          <a:r>
            <a:rPr lang="pt-BR" sz="1100" b="0" i="0">
              <a:solidFill>
                <a:schemeClr val="tx1">
                  <a:lumMod val="85000"/>
                  <a:lumOff val="15000"/>
                </a:schemeClr>
              </a:solidFill>
              <a:effectLst/>
              <a:latin typeface="+mn-lt"/>
              <a:ea typeface="+mn-ea"/>
              <a:cs typeface="+mn-cs"/>
            </a:rPr>
            <a:t>Outros departamentos como </a:t>
          </a:r>
          <a:r>
            <a:rPr lang="pt-BR" sz="1100" b="1" i="0">
              <a:solidFill>
                <a:schemeClr val="tx1">
                  <a:lumMod val="85000"/>
                  <a:lumOff val="15000"/>
                </a:schemeClr>
              </a:solidFill>
              <a:effectLst/>
              <a:latin typeface="+mn-lt"/>
              <a:ea typeface="+mn-ea"/>
              <a:cs typeface="+mn-cs"/>
            </a:rPr>
            <a:t>Board, RH, Vendas, Marketing</a:t>
          </a:r>
          <a:r>
            <a:rPr lang="pt-BR" sz="1100" b="0" i="0">
              <a:solidFill>
                <a:schemeClr val="tx1">
                  <a:lumMod val="85000"/>
                  <a:lumOff val="15000"/>
                </a:schemeClr>
              </a:solidFill>
              <a:effectLst/>
              <a:latin typeface="+mn-lt"/>
              <a:ea typeface="+mn-ea"/>
              <a:cs typeface="+mn-cs"/>
            </a:rPr>
            <a:t> e </a:t>
          </a:r>
          <a:r>
            <a:rPr lang="pt-BR" sz="1100" b="1" i="0">
              <a:solidFill>
                <a:schemeClr val="tx1">
                  <a:lumMod val="85000"/>
                  <a:lumOff val="15000"/>
                </a:schemeClr>
              </a:solidFill>
              <a:effectLst/>
              <a:latin typeface="+mn-lt"/>
              <a:ea typeface="+mn-ea"/>
              <a:cs typeface="+mn-cs"/>
            </a:rPr>
            <a:t>Financeiro</a:t>
          </a:r>
          <a:r>
            <a:rPr lang="pt-BR" sz="1100" b="0" i="0">
              <a:solidFill>
                <a:schemeClr val="tx1">
                  <a:lumMod val="85000"/>
                  <a:lumOff val="15000"/>
                </a:schemeClr>
              </a:solidFill>
              <a:effectLst/>
              <a:latin typeface="+mn-lt"/>
              <a:ea typeface="+mn-ea"/>
              <a:cs typeface="+mn-cs"/>
            </a:rPr>
            <a:t> também estão representados, cada um com pelo menos 2 contatos. Isso indica uma variedade de stakeholders que podem influenciar ou tomar decisões de compra.</a:t>
          </a:r>
        </a:p>
        <a:p>
          <a:endParaRPr lang="pt-BR">
            <a:solidFill>
              <a:schemeClr val="tx1">
                <a:lumMod val="85000"/>
                <a:lumOff val="15000"/>
              </a:schemeClr>
            </a:solidFill>
            <a:effectLst/>
          </a:endParaRPr>
        </a:p>
        <a:p>
          <a:r>
            <a:rPr lang="pt-BR" sz="1400" b="1" i="0">
              <a:solidFill>
                <a:schemeClr val="tx1">
                  <a:lumMod val="85000"/>
                  <a:lumOff val="15000"/>
                </a:schemeClr>
              </a:solidFill>
              <a:effectLst/>
              <a:latin typeface="+mn-lt"/>
              <a:ea typeface="+mn-ea"/>
              <a:cs typeface="+mn-cs"/>
            </a:rPr>
            <a:t>Cargos Atuais:</a:t>
          </a:r>
        </a:p>
        <a:p>
          <a:endParaRPr lang="pt-BR" sz="1400">
            <a:solidFill>
              <a:schemeClr val="tx1">
                <a:lumMod val="85000"/>
                <a:lumOff val="15000"/>
              </a:schemeClr>
            </a:solidFill>
            <a:effectLst/>
          </a:endParaRPr>
        </a:p>
        <a:p>
          <a:r>
            <a:rPr lang="pt-BR" sz="1100" b="1" i="0">
              <a:solidFill>
                <a:schemeClr val="tx1">
                  <a:lumMod val="85000"/>
                  <a:lumOff val="15000"/>
                </a:schemeClr>
              </a:solidFill>
              <a:effectLst/>
              <a:latin typeface="+mn-lt"/>
              <a:ea typeface="+mn-ea"/>
              <a:cs typeface="+mn-cs"/>
            </a:rPr>
            <a:t>CEOs e Diretores</a:t>
          </a:r>
          <a:r>
            <a:rPr lang="pt-BR" sz="1100" b="0" i="0">
              <a:solidFill>
                <a:schemeClr val="tx1">
                  <a:lumMod val="85000"/>
                  <a:lumOff val="15000"/>
                </a:schemeClr>
              </a:solidFill>
              <a:effectLst/>
              <a:latin typeface="+mn-lt"/>
              <a:ea typeface="+mn-ea"/>
              <a:cs typeface="+mn-cs"/>
            </a:rPr>
            <a:t>: Existem 3 CEOs e vários diretores (como Diretor de Vendas, Diretor Comercial) indicando que os contatos são frequentemente tomadores de decisão de alto nível. Isso sugere que as mensagens de ABM devem ser estratégicas e focadas em valor de longo prazo.</a:t>
          </a:r>
        </a:p>
        <a:p>
          <a:endParaRPr lang="pt-BR">
            <a:solidFill>
              <a:schemeClr val="tx1">
                <a:lumMod val="85000"/>
                <a:lumOff val="15000"/>
              </a:schemeClr>
            </a:solidFill>
            <a:effectLst/>
          </a:endParaRPr>
        </a:p>
        <a:p>
          <a:r>
            <a:rPr lang="pt-BR" sz="1100" b="1" i="0">
              <a:solidFill>
                <a:schemeClr val="tx1">
                  <a:lumMod val="85000"/>
                  <a:lumOff val="15000"/>
                </a:schemeClr>
              </a:solidFill>
              <a:effectLst/>
              <a:latin typeface="+mn-lt"/>
              <a:ea typeface="+mn-ea"/>
              <a:cs typeface="+mn-cs"/>
            </a:rPr>
            <a:t>Gerentes e Coordenadores</a:t>
          </a:r>
          <a:r>
            <a:rPr lang="pt-BR" sz="1100" b="0" i="0">
              <a:solidFill>
                <a:schemeClr val="tx1">
                  <a:lumMod val="85000"/>
                  <a:lumOff val="15000"/>
                </a:schemeClr>
              </a:solidFill>
              <a:effectLst/>
              <a:latin typeface="+mn-lt"/>
              <a:ea typeface="+mn-ea"/>
              <a:cs typeface="+mn-cs"/>
            </a:rPr>
            <a:t>: Existem vários gerentes e coordenadores, especialmente em áreas como TI, Vendas e Marketing, o que sugere que as soluções de ABM também devem abordar necessidades operacionais e táticas.</a:t>
          </a:r>
        </a:p>
        <a:p>
          <a:endParaRPr lang="pt-BR">
            <a:solidFill>
              <a:schemeClr val="tx1">
                <a:lumMod val="85000"/>
                <a:lumOff val="15000"/>
              </a:schemeClr>
            </a:solidFill>
            <a:effectLst/>
          </a:endParaRPr>
        </a:p>
        <a:p>
          <a:r>
            <a:rPr lang="pt-BR" sz="1600" b="1" i="0">
              <a:solidFill>
                <a:schemeClr val="tx1">
                  <a:lumMod val="85000"/>
                  <a:lumOff val="15000"/>
                </a:schemeClr>
              </a:solidFill>
              <a:effectLst/>
              <a:latin typeface="+mn-lt"/>
              <a:ea typeface="+mn-ea"/>
              <a:cs typeface="+mn-cs"/>
            </a:rPr>
            <a:t>Implicações para Ações de ABM:</a:t>
          </a:r>
        </a:p>
        <a:p>
          <a:endParaRPr lang="pt-BR">
            <a:solidFill>
              <a:schemeClr val="tx1">
                <a:lumMod val="85000"/>
                <a:lumOff val="15000"/>
              </a:schemeClr>
            </a:solidFill>
            <a:effectLst/>
          </a:endParaRPr>
        </a:p>
        <a:p>
          <a:r>
            <a:rPr lang="pt-BR" sz="1100" b="1" i="0">
              <a:solidFill>
                <a:schemeClr val="tx1">
                  <a:lumMod val="85000"/>
                  <a:lumOff val="15000"/>
                </a:schemeClr>
              </a:solidFill>
              <a:effectLst/>
              <a:latin typeface="+mn-lt"/>
              <a:ea typeface="+mn-ea"/>
              <a:cs typeface="+mn-cs"/>
            </a:rPr>
            <a:t>Personalização</a:t>
          </a:r>
          <a:r>
            <a:rPr lang="pt-BR" sz="1100" b="0" i="0">
              <a:solidFill>
                <a:schemeClr val="tx1">
                  <a:lumMod val="85000"/>
                  <a:lumOff val="15000"/>
                </a:schemeClr>
              </a:solidFill>
              <a:effectLst/>
              <a:latin typeface="+mn-lt"/>
              <a:ea typeface="+mn-ea"/>
              <a:cs typeface="+mn-cs"/>
            </a:rPr>
            <a:t>: As comunicações de ABM devem ser altamente personalizadas, levando em consideração o departamento e o cargo do contato. Mensagens para contatos de TI podem enfocar em eficiência, segurança e inovação tecnológica, enquanto mensagens para o departamento de RH podem se concentrar em produtividade, cultura e gestão de talentos.</a:t>
          </a:r>
        </a:p>
        <a:p>
          <a:endParaRPr lang="pt-BR">
            <a:solidFill>
              <a:schemeClr val="tx1">
                <a:lumMod val="85000"/>
                <a:lumOff val="15000"/>
              </a:schemeClr>
            </a:solidFill>
            <a:effectLst/>
          </a:endParaRPr>
        </a:p>
        <a:p>
          <a:r>
            <a:rPr lang="pt-BR" sz="1100" b="1" i="0">
              <a:solidFill>
                <a:schemeClr val="tx1">
                  <a:lumMod val="85000"/>
                  <a:lumOff val="15000"/>
                </a:schemeClr>
              </a:solidFill>
              <a:effectLst/>
              <a:latin typeface="+mn-lt"/>
              <a:ea typeface="+mn-ea"/>
              <a:cs typeface="+mn-cs"/>
            </a:rPr>
            <a:t>Foco Estratégico</a:t>
          </a:r>
          <a:r>
            <a:rPr lang="pt-BR" sz="1100" b="0" i="0">
              <a:solidFill>
                <a:schemeClr val="tx1">
                  <a:lumMod val="85000"/>
                  <a:lumOff val="15000"/>
                </a:schemeClr>
              </a:solidFill>
              <a:effectLst/>
              <a:latin typeface="+mn-lt"/>
              <a:ea typeface="+mn-ea"/>
              <a:cs typeface="+mn-cs"/>
            </a:rPr>
            <a:t>: Dada a presença significativa de contatos de alto nível (como CEOs e Diretores), as campanhas de ABM devem enfatizar soluções estratégicas que abordem objetivos de negócios de longo prazo e ROI claro.</a:t>
          </a:r>
        </a:p>
        <a:p>
          <a:endParaRPr lang="pt-BR">
            <a:solidFill>
              <a:schemeClr val="tx1">
                <a:lumMod val="85000"/>
                <a:lumOff val="15000"/>
              </a:schemeClr>
            </a:solidFill>
            <a:effectLst/>
          </a:endParaRPr>
        </a:p>
        <a:p>
          <a:r>
            <a:rPr lang="pt-BR" sz="1100" b="1" i="0">
              <a:solidFill>
                <a:schemeClr val="tx1">
                  <a:lumMod val="85000"/>
                  <a:lumOff val="15000"/>
                </a:schemeClr>
              </a:solidFill>
              <a:effectLst/>
              <a:latin typeface="+mn-lt"/>
              <a:ea typeface="+mn-ea"/>
              <a:cs typeface="+mn-cs"/>
            </a:rPr>
            <a:t>Conteúdo Diversificado</a:t>
          </a:r>
          <a:r>
            <a:rPr lang="pt-BR" sz="1100" b="0" i="0">
              <a:solidFill>
                <a:schemeClr val="tx1">
                  <a:lumMod val="85000"/>
                  <a:lumOff val="15000"/>
                </a:schemeClr>
              </a:solidFill>
              <a:effectLst/>
              <a:latin typeface="+mn-lt"/>
              <a:ea typeface="+mn-ea"/>
              <a:cs typeface="+mn-cs"/>
            </a:rPr>
            <a:t>: O conteúdo de ABM deve ser diversificado para abordar os interesses e desafios específicos de cada departamento e cargo, desde soluções técnicas detalhadas para profissionais de TI até visões gerais estratégicas para CEOs e Diretores.</a:t>
          </a:r>
          <a:endParaRPr lang="pt-BR">
            <a:solidFill>
              <a:schemeClr val="tx1">
                <a:lumMod val="85000"/>
                <a:lumOff val="15000"/>
              </a:schemeClr>
            </a:solidFill>
            <a:effectLst/>
          </a:endParaRPr>
        </a:p>
        <a:p>
          <a:pPr algn="l"/>
          <a:endParaRPr lang="pt-BR" sz="1100"/>
        </a:p>
      </xdr:txBody>
    </xdr:sp>
    <xdr:clientData/>
  </xdr:twoCellAnchor>
  <xdr:twoCellAnchor editAs="oneCell">
    <xdr:from>
      <xdr:col>16</xdr:col>
      <xdr:colOff>0</xdr:colOff>
      <xdr:row>21</xdr:row>
      <xdr:rowOff>0</xdr:rowOff>
    </xdr:from>
    <xdr:to>
      <xdr:col>16</xdr:col>
      <xdr:colOff>304800</xdr:colOff>
      <xdr:row>22</xdr:row>
      <xdr:rowOff>114300</xdr:rowOff>
    </xdr:to>
    <xdr:sp macro="" textlink="">
      <xdr:nvSpPr>
        <xdr:cNvPr id="2049" name="AutoShape 1" descr="Imagem de saída do código executado">
          <a:extLst>
            <a:ext uri="{FF2B5EF4-FFF2-40B4-BE49-F238E27FC236}">
              <a16:creationId xmlns:a16="http://schemas.microsoft.com/office/drawing/2014/main" id="{90367B02-0A81-12B7-5A98-19A5C825CE13}"/>
            </a:ext>
          </a:extLst>
        </xdr:cNvPr>
        <xdr:cNvSpPr>
          <a:spLocks noChangeAspect="1" noChangeArrowheads="1"/>
        </xdr:cNvSpPr>
      </xdr:nvSpPr>
      <xdr:spPr bwMode="auto">
        <a:xfrm>
          <a:off x="9753600"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57149</xdr:colOff>
      <xdr:row>1</xdr:row>
      <xdr:rowOff>28576</xdr:rowOff>
    </xdr:from>
    <xdr:to>
      <xdr:col>23</xdr:col>
      <xdr:colOff>259432</xdr:colOff>
      <xdr:row>17</xdr:row>
      <xdr:rowOff>171450</xdr:rowOff>
    </xdr:to>
    <xdr:pic>
      <xdr:nvPicPr>
        <xdr:cNvPr id="4" name="Imagem 3">
          <a:extLst>
            <a:ext uri="{FF2B5EF4-FFF2-40B4-BE49-F238E27FC236}">
              <a16:creationId xmlns:a16="http://schemas.microsoft.com/office/drawing/2014/main" id="{38220BDE-80E0-F1DC-022D-6A0B6794DD4B}"/>
            </a:ext>
          </a:extLst>
        </xdr:cNvPr>
        <xdr:cNvPicPr>
          <a:picLocks noChangeAspect="1"/>
        </xdr:cNvPicPr>
      </xdr:nvPicPr>
      <xdr:blipFill>
        <a:blip xmlns:r="http://schemas.openxmlformats.org/officeDocument/2006/relationships" r:embed="rId1"/>
        <a:stretch>
          <a:fillRect/>
        </a:stretch>
      </xdr:blipFill>
      <xdr:spPr>
        <a:xfrm>
          <a:off x="6762749" y="219076"/>
          <a:ext cx="7517483" cy="3190874"/>
        </a:xfrm>
        <a:prstGeom prst="rect">
          <a:avLst/>
        </a:prstGeom>
      </xdr:spPr>
    </xdr:pic>
    <xdr:clientData/>
  </xdr:twoCellAnchor>
  <xdr:twoCellAnchor>
    <xdr:from>
      <xdr:col>11</xdr:col>
      <xdr:colOff>9525</xdr:colOff>
      <xdr:row>18</xdr:row>
      <xdr:rowOff>95249</xdr:rowOff>
    </xdr:from>
    <xdr:to>
      <xdr:col>24</xdr:col>
      <xdr:colOff>66675</xdr:colOff>
      <xdr:row>40</xdr:row>
      <xdr:rowOff>47624</xdr:rowOff>
    </xdr:to>
    <xdr:sp macro="" textlink="">
      <xdr:nvSpPr>
        <xdr:cNvPr id="5" name="Retângulo: Cantos Arredondados 4">
          <a:extLst>
            <a:ext uri="{FF2B5EF4-FFF2-40B4-BE49-F238E27FC236}">
              <a16:creationId xmlns:a16="http://schemas.microsoft.com/office/drawing/2014/main" id="{F2C8E94E-D2BC-1D78-F96F-2A8D40874C0E}"/>
            </a:ext>
          </a:extLst>
        </xdr:cNvPr>
        <xdr:cNvSpPr/>
      </xdr:nvSpPr>
      <xdr:spPr>
        <a:xfrm>
          <a:off x="6715125" y="3524249"/>
          <a:ext cx="7981950" cy="4143375"/>
        </a:xfrm>
        <a:prstGeom prst="roundRect">
          <a:avLst>
            <a:gd name="adj" fmla="val 3659"/>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pt-BR" sz="1400" b="1" i="0">
              <a:solidFill>
                <a:schemeClr val="tx1">
                  <a:lumMod val="85000"/>
                  <a:lumOff val="15000"/>
                </a:schemeClr>
              </a:solidFill>
              <a:effectLst/>
              <a:latin typeface="+mn-lt"/>
              <a:ea typeface="+mn-ea"/>
              <a:cs typeface="+mn-cs"/>
            </a:rPr>
            <a:t>Análise de Receptividade:</a:t>
          </a:r>
        </a:p>
        <a:p>
          <a:r>
            <a:rPr lang="pt-BR" sz="1100" b="0" i="0">
              <a:solidFill>
                <a:schemeClr val="tx1">
                  <a:lumMod val="85000"/>
                  <a:lumOff val="15000"/>
                </a:schemeClr>
              </a:solidFill>
              <a:effectLst/>
              <a:latin typeface="+mn-lt"/>
              <a:ea typeface="+mn-ea"/>
              <a:cs typeface="+mn-cs"/>
            </a:rPr>
            <a:t>A maioria dos contatos tem uma pontuação de receptividade alta (5), indicando uma grande abertura para engajamento com iniciativas de ABM.</a:t>
          </a:r>
        </a:p>
        <a:p>
          <a:r>
            <a:rPr lang="pt-BR" sz="1100" b="0" i="0">
              <a:solidFill>
                <a:schemeClr val="tx1">
                  <a:lumMod val="85000"/>
                  <a:lumOff val="15000"/>
                </a:schemeClr>
              </a:solidFill>
              <a:effectLst/>
              <a:latin typeface="+mn-lt"/>
              <a:ea typeface="+mn-ea"/>
              <a:cs typeface="+mn-cs"/>
            </a:rPr>
            <a:t>Há um número menor de contatos com pontuação média (3 e 4) e poucos com pontuação baixa (1 e 2).</a:t>
          </a:r>
        </a:p>
        <a:p>
          <a:endParaRPr lang="pt-BR" sz="1100" b="0" i="0">
            <a:solidFill>
              <a:schemeClr val="tx1">
                <a:lumMod val="85000"/>
                <a:lumOff val="15000"/>
              </a:schemeClr>
            </a:solidFill>
            <a:effectLst/>
            <a:latin typeface="+mn-lt"/>
            <a:ea typeface="+mn-ea"/>
            <a:cs typeface="+mn-cs"/>
          </a:endParaRPr>
        </a:p>
        <a:p>
          <a:r>
            <a:rPr lang="pt-BR" sz="1400" b="1" i="0">
              <a:solidFill>
                <a:schemeClr val="tx1">
                  <a:lumMod val="85000"/>
                  <a:lumOff val="15000"/>
                </a:schemeClr>
              </a:solidFill>
              <a:effectLst/>
              <a:latin typeface="+mn-lt"/>
              <a:ea typeface="+mn-ea"/>
              <a:cs typeface="+mn-cs"/>
            </a:rPr>
            <a:t>Análise de Acessibilidade:</a:t>
          </a:r>
        </a:p>
        <a:p>
          <a:endParaRPr lang="pt-BR" sz="1100" b="1" i="0">
            <a:solidFill>
              <a:schemeClr val="tx1">
                <a:lumMod val="85000"/>
                <a:lumOff val="15000"/>
              </a:schemeClr>
            </a:solidFill>
            <a:effectLst/>
            <a:latin typeface="+mn-lt"/>
            <a:ea typeface="+mn-ea"/>
            <a:cs typeface="+mn-cs"/>
          </a:endParaRPr>
        </a:p>
        <a:p>
          <a:r>
            <a:rPr lang="pt-BR" sz="1100" b="0" i="0">
              <a:solidFill>
                <a:schemeClr val="tx1">
                  <a:lumMod val="85000"/>
                  <a:lumOff val="15000"/>
                </a:schemeClr>
              </a:solidFill>
              <a:effectLst/>
              <a:latin typeface="+mn-lt"/>
              <a:ea typeface="+mn-ea"/>
              <a:cs typeface="+mn-cs"/>
            </a:rPr>
            <a:t>A acessibilidade varia mais, com a maior concentração de contatos tendo uma pontuação de acessibilidade alta (5), seguido por uma distribuição mais uniforme entre as pontuações médias a baixas (1 a 4).</a:t>
          </a:r>
        </a:p>
        <a:p>
          <a:endParaRPr lang="pt-BR" sz="1100" b="0" i="0">
            <a:solidFill>
              <a:schemeClr val="tx1">
                <a:lumMod val="85000"/>
                <a:lumOff val="15000"/>
              </a:schemeClr>
            </a:solidFill>
            <a:effectLst/>
            <a:latin typeface="+mn-lt"/>
            <a:ea typeface="+mn-ea"/>
            <a:cs typeface="+mn-cs"/>
          </a:endParaRPr>
        </a:p>
        <a:p>
          <a:r>
            <a:rPr lang="pt-BR" sz="1400" b="1" i="0">
              <a:solidFill>
                <a:schemeClr val="tx1">
                  <a:lumMod val="85000"/>
                  <a:lumOff val="15000"/>
                </a:schemeClr>
              </a:solidFill>
              <a:effectLst/>
              <a:latin typeface="+mn-lt"/>
              <a:ea typeface="+mn-ea"/>
              <a:cs typeface="+mn-cs"/>
            </a:rPr>
            <a:t>Conclusões e Estratégias para ABM:</a:t>
          </a:r>
        </a:p>
        <a:p>
          <a:endParaRPr lang="pt-BR" sz="1100" b="1" i="0">
            <a:solidFill>
              <a:schemeClr val="tx1">
                <a:lumMod val="85000"/>
                <a:lumOff val="15000"/>
              </a:schemeClr>
            </a:solidFill>
            <a:effectLst/>
            <a:latin typeface="+mn-lt"/>
            <a:ea typeface="+mn-ea"/>
            <a:cs typeface="+mn-cs"/>
          </a:endParaRPr>
        </a:p>
        <a:p>
          <a:r>
            <a:rPr lang="pt-BR" sz="1100" b="1" i="0">
              <a:solidFill>
                <a:schemeClr val="tx1">
                  <a:lumMod val="85000"/>
                  <a:lumOff val="15000"/>
                </a:schemeClr>
              </a:solidFill>
              <a:effectLst/>
              <a:latin typeface="+mn-lt"/>
              <a:ea typeface="+mn-ea"/>
              <a:cs typeface="+mn-cs"/>
            </a:rPr>
            <a:t>Alta Receptividade e Alta Acessibilidade (5 em ambos)</a:t>
          </a:r>
          <a:r>
            <a:rPr lang="pt-BR" sz="1100" b="0" i="0">
              <a:solidFill>
                <a:schemeClr val="tx1">
                  <a:lumMod val="85000"/>
                  <a:lumOff val="15000"/>
                </a:schemeClr>
              </a:solidFill>
              <a:effectLst/>
              <a:latin typeface="+mn-lt"/>
              <a:ea typeface="+mn-ea"/>
              <a:cs typeface="+mn-cs"/>
            </a:rPr>
            <a:t>: Estes contatos são os mais valiosos e devem ser priorizados em campanhas de ABM. Ações diretas, como demonstrações personalizadas, reuniões um-a-um e ofertas exclusivas, podem ser eficazes.</a:t>
          </a:r>
        </a:p>
        <a:p>
          <a:endParaRPr lang="pt-BR" sz="1100" b="0" i="0">
            <a:solidFill>
              <a:schemeClr val="tx1">
                <a:lumMod val="85000"/>
                <a:lumOff val="15000"/>
              </a:schemeClr>
            </a:solidFill>
            <a:effectLst/>
            <a:latin typeface="+mn-lt"/>
            <a:ea typeface="+mn-ea"/>
            <a:cs typeface="+mn-cs"/>
          </a:endParaRPr>
        </a:p>
        <a:p>
          <a:r>
            <a:rPr lang="pt-BR" sz="1100" b="1" i="0">
              <a:solidFill>
                <a:schemeClr val="tx1">
                  <a:lumMod val="85000"/>
                  <a:lumOff val="15000"/>
                </a:schemeClr>
              </a:solidFill>
              <a:effectLst/>
              <a:latin typeface="+mn-lt"/>
              <a:ea typeface="+mn-ea"/>
              <a:cs typeface="+mn-cs"/>
            </a:rPr>
            <a:t>Alta Receptividade, Acessibilidade Variável</a:t>
          </a:r>
          <a:r>
            <a:rPr lang="pt-BR" sz="1100" b="0" i="0">
              <a:solidFill>
                <a:schemeClr val="tx1">
                  <a:lumMod val="85000"/>
                  <a:lumOff val="15000"/>
                </a:schemeClr>
              </a:solidFill>
              <a:effectLst/>
              <a:latin typeface="+mn-lt"/>
              <a:ea typeface="+mn-ea"/>
              <a:cs typeface="+mn-cs"/>
            </a:rPr>
            <a:t>: Contatos com alta receptividade, mas acessibilidade variada, ainda são candidatos fortes para ABM. Estratégias como eventos exclusivos online (para contatos menos acessíveis) ou convites para eventos presenciais (para contatos mais acessíveis) podem ser utilizados.</a:t>
          </a:r>
        </a:p>
        <a:p>
          <a:endParaRPr lang="pt-BR" sz="1100" b="0" i="0">
            <a:solidFill>
              <a:schemeClr val="tx1">
                <a:lumMod val="85000"/>
                <a:lumOff val="15000"/>
              </a:schemeClr>
            </a:solidFill>
            <a:effectLst/>
            <a:latin typeface="+mn-lt"/>
            <a:ea typeface="+mn-ea"/>
            <a:cs typeface="+mn-cs"/>
          </a:endParaRPr>
        </a:p>
        <a:p>
          <a:r>
            <a:rPr lang="pt-BR" sz="1100" b="1" i="0">
              <a:solidFill>
                <a:schemeClr val="tx1">
                  <a:lumMod val="85000"/>
                  <a:lumOff val="15000"/>
                </a:schemeClr>
              </a:solidFill>
              <a:effectLst/>
              <a:latin typeface="+mn-lt"/>
              <a:ea typeface="+mn-ea"/>
              <a:cs typeface="+mn-cs"/>
            </a:rPr>
            <a:t>Média e Baixa Receptividade</a:t>
          </a:r>
          <a:r>
            <a:rPr lang="pt-BR" sz="1100" b="0" i="0">
              <a:solidFill>
                <a:schemeClr val="tx1">
                  <a:lumMod val="85000"/>
                  <a:lumOff val="15000"/>
                </a:schemeClr>
              </a:solidFill>
              <a:effectLst/>
              <a:latin typeface="+mn-lt"/>
              <a:ea typeface="+mn-ea"/>
              <a:cs typeface="+mn-cs"/>
            </a:rPr>
            <a:t>: Contatos com pontuações médias e baixas de receptividade podem necessitar de uma abordagem mais sutil. Informativos educacionais, webinars sobre tendências de mercado e relatórios de análise de setor podem ser usados para construir relacionamentos e aumentar a receptividade antes de ações mais diretas.</a:t>
          </a:r>
        </a:p>
        <a:p>
          <a:pPr algn="l"/>
          <a:endParaRPr lang="pt-BR"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531035-4D6A-4035-BE09-5C23ECC95551}" name="DetalhesDoProjeto" displayName="DetalhesDoProjeto" ref="B16:F32" headerRowDxfId="7">
  <sortState xmlns:xlrd2="http://schemas.microsoft.com/office/spreadsheetml/2017/richdata2" ref="B17:F29">
    <sortCondition ref="B21"/>
  </sortState>
  <tableColumns count="5">
    <tableColumn id="1" xr3:uid="{F43494F4-D715-427A-BB39-A925B5E9767F}" name="Data" totalsRowLabel="Total" dataDxfId="6" totalsRowDxfId="5"/>
    <tableColumn id="2" xr3:uid="{DB34F050-1768-4A5D-A4FD-3D17F62CFDE7}" name="Marco" dataDxfId="4" totalsRowDxfId="3" dataCellStyle="Normal"/>
    <tableColumn id="6" xr3:uid="{0644D06A-EC12-45D5-BE32-CD8E5CCB2A5F}" name="Atribuído a" totalsRowDxfId="2" dataCellStyle="Normal"/>
    <tableColumn id="4" xr3:uid="{3E7177D9-9DC7-4263-9561-DF40FFDA9D54}" name="Posição" dataDxfId="1" totalsRowDxfId="0"/>
    <tableColumn id="5" xr3:uid="{4695CCCB-794E-440D-8340-366776910600}" name="Linha de base" totalsRowFunction="sum">
      <calculatedColumnFormula>0</calculatedColumnFormula>
    </tableColumn>
  </tableColumns>
  <tableStyleInfo name="Linha do Tempo do Projeto" showFirstColumn="0" showLastColumn="0" showRowStripes="1" showColumnStripes="0"/>
  <extLst>
    <ext xmlns:x14="http://schemas.microsoft.com/office/spreadsheetml/2009/9/main" uri="{504A1905-F514-4f6f-8877-14C23A59335A}">
      <x14:table altTextSummary="Insira Data, Marco, nomes Atribuído a e Posição do Gráfico para o projeto nesta tabela"/>
    </ext>
  </extLst>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www.linkedin.com/in/j%C3%A9ssica-calixto-62806954/" TargetMode="External"/><Relationship Id="rId21" Type="http://schemas.openxmlformats.org/officeDocument/2006/relationships/hyperlink" Target="mailto:adilson.lavrador@tokiomarine.com.br" TargetMode="External"/><Relationship Id="rId42" Type="http://schemas.openxmlformats.org/officeDocument/2006/relationships/hyperlink" Target="https://www.linkedin.com/in/marco-afonso-7214ba/" TargetMode="External"/><Relationship Id="rId47" Type="http://schemas.openxmlformats.org/officeDocument/2006/relationships/hyperlink" Target="mailto:jbrugnara@qualicorp.com.br" TargetMode="External"/><Relationship Id="rId63" Type="http://schemas.openxmlformats.org/officeDocument/2006/relationships/hyperlink" Target="https://www.linkedin.com/in/adrianaruizrecursoshumanos/" TargetMode="External"/><Relationship Id="rId68" Type="http://schemas.openxmlformats.org/officeDocument/2006/relationships/hyperlink" Target="mailto:franckli@unimedcampinas.com.br" TargetMode="External"/><Relationship Id="rId7" Type="http://schemas.openxmlformats.org/officeDocument/2006/relationships/hyperlink" Target="mailto:daiane.maciel@segurosunimed.com.br" TargetMode="External"/><Relationship Id="rId2" Type="http://schemas.openxmlformats.org/officeDocument/2006/relationships/hyperlink" Target="https://www.linkedin.com/in/paulorglima/" TargetMode="External"/><Relationship Id="rId16" Type="http://schemas.openxmlformats.org/officeDocument/2006/relationships/hyperlink" Target="https://www.urbano.com.br/" TargetMode="External"/><Relationship Id="rId29" Type="http://schemas.openxmlformats.org/officeDocument/2006/relationships/hyperlink" Target="mailto:andrea.ribeiro@tokiomarine.com.br" TargetMode="External"/><Relationship Id="rId11" Type="http://schemas.openxmlformats.org/officeDocument/2006/relationships/hyperlink" Target="mailto:humberto.shida@centralnacionalunimed.com.br" TargetMode="External"/><Relationship Id="rId24" Type="http://schemas.openxmlformats.org/officeDocument/2006/relationships/hyperlink" Target="https://www.linkedin.com/in/miguel-joao-brito/" TargetMode="External"/><Relationship Id="rId32" Type="http://schemas.openxmlformats.org/officeDocument/2006/relationships/hyperlink" Target="https://www.linkedin.com/in/mauricioslopes/" TargetMode="External"/><Relationship Id="rId37" Type="http://schemas.openxmlformats.org/officeDocument/2006/relationships/hyperlink" Target="mailto:francisco.sampaio@guaranyind.com.br" TargetMode="External"/><Relationship Id="rId40" Type="http://schemas.openxmlformats.org/officeDocument/2006/relationships/hyperlink" Target="https://www.linkedin.com/in/juliana-sinatora-a68a2917/" TargetMode="External"/><Relationship Id="rId45" Type="http://schemas.openxmlformats.org/officeDocument/2006/relationships/hyperlink" Target="mailto:mwolff@qualicorp.com.br" TargetMode="External"/><Relationship Id="rId53" Type="http://schemas.openxmlformats.org/officeDocument/2006/relationships/hyperlink" Target="mailto:andersonw@urbano.com.br" TargetMode="External"/><Relationship Id="rId58" Type="http://schemas.openxmlformats.org/officeDocument/2006/relationships/hyperlink" Target="https://www.linkedin.com/in/miguel-brondi/" TargetMode="External"/><Relationship Id="rId66" Type="http://schemas.openxmlformats.org/officeDocument/2006/relationships/hyperlink" Target="mailto:jlopes@unimedcampinas.com.br" TargetMode="External"/><Relationship Id="rId5" Type="http://schemas.openxmlformats.org/officeDocument/2006/relationships/hyperlink" Target="https://www.linkedin.com/in/anapaulacassorla/" TargetMode="External"/><Relationship Id="rId61" Type="http://schemas.openxmlformats.org/officeDocument/2006/relationships/hyperlink" Target="mailto:williamc@unimedcampinas.com.br" TargetMode="External"/><Relationship Id="rId19" Type="http://schemas.openxmlformats.org/officeDocument/2006/relationships/hyperlink" Target="https://www.linkedin.com/in/jose-adalberto-ferrara-56331046/" TargetMode="External"/><Relationship Id="rId14" Type="http://schemas.openxmlformats.org/officeDocument/2006/relationships/hyperlink" Target="https://www.linkedin.com/company/grupoccroficial/" TargetMode="External"/><Relationship Id="rId22" Type="http://schemas.openxmlformats.org/officeDocument/2006/relationships/hyperlink" Target="https://www.linkedin.com/in/sergio-miotto-8157a81a/" TargetMode="External"/><Relationship Id="rId27" Type="http://schemas.openxmlformats.org/officeDocument/2006/relationships/hyperlink" Target="mailto:jessica.calixto@tokiomarine.com.br" TargetMode="External"/><Relationship Id="rId30" Type="http://schemas.openxmlformats.org/officeDocument/2006/relationships/hyperlink" Target="https://www.linkedin.com/in/gabriel-marchini-nery-colombi-20a52750/" TargetMode="External"/><Relationship Id="rId35" Type="http://schemas.openxmlformats.org/officeDocument/2006/relationships/hyperlink" Target="mailto:cvasques@qualicorp.com.br" TargetMode="External"/><Relationship Id="rId43" Type="http://schemas.openxmlformats.org/officeDocument/2006/relationships/hyperlink" Target="mailto:maafonso@qualicorp.com.br" TargetMode="External"/><Relationship Id="rId48" Type="http://schemas.openxmlformats.org/officeDocument/2006/relationships/hyperlink" Target="https://www.linkedin.com/in/luciano-lima-2b767842/" TargetMode="External"/><Relationship Id="rId56" Type="http://schemas.openxmlformats.org/officeDocument/2006/relationships/hyperlink" Target="mailto:paulo.lima@urbano.com.br" TargetMode="External"/><Relationship Id="rId64" Type="http://schemas.openxmlformats.org/officeDocument/2006/relationships/hyperlink" Target="mailto:adrianaruiz@unimedcampinas.com.br" TargetMode="External"/><Relationship Id="rId69" Type="http://schemas.openxmlformats.org/officeDocument/2006/relationships/hyperlink" Target="https://www.jacobsdouweegberts.com/" TargetMode="External"/><Relationship Id="rId8" Type="http://schemas.openxmlformats.org/officeDocument/2006/relationships/hyperlink" Target="https://www.linkedin.com/in/wilsonleal/" TargetMode="External"/><Relationship Id="rId51" Type="http://schemas.openxmlformats.org/officeDocument/2006/relationships/hyperlink" Target="mailto:jaime@urbano.com.br" TargetMode="External"/><Relationship Id="rId3" Type="http://schemas.openxmlformats.org/officeDocument/2006/relationships/hyperlink" Target="https://www.linkedin.com/in/eduardo-felipe-s%C3%A1-de-camargo-037999224/" TargetMode="External"/><Relationship Id="rId12" Type="http://schemas.openxmlformats.org/officeDocument/2006/relationships/hyperlink" Target="https://www.linkedin.com/in/humberto-takaharu-shida-090387/" TargetMode="External"/><Relationship Id="rId17" Type="http://schemas.openxmlformats.org/officeDocument/2006/relationships/hyperlink" Target="mailto:nilton.baleeiro@gruposc.com.br" TargetMode="External"/><Relationship Id="rId25" Type="http://schemas.openxmlformats.org/officeDocument/2006/relationships/hyperlink" Target="mailto:miguel.brito@tokiomarine.com.br" TargetMode="External"/><Relationship Id="rId33" Type="http://schemas.openxmlformats.org/officeDocument/2006/relationships/hyperlink" Target="mailto:mauricio.lopes@rededor.com.br" TargetMode="External"/><Relationship Id="rId38" Type="http://schemas.openxmlformats.org/officeDocument/2006/relationships/hyperlink" Target="https://www.linkedin.com/in/alessandrabazarian/" TargetMode="External"/><Relationship Id="rId46" Type="http://schemas.openxmlformats.org/officeDocument/2006/relationships/hyperlink" Target="https://www.linkedin.com/in/jos%C3%A9-luiz-brugnara-junior-10b30715/" TargetMode="External"/><Relationship Id="rId59" Type="http://schemas.openxmlformats.org/officeDocument/2006/relationships/hyperlink" Target="mailto:brondi@unimedcampinas.com.br" TargetMode="External"/><Relationship Id="rId67" Type="http://schemas.openxmlformats.org/officeDocument/2006/relationships/hyperlink" Target="https://www.linkedin.com/in/jos%C3%A9-rodrigo-francklin/" TargetMode="External"/><Relationship Id="rId20" Type="http://schemas.openxmlformats.org/officeDocument/2006/relationships/hyperlink" Target="https://www.linkedin.com/in/adilson-lavrador-610573255/" TargetMode="External"/><Relationship Id="rId41" Type="http://schemas.openxmlformats.org/officeDocument/2006/relationships/hyperlink" Target="https://www.linkedin.com/in/mauricioda/" TargetMode="External"/><Relationship Id="rId54" Type="http://schemas.openxmlformats.org/officeDocument/2006/relationships/hyperlink" Target="https://www.linkedin.com/in/cristiano-zilz-ab853115/" TargetMode="External"/><Relationship Id="rId62" Type="http://schemas.openxmlformats.org/officeDocument/2006/relationships/hyperlink" Target="https://www.linkedin.com/in/brunanevesmigliorini/" TargetMode="External"/><Relationship Id="rId1" Type="http://schemas.openxmlformats.org/officeDocument/2006/relationships/hyperlink" Target="mailto:sandra@pabu.com.br" TargetMode="External"/><Relationship Id="rId6" Type="http://schemas.openxmlformats.org/officeDocument/2006/relationships/hyperlink" Target="mailto:wilson.leal@segurosunimed.com.br" TargetMode="External"/><Relationship Id="rId15" Type="http://schemas.openxmlformats.org/officeDocument/2006/relationships/hyperlink" Target="https://www.linkedin.com/in/miguel-setas/" TargetMode="External"/><Relationship Id="rId23" Type="http://schemas.openxmlformats.org/officeDocument/2006/relationships/hyperlink" Target="mailto:sergio.miotto@tokiomarine.com.br" TargetMode="External"/><Relationship Id="rId28" Type="http://schemas.openxmlformats.org/officeDocument/2006/relationships/hyperlink" Target="https://www.linkedin.com/in/andrea-ribeiro-79907222/" TargetMode="External"/><Relationship Id="rId36" Type="http://schemas.openxmlformats.org/officeDocument/2006/relationships/hyperlink" Target="https://www.linkedin.com/in/alida-bellandi-21970856/" TargetMode="External"/><Relationship Id="rId49" Type="http://schemas.openxmlformats.org/officeDocument/2006/relationships/hyperlink" Target="mailto:llima@qualicorp.com.br" TargetMode="External"/><Relationship Id="rId57" Type="http://schemas.openxmlformats.org/officeDocument/2006/relationships/hyperlink" Target="https://www.linkedin.com/in/elem-regina-serafim-martins-5082a515/" TargetMode="External"/><Relationship Id="rId10" Type="http://schemas.openxmlformats.org/officeDocument/2006/relationships/hyperlink" Target="https://www.linkedin.com/in/julio-cesar-gimenes-5a7aa878/" TargetMode="External"/><Relationship Id="rId31" Type="http://schemas.openxmlformats.org/officeDocument/2006/relationships/hyperlink" Target="mailto:gabriel.nery@tokiomarine.com.br" TargetMode="External"/><Relationship Id="rId44" Type="http://schemas.openxmlformats.org/officeDocument/2006/relationships/hyperlink" Target="https://www.linkedin.com/in/wolffmarcia/" TargetMode="External"/><Relationship Id="rId52" Type="http://schemas.openxmlformats.org/officeDocument/2006/relationships/hyperlink" Target="https://www.linkedin.com/in/anderson-wagenknecht/" TargetMode="External"/><Relationship Id="rId60" Type="http://schemas.openxmlformats.org/officeDocument/2006/relationships/hyperlink" Target="https://www.linkedin.com/in/william-camassari-itabashi-92a5706a/" TargetMode="External"/><Relationship Id="rId65" Type="http://schemas.openxmlformats.org/officeDocument/2006/relationships/hyperlink" Target="https://www.linkedin.com/in/juliana-parreira-lopes/" TargetMode="External"/><Relationship Id="rId4" Type="http://schemas.openxmlformats.org/officeDocument/2006/relationships/hyperlink" Target="https://www.linkedin.com/in/sandra-cassorla-de-camargo-69417369/" TargetMode="External"/><Relationship Id="rId9" Type="http://schemas.openxmlformats.org/officeDocument/2006/relationships/hyperlink" Target="https://www.linkedin.com/in/daiane-maciel/" TargetMode="External"/><Relationship Id="rId13" Type="http://schemas.openxmlformats.org/officeDocument/2006/relationships/hyperlink" Target="http://www.grupoccr.com.br/" TargetMode="External"/><Relationship Id="rId18" Type="http://schemas.openxmlformats.org/officeDocument/2006/relationships/hyperlink" Target="mailto:marcelo.rocha@gruposc.com.br" TargetMode="External"/><Relationship Id="rId39" Type="http://schemas.openxmlformats.org/officeDocument/2006/relationships/hyperlink" Target="https://www.linkedin.com/in/francisco-wellington-barbosa-sampaio-527916152/" TargetMode="External"/><Relationship Id="rId34" Type="http://schemas.openxmlformats.org/officeDocument/2006/relationships/hyperlink" Target="https://www.linkedin.com/in/carlos-vasques-3001a3120/" TargetMode="External"/><Relationship Id="rId50" Type="http://schemas.openxmlformats.org/officeDocument/2006/relationships/hyperlink" Target="https://www.linkedin.com/in/jaime-franzner-junior-838178138/" TargetMode="External"/><Relationship Id="rId55" Type="http://schemas.openxmlformats.org/officeDocument/2006/relationships/hyperlink" Target="mailto:cristiano.zilz@urbano.com.br"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linkedin.com/in/eduardo-felipe-s%C3%A1-de-camargo-037999224/" TargetMode="External"/><Relationship Id="rId7" Type="http://schemas.openxmlformats.org/officeDocument/2006/relationships/hyperlink" Target="mailto:marcelo.rocha@gruposc.com.br" TargetMode="External"/><Relationship Id="rId2" Type="http://schemas.openxmlformats.org/officeDocument/2006/relationships/hyperlink" Target="https://www.linkedin.com/in/paulorglima/" TargetMode="External"/><Relationship Id="rId1" Type="http://schemas.openxmlformats.org/officeDocument/2006/relationships/hyperlink" Target="mailto:sandra@pabu.com.br" TargetMode="External"/><Relationship Id="rId6" Type="http://schemas.openxmlformats.org/officeDocument/2006/relationships/hyperlink" Target="https://www.linkedin.com/in/marcelo-rocha-5374a718/" TargetMode="External"/><Relationship Id="rId5" Type="http://schemas.openxmlformats.org/officeDocument/2006/relationships/hyperlink" Target="https://www.linkedin.com/in/anapaulacassorla/" TargetMode="External"/><Relationship Id="rId4" Type="http://schemas.openxmlformats.org/officeDocument/2006/relationships/hyperlink" Target="https://www.linkedin.com/in/sandra-cassorla-de-camargo-69417369/"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in1.sugarondemand.com/" TargetMode="External"/><Relationship Id="rId18" Type="http://schemas.openxmlformats.org/officeDocument/2006/relationships/hyperlink" Target="https://in1.sugarondemand.com/" TargetMode="External"/><Relationship Id="rId26" Type="http://schemas.openxmlformats.org/officeDocument/2006/relationships/hyperlink" Target="https://in1.sugarondemand.com/" TargetMode="External"/><Relationship Id="rId39" Type="http://schemas.openxmlformats.org/officeDocument/2006/relationships/hyperlink" Target="https://in1.sugarondemand.com/" TargetMode="External"/><Relationship Id="rId21" Type="http://schemas.openxmlformats.org/officeDocument/2006/relationships/hyperlink" Target="https://in1.sugarondemand.com/" TargetMode="External"/><Relationship Id="rId34" Type="http://schemas.openxmlformats.org/officeDocument/2006/relationships/hyperlink" Target="https://in1.sugarondemand.com/" TargetMode="External"/><Relationship Id="rId7" Type="http://schemas.openxmlformats.org/officeDocument/2006/relationships/hyperlink" Target="https://in1.sugarondemand.com/" TargetMode="External"/><Relationship Id="rId2" Type="http://schemas.openxmlformats.org/officeDocument/2006/relationships/hyperlink" Target="https://in1.sugarondemand.com/" TargetMode="External"/><Relationship Id="rId16" Type="http://schemas.openxmlformats.org/officeDocument/2006/relationships/hyperlink" Target="https://in1.sugarondemand.com/" TargetMode="External"/><Relationship Id="rId20" Type="http://schemas.openxmlformats.org/officeDocument/2006/relationships/hyperlink" Target="https://in1.sugarondemand.com/" TargetMode="External"/><Relationship Id="rId29" Type="http://schemas.openxmlformats.org/officeDocument/2006/relationships/hyperlink" Target="https://in1.sugarondemand.com/" TargetMode="External"/><Relationship Id="rId41" Type="http://schemas.openxmlformats.org/officeDocument/2006/relationships/hyperlink" Target="https://in1.sugarondemand.com/" TargetMode="External"/><Relationship Id="rId1" Type="http://schemas.openxmlformats.org/officeDocument/2006/relationships/hyperlink" Target="https://in1.sugarondemand.com/" TargetMode="External"/><Relationship Id="rId6" Type="http://schemas.openxmlformats.org/officeDocument/2006/relationships/hyperlink" Target="https://in1.sugarondemand.com/" TargetMode="External"/><Relationship Id="rId11" Type="http://schemas.openxmlformats.org/officeDocument/2006/relationships/hyperlink" Target="https://in1.sugarondemand.com/" TargetMode="External"/><Relationship Id="rId24" Type="http://schemas.openxmlformats.org/officeDocument/2006/relationships/hyperlink" Target="https://in1.sugarondemand.com/" TargetMode="External"/><Relationship Id="rId32" Type="http://schemas.openxmlformats.org/officeDocument/2006/relationships/hyperlink" Target="https://in1.sugarondemand.com/" TargetMode="External"/><Relationship Id="rId37" Type="http://schemas.openxmlformats.org/officeDocument/2006/relationships/hyperlink" Target="https://in1.sugarondemand.com/" TargetMode="External"/><Relationship Id="rId40" Type="http://schemas.openxmlformats.org/officeDocument/2006/relationships/hyperlink" Target="https://in1.sugarondemand.com/" TargetMode="External"/><Relationship Id="rId5" Type="http://schemas.openxmlformats.org/officeDocument/2006/relationships/hyperlink" Target="https://in1.sugarondemand.com/" TargetMode="External"/><Relationship Id="rId15" Type="http://schemas.openxmlformats.org/officeDocument/2006/relationships/hyperlink" Target="https://in1.sugarondemand.com/" TargetMode="External"/><Relationship Id="rId23" Type="http://schemas.openxmlformats.org/officeDocument/2006/relationships/hyperlink" Target="https://in1.sugarondemand.com/" TargetMode="External"/><Relationship Id="rId28" Type="http://schemas.openxmlformats.org/officeDocument/2006/relationships/hyperlink" Target="https://in1.sugarondemand.com/" TargetMode="External"/><Relationship Id="rId36" Type="http://schemas.openxmlformats.org/officeDocument/2006/relationships/hyperlink" Target="https://in1.sugarondemand.com/" TargetMode="External"/><Relationship Id="rId10" Type="http://schemas.openxmlformats.org/officeDocument/2006/relationships/hyperlink" Target="https://in1.sugarondemand.com/" TargetMode="External"/><Relationship Id="rId19" Type="http://schemas.openxmlformats.org/officeDocument/2006/relationships/hyperlink" Target="https://in1.sugarondemand.com/" TargetMode="External"/><Relationship Id="rId31" Type="http://schemas.openxmlformats.org/officeDocument/2006/relationships/hyperlink" Target="https://in1.sugarondemand.com/" TargetMode="External"/><Relationship Id="rId4" Type="http://schemas.openxmlformats.org/officeDocument/2006/relationships/hyperlink" Target="https://in1.sugarondemand.com/" TargetMode="External"/><Relationship Id="rId9" Type="http://schemas.openxmlformats.org/officeDocument/2006/relationships/hyperlink" Target="https://in1.sugarondemand.com/" TargetMode="External"/><Relationship Id="rId14" Type="http://schemas.openxmlformats.org/officeDocument/2006/relationships/hyperlink" Target="https://in1.sugarondemand.com/" TargetMode="External"/><Relationship Id="rId22" Type="http://schemas.openxmlformats.org/officeDocument/2006/relationships/hyperlink" Target="https://in1.sugarondemand.com/" TargetMode="External"/><Relationship Id="rId27" Type="http://schemas.openxmlformats.org/officeDocument/2006/relationships/hyperlink" Target="https://in1.sugarondemand.com/" TargetMode="External"/><Relationship Id="rId30" Type="http://schemas.openxmlformats.org/officeDocument/2006/relationships/hyperlink" Target="https://in1.sugarondemand.com/" TargetMode="External"/><Relationship Id="rId35" Type="http://schemas.openxmlformats.org/officeDocument/2006/relationships/hyperlink" Target="https://in1.sugarondemand.com/" TargetMode="External"/><Relationship Id="rId8" Type="http://schemas.openxmlformats.org/officeDocument/2006/relationships/hyperlink" Target="https://in1.sugarondemand.com/" TargetMode="External"/><Relationship Id="rId3" Type="http://schemas.openxmlformats.org/officeDocument/2006/relationships/hyperlink" Target="https://in1.sugarondemand.com/" TargetMode="External"/><Relationship Id="rId12" Type="http://schemas.openxmlformats.org/officeDocument/2006/relationships/hyperlink" Target="https://in1.sugarondemand.com/" TargetMode="External"/><Relationship Id="rId17" Type="http://schemas.openxmlformats.org/officeDocument/2006/relationships/hyperlink" Target="https://in1.sugarondemand.com/" TargetMode="External"/><Relationship Id="rId25" Type="http://schemas.openxmlformats.org/officeDocument/2006/relationships/hyperlink" Target="https://in1.sugarondemand.com/" TargetMode="External"/><Relationship Id="rId33" Type="http://schemas.openxmlformats.org/officeDocument/2006/relationships/hyperlink" Target="https://in1.sugarondemand.com/" TargetMode="External"/><Relationship Id="rId38" Type="http://schemas.openxmlformats.org/officeDocument/2006/relationships/hyperlink" Target="https://in1.sugarondemand.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https://in1.sugarondemand.com/" TargetMode="External"/><Relationship Id="rId21" Type="http://schemas.openxmlformats.org/officeDocument/2006/relationships/hyperlink" Target="https://in1.sugarondemand.com/" TargetMode="External"/><Relationship Id="rId324" Type="http://schemas.openxmlformats.org/officeDocument/2006/relationships/hyperlink" Target="https://in1.sugarondemand.com/" TargetMode="External"/><Relationship Id="rId531" Type="http://schemas.openxmlformats.org/officeDocument/2006/relationships/hyperlink" Target="https://in1.sugarondemand.com/" TargetMode="External"/><Relationship Id="rId170" Type="http://schemas.openxmlformats.org/officeDocument/2006/relationships/hyperlink" Target="https://in1.sugarondemand.com/" TargetMode="External"/><Relationship Id="rId268" Type="http://schemas.openxmlformats.org/officeDocument/2006/relationships/hyperlink" Target="https://in1.sugarondemand.com/" TargetMode="External"/><Relationship Id="rId475" Type="http://schemas.openxmlformats.org/officeDocument/2006/relationships/hyperlink" Target="https://in1.sugarondemand.com/" TargetMode="External"/><Relationship Id="rId32" Type="http://schemas.openxmlformats.org/officeDocument/2006/relationships/hyperlink" Target="https://in1.sugarondemand.com/" TargetMode="External"/><Relationship Id="rId128" Type="http://schemas.openxmlformats.org/officeDocument/2006/relationships/hyperlink" Target="https://in1.sugarondemand.com/" TargetMode="External"/><Relationship Id="rId335" Type="http://schemas.openxmlformats.org/officeDocument/2006/relationships/hyperlink" Target="https://in1.sugarondemand.com/" TargetMode="External"/><Relationship Id="rId542" Type="http://schemas.openxmlformats.org/officeDocument/2006/relationships/hyperlink" Target="https://in1.sugarondemand.com/" TargetMode="External"/><Relationship Id="rId181" Type="http://schemas.openxmlformats.org/officeDocument/2006/relationships/hyperlink" Target="https://in1.sugarondemand.com/" TargetMode="External"/><Relationship Id="rId402" Type="http://schemas.openxmlformats.org/officeDocument/2006/relationships/hyperlink" Target="https://in1.sugarondemand.com/" TargetMode="External"/><Relationship Id="rId279" Type="http://schemas.openxmlformats.org/officeDocument/2006/relationships/hyperlink" Target="https://in1.sugarondemand.com/" TargetMode="External"/><Relationship Id="rId486" Type="http://schemas.openxmlformats.org/officeDocument/2006/relationships/hyperlink" Target="https://in1.sugarondemand.com/" TargetMode="External"/><Relationship Id="rId43" Type="http://schemas.openxmlformats.org/officeDocument/2006/relationships/hyperlink" Target="https://in1.sugarondemand.com/" TargetMode="External"/><Relationship Id="rId139" Type="http://schemas.openxmlformats.org/officeDocument/2006/relationships/hyperlink" Target="https://in1.sugarondemand.com/" TargetMode="External"/><Relationship Id="rId346" Type="http://schemas.openxmlformats.org/officeDocument/2006/relationships/hyperlink" Target="https://in1.sugarondemand.com/" TargetMode="External"/><Relationship Id="rId553" Type="http://schemas.openxmlformats.org/officeDocument/2006/relationships/hyperlink" Target="https://in1.sugarondemand.com/" TargetMode="External"/><Relationship Id="rId192" Type="http://schemas.openxmlformats.org/officeDocument/2006/relationships/hyperlink" Target="https://in1.sugarondemand.com/" TargetMode="External"/><Relationship Id="rId206" Type="http://schemas.openxmlformats.org/officeDocument/2006/relationships/hyperlink" Target="https://in1.sugarondemand.com/" TargetMode="External"/><Relationship Id="rId413" Type="http://schemas.openxmlformats.org/officeDocument/2006/relationships/hyperlink" Target="https://in1.sugarondemand.com/" TargetMode="External"/><Relationship Id="rId497" Type="http://schemas.openxmlformats.org/officeDocument/2006/relationships/hyperlink" Target="https://in1.sugarondemand.com/" TargetMode="External"/><Relationship Id="rId357" Type="http://schemas.openxmlformats.org/officeDocument/2006/relationships/hyperlink" Target="https://in1.sugarondemand.com/" TargetMode="External"/><Relationship Id="rId54" Type="http://schemas.openxmlformats.org/officeDocument/2006/relationships/hyperlink" Target="https://in1.sugarondemand.com/" TargetMode="External"/><Relationship Id="rId217" Type="http://schemas.openxmlformats.org/officeDocument/2006/relationships/hyperlink" Target="https://in1.sugarondemand.com/" TargetMode="External"/><Relationship Id="rId259" Type="http://schemas.openxmlformats.org/officeDocument/2006/relationships/hyperlink" Target="https://in1.sugarondemand.com/" TargetMode="External"/><Relationship Id="rId424" Type="http://schemas.openxmlformats.org/officeDocument/2006/relationships/hyperlink" Target="https://in1.sugarondemand.com/" TargetMode="External"/><Relationship Id="rId466" Type="http://schemas.openxmlformats.org/officeDocument/2006/relationships/hyperlink" Target="https://in1.sugarondemand.com/" TargetMode="External"/><Relationship Id="rId23" Type="http://schemas.openxmlformats.org/officeDocument/2006/relationships/hyperlink" Target="https://in1.sugarondemand.com/" TargetMode="External"/><Relationship Id="rId119" Type="http://schemas.openxmlformats.org/officeDocument/2006/relationships/hyperlink" Target="https://in1.sugarondemand.com/" TargetMode="External"/><Relationship Id="rId270" Type="http://schemas.openxmlformats.org/officeDocument/2006/relationships/hyperlink" Target="https://in1.sugarondemand.com/" TargetMode="External"/><Relationship Id="rId326" Type="http://schemas.openxmlformats.org/officeDocument/2006/relationships/hyperlink" Target="https://in1.sugarondemand.com/" TargetMode="External"/><Relationship Id="rId533" Type="http://schemas.openxmlformats.org/officeDocument/2006/relationships/hyperlink" Target="https://in1.sugarondemand.com/" TargetMode="External"/><Relationship Id="rId65" Type="http://schemas.openxmlformats.org/officeDocument/2006/relationships/hyperlink" Target="https://in1.sugarondemand.com/" TargetMode="External"/><Relationship Id="rId130" Type="http://schemas.openxmlformats.org/officeDocument/2006/relationships/hyperlink" Target="https://in1.sugarondemand.com/" TargetMode="External"/><Relationship Id="rId368" Type="http://schemas.openxmlformats.org/officeDocument/2006/relationships/hyperlink" Target="https://in1.sugarondemand.com/" TargetMode="External"/><Relationship Id="rId172" Type="http://schemas.openxmlformats.org/officeDocument/2006/relationships/hyperlink" Target="https://in1.sugarondemand.com/" TargetMode="External"/><Relationship Id="rId228" Type="http://schemas.openxmlformats.org/officeDocument/2006/relationships/hyperlink" Target="https://in1.sugarondemand.com/" TargetMode="External"/><Relationship Id="rId435" Type="http://schemas.openxmlformats.org/officeDocument/2006/relationships/hyperlink" Target="https://in1.sugarondemand.com/" TargetMode="External"/><Relationship Id="rId477" Type="http://schemas.openxmlformats.org/officeDocument/2006/relationships/hyperlink" Target="https://in1.sugarondemand.com/" TargetMode="External"/><Relationship Id="rId281" Type="http://schemas.openxmlformats.org/officeDocument/2006/relationships/hyperlink" Target="https://in1.sugarondemand.com/" TargetMode="External"/><Relationship Id="rId337" Type="http://schemas.openxmlformats.org/officeDocument/2006/relationships/hyperlink" Target="https://in1.sugarondemand.com/" TargetMode="External"/><Relationship Id="rId502" Type="http://schemas.openxmlformats.org/officeDocument/2006/relationships/hyperlink" Target="https://in1.sugarondemand.com/" TargetMode="External"/><Relationship Id="rId34" Type="http://schemas.openxmlformats.org/officeDocument/2006/relationships/hyperlink" Target="https://in1.sugarondemand.com/" TargetMode="External"/><Relationship Id="rId76" Type="http://schemas.openxmlformats.org/officeDocument/2006/relationships/hyperlink" Target="https://in1.sugarondemand.com/" TargetMode="External"/><Relationship Id="rId141" Type="http://schemas.openxmlformats.org/officeDocument/2006/relationships/hyperlink" Target="https://in1.sugarondemand.com/" TargetMode="External"/><Relationship Id="rId379" Type="http://schemas.openxmlformats.org/officeDocument/2006/relationships/hyperlink" Target="https://in1.sugarondemand.com/" TargetMode="External"/><Relationship Id="rId544" Type="http://schemas.openxmlformats.org/officeDocument/2006/relationships/hyperlink" Target="https://in1.sugarondemand.com/" TargetMode="External"/><Relationship Id="rId7" Type="http://schemas.openxmlformats.org/officeDocument/2006/relationships/hyperlink" Target="https://in1.sugarondemand.com/" TargetMode="External"/><Relationship Id="rId183" Type="http://schemas.openxmlformats.org/officeDocument/2006/relationships/hyperlink" Target="https://in1.sugarondemand.com/" TargetMode="External"/><Relationship Id="rId239" Type="http://schemas.openxmlformats.org/officeDocument/2006/relationships/hyperlink" Target="https://in1.sugarondemand.com/" TargetMode="External"/><Relationship Id="rId390" Type="http://schemas.openxmlformats.org/officeDocument/2006/relationships/hyperlink" Target="https://in1.sugarondemand.com/" TargetMode="External"/><Relationship Id="rId404" Type="http://schemas.openxmlformats.org/officeDocument/2006/relationships/hyperlink" Target="https://in1.sugarondemand.com/" TargetMode="External"/><Relationship Id="rId446" Type="http://schemas.openxmlformats.org/officeDocument/2006/relationships/hyperlink" Target="https://in1.sugarondemand.com/" TargetMode="External"/><Relationship Id="rId250" Type="http://schemas.openxmlformats.org/officeDocument/2006/relationships/hyperlink" Target="https://in1.sugarondemand.com/" TargetMode="External"/><Relationship Id="rId292" Type="http://schemas.openxmlformats.org/officeDocument/2006/relationships/hyperlink" Target="https://in1.sugarondemand.com/" TargetMode="External"/><Relationship Id="rId306" Type="http://schemas.openxmlformats.org/officeDocument/2006/relationships/hyperlink" Target="https://in1.sugarondemand.com/" TargetMode="External"/><Relationship Id="rId488" Type="http://schemas.openxmlformats.org/officeDocument/2006/relationships/hyperlink" Target="https://in1.sugarondemand.com/" TargetMode="External"/><Relationship Id="rId45" Type="http://schemas.openxmlformats.org/officeDocument/2006/relationships/hyperlink" Target="https://in1.sugarondemand.com/" TargetMode="External"/><Relationship Id="rId87" Type="http://schemas.openxmlformats.org/officeDocument/2006/relationships/hyperlink" Target="https://in1.sugarondemand.com/" TargetMode="External"/><Relationship Id="rId110" Type="http://schemas.openxmlformats.org/officeDocument/2006/relationships/hyperlink" Target="https://in1.sugarondemand.com/" TargetMode="External"/><Relationship Id="rId348" Type="http://schemas.openxmlformats.org/officeDocument/2006/relationships/hyperlink" Target="https://in1.sugarondemand.com/" TargetMode="External"/><Relationship Id="rId513" Type="http://schemas.openxmlformats.org/officeDocument/2006/relationships/hyperlink" Target="https://in1.sugarondemand.com/" TargetMode="External"/><Relationship Id="rId555" Type="http://schemas.openxmlformats.org/officeDocument/2006/relationships/hyperlink" Target="https://in1.sugarondemand.com/" TargetMode="External"/><Relationship Id="rId152" Type="http://schemas.openxmlformats.org/officeDocument/2006/relationships/hyperlink" Target="https://in1.sugarondemand.com/" TargetMode="External"/><Relationship Id="rId194" Type="http://schemas.openxmlformats.org/officeDocument/2006/relationships/hyperlink" Target="https://in1.sugarondemand.com/" TargetMode="External"/><Relationship Id="rId208" Type="http://schemas.openxmlformats.org/officeDocument/2006/relationships/hyperlink" Target="https://in1.sugarondemand.com/" TargetMode="External"/><Relationship Id="rId415" Type="http://schemas.openxmlformats.org/officeDocument/2006/relationships/hyperlink" Target="https://in1.sugarondemand.com/" TargetMode="External"/><Relationship Id="rId457" Type="http://schemas.openxmlformats.org/officeDocument/2006/relationships/hyperlink" Target="https://in1.sugarondemand.com/" TargetMode="External"/><Relationship Id="rId261" Type="http://schemas.openxmlformats.org/officeDocument/2006/relationships/hyperlink" Target="https://in1.sugarondemand.com/" TargetMode="External"/><Relationship Id="rId499" Type="http://schemas.openxmlformats.org/officeDocument/2006/relationships/hyperlink" Target="https://in1.sugarondemand.com/" TargetMode="External"/><Relationship Id="rId14" Type="http://schemas.openxmlformats.org/officeDocument/2006/relationships/hyperlink" Target="https://in1.sugarondemand.com/" TargetMode="External"/><Relationship Id="rId56" Type="http://schemas.openxmlformats.org/officeDocument/2006/relationships/hyperlink" Target="https://in1.sugarondemand.com/" TargetMode="External"/><Relationship Id="rId317" Type="http://schemas.openxmlformats.org/officeDocument/2006/relationships/hyperlink" Target="https://in1.sugarondemand.com/" TargetMode="External"/><Relationship Id="rId359" Type="http://schemas.openxmlformats.org/officeDocument/2006/relationships/hyperlink" Target="https://in1.sugarondemand.com/" TargetMode="External"/><Relationship Id="rId524" Type="http://schemas.openxmlformats.org/officeDocument/2006/relationships/hyperlink" Target="https://in1.sugarondemand.com/" TargetMode="External"/><Relationship Id="rId98" Type="http://schemas.openxmlformats.org/officeDocument/2006/relationships/hyperlink" Target="https://in1.sugarondemand.com/" TargetMode="External"/><Relationship Id="rId121" Type="http://schemas.openxmlformats.org/officeDocument/2006/relationships/hyperlink" Target="https://in1.sugarondemand.com/" TargetMode="External"/><Relationship Id="rId163" Type="http://schemas.openxmlformats.org/officeDocument/2006/relationships/hyperlink" Target="https://in1.sugarondemand.com/" TargetMode="External"/><Relationship Id="rId219" Type="http://schemas.openxmlformats.org/officeDocument/2006/relationships/hyperlink" Target="https://in1.sugarondemand.com/" TargetMode="External"/><Relationship Id="rId370" Type="http://schemas.openxmlformats.org/officeDocument/2006/relationships/hyperlink" Target="https://in1.sugarondemand.com/" TargetMode="External"/><Relationship Id="rId426" Type="http://schemas.openxmlformats.org/officeDocument/2006/relationships/hyperlink" Target="https://in1.sugarondemand.com/" TargetMode="External"/><Relationship Id="rId230" Type="http://schemas.openxmlformats.org/officeDocument/2006/relationships/hyperlink" Target="https://in1.sugarondemand.com/" TargetMode="External"/><Relationship Id="rId468" Type="http://schemas.openxmlformats.org/officeDocument/2006/relationships/hyperlink" Target="https://in1.sugarondemand.com/" TargetMode="External"/><Relationship Id="rId25" Type="http://schemas.openxmlformats.org/officeDocument/2006/relationships/hyperlink" Target="https://in1.sugarondemand.com/" TargetMode="External"/><Relationship Id="rId67" Type="http://schemas.openxmlformats.org/officeDocument/2006/relationships/hyperlink" Target="https://in1.sugarondemand.com/" TargetMode="External"/><Relationship Id="rId272" Type="http://schemas.openxmlformats.org/officeDocument/2006/relationships/hyperlink" Target="https://in1.sugarondemand.com/" TargetMode="External"/><Relationship Id="rId328" Type="http://schemas.openxmlformats.org/officeDocument/2006/relationships/hyperlink" Target="https://in1.sugarondemand.com/" TargetMode="External"/><Relationship Id="rId535" Type="http://schemas.openxmlformats.org/officeDocument/2006/relationships/hyperlink" Target="https://in1.sugarondemand.com/" TargetMode="External"/><Relationship Id="rId132" Type="http://schemas.openxmlformats.org/officeDocument/2006/relationships/hyperlink" Target="https://in1.sugarondemand.com/" TargetMode="External"/><Relationship Id="rId174" Type="http://schemas.openxmlformats.org/officeDocument/2006/relationships/hyperlink" Target="https://in1.sugarondemand.com/" TargetMode="External"/><Relationship Id="rId381" Type="http://schemas.openxmlformats.org/officeDocument/2006/relationships/hyperlink" Target="https://in1.sugarondemand.com/" TargetMode="External"/><Relationship Id="rId241" Type="http://schemas.openxmlformats.org/officeDocument/2006/relationships/hyperlink" Target="https://in1.sugarondemand.com/" TargetMode="External"/><Relationship Id="rId437" Type="http://schemas.openxmlformats.org/officeDocument/2006/relationships/hyperlink" Target="https://in1.sugarondemand.com/" TargetMode="External"/><Relationship Id="rId479" Type="http://schemas.openxmlformats.org/officeDocument/2006/relationships/hyperlink" Target="https://in1.sugarondemand.com/" TargetMode="External"/><Relationship Id="rId36" Type="http://schemas.openxmlformats.org/officeDocument/2006/relationships/hyperlink" Target="https://in1.sugarondemand.com/" TargetMode="External"/><Relationship Id="rId283" Type="http://schemas.openxmlformats.org/officeDocument/2006/relationships/hyperlink" Target="https://in1.sugarondemand.com/" TargetMode="External"/><Relationship Id="rId339" Type="http://schemas.openxmlformats.org/officeDocument/2006/relationships/hyperlink" Target="https://in1.sugarondemand.com/" TargetMode="External"/><Relationship Id="rId490" Type="http://schemas.openxmlformats.org/officeDocument/2006/relationships/hyperlink" Target="https://in1.sugarondemand.com/" TargetMode="External"/><Relationship Id="rId504" Type="http://schemas.openxmlformats.org/officeDocument/2006/relationships/hyperlink" Target="https://in1.sugarondemand.com/" TargetMode="External"/><Relationship Id="rId546" Type="http://schemas.openxmlformats.org/officeDocument/2006/relationships/hyperlink" Target="https://in1.sugarondemand.com/" TargetMode="External"/><Relationship Id="rId78" Type="http://schemas.openxmlformats.org/officeDocument/2006/relationships/hyperlink" Target="https://in1.sugarondemand.com/" TargetMode="External"/><Relationship Id="rId101" Type="http://schemas.openxmlformats.org/officeDocument/2006/relationships/hyperlink" Target="https://in1.sugarondemand.com/" TargetMode="External"/><Relationship Id="rId143" Type="http://schemas.openxmlformats.org/officeDocument/2006/relationships/hyperlink" Target="https://in1.sugarondemand.com/" TargetMode="External"/><Relationship Id="rId185" Type="http://schemas.openxmlformats.org/officeDocument/2006/relationships/hyperlink" Target="https://in1.sugarondemand.com/" TargetMode="External"/><Relationship Id="rId350" Type="http://schemas.openxmlformats.org/officeDocument/2006/relationships/hyperlink" Target="https://in1.sugarondemand.com/" TargetMode="External"/><Relationship Id="rId406" Type="http://schemas.openxmlformats.org/officeDocument/2006/relationships/hyperlink" Target="https://in1.sugarondemand.com/" TargetMode="External"/><Relationship Id="rId9" Type="http://schemas.openxmlformats.org/officeDocument/2006/relationships/hyperlink" Target="https://in1.sugarondemand.com/" TargetMode="External"/><Relationship Id="rId210" Type="http://schemas.openxmlformats.org/officeDocument/2006/relationships/hyperlink" Target="https://in1.sugarondemand.com/" TargetMode="External"/><Relationship Id="rId392" Type="http://schemas.openxmlformats.org/officeDocument/2006/relationships/hyperlink" Target="https://in1.sugarondemand.com/" TargetMode="External"/><Relationship Id="rId448" Type="http://schemas.openxmlformats.org/officeDocument/2006/relationships/hyperlink" Target="https://in1.sugarondemand.com/" TargetMode="External"/><Relationship Id="rId252" Type="http://schemas.openxmlformats.org/officeDocument/2006/relationships/hyperlink" Target="https://in1.sugarondemand.com/" TargetMode="External"/><Relationship Id="rId294" Type="http://schemas.openxmlformats.org/officeDocument/2006/relationships/hyperlink" Target="https://in1.sugarondemand.com/" TargetMode="External"/><Relationship Id="rId308" Type="http://schemas.openxmlformats.org/officeDocument/2006/relationships/hyperlink" Target="https://in1.sugarondemand.com/" TargetMode="External"/><Relationship Id="rId515" Type="http://schemas.openxmlformats.org/officeDocument/2006/relationships/hyperlink" Target="https://in1.sugarondemand.com/" TargetMode="External"/><Relationship Id="rId47" Type="http://schemas.openxmlformats.org/officeDocument/2006/relationships/hyperlink" Target="https://in1.sugarondemand.com/" TargetMode="External"/><Relationship Id="rId89" Type="http://schemas.openxmlformats.org/officeDocument/2006/relationships/hyperlink" Target="https://in1.sugarondemand.com/" TargetMode="External"/><Relationship Id="rId112" Type="http://schemas.openxmlformats.org/officeDocument/2006/relationships/hyperlink" Target="https://in1.sugarondemand.com/" TargetMode="External"/><Relationship Id="rId154" Type="http://schemas.openxmlformats.org/officeDocument/2006/relationships/hyperlink" Target="https://in1.sugarondemand.com/" TargetMode="External"/><Relationship Id="rId361" Type="http://schemas.openxmlformats.org/officeDocument/2006/relationships/hyperlink" Target="https://in1.sugarondemand.com/" TargetMode="External"/><Relationship Id="rId557" Type="http://schemas.openxmlformats.org/officeDocument/2006/relationships/printerSettings" Target="../printerSettings/printerSettings2.bin"/><Relationship Id="rId196" Type="http://schemas.openxmlformats.org/officeDocument/2006/relationships/hyperlink" Target="https://in1.sugarondemand.com/" TargetMode="External"/><Relationship Id="rId417" Type="http://schemas.openxmlformats.org/officeDocument/2006/relationships/hyperlink" Target="https://in1.sugarondemand.com/" TargetMode="External"/><Relationship Id="rId459" Type="http://schemas.openxmlformats.org/officeDocument/2006/relationships/hyperlink" Target="https://in1.sugarondemand.com/" TargetMode="External"/><Relationship Id="rId16" Type="http://schemas.openxmlformats.org/officeDocument/2006/relationships/hyperlink" Target="https://in1.sugarondemand.com/" TargetMode="External"/><Relationship Id="rId221" Type="http://schemas.openxmlformats.org/officeDocument/2006/relationships/hyperlink" Target="https://in1.sugarondemand.com/" TargetMode="External"/><Relationship Id="rId263" Type="http://schemas.openxmlformats.org/officeDocument/2006/relationships/hyperlink" Target="https://in1.sugarondemand.com/" TargetMode="External"/><Relationship Id="rId319" Type="http://schemas.openxmlformats.org/officeDocument/2006/relationships/hyperlink" Target="https://in1.sugarondemand.com/" TargetMode="External"/><Relationship Id="rId470" Type="http://schemas.openxmlformats.org/officeDocument/2006/relationships/hyperlink" Target="https://in1.sugarondemand.com/" TargetMode="External"/><Relationship Id="rId526" Type="http://schemas.openxmlformats.org/officeDocument/2006/relationships/hyperlink" Target="https://in1.sugarondemand.com/" TargetMode="External"/><Relationship Id="rId58" Type="http://schemas.openxmlformats.org/officeDocument/2006/relationships/hyperlink" Target="https://in1.sugarondemand.com/" TargetMode="External"/><Relationship Id="rId123" Type="http://schemas.openxmlformats.org/officeDocument/2006/relationships/hyperlink" Target="https://in1.sugarondemand.com/" TargetMode="External"/><Relationship Id="rId330" Type="http://schemas.openxmlformats.org/officeDocument/2006/relationships/hyperlink" Target="https://in1.sugarondemand.com/" TargetMode="External"/><Relationship Id="rId165" Type="http://schemas.openxmlformats.org/officeDocument/2006/relationships/hyperlink" Target="https://in1.sugarondemand.com/" TargetMode="External"/><Relationship Id="rId372" Type="http://schemas.openxmlformats.org/officeDocument/2006/relationships/hyperlink" Target="https://in1.sugarondemand.com/" TargetMode="External"/><Relationship Id="rId428" Type="http://schemas.openxmlformats.org/officeDocument/2006/relationships/hyperlink" Target="https://in1.sugarondemand.com/" TargetMode="External"/><Relationship Id="rId232" Type="http://schemas.openxmlformats.org/officeDocument/2006/relationships/hyperlink" Target="https://in1.sugarondemand.com/" TargetMode="External"/><Relationship Id="rId274" Type="http://schemas.openxmlformats.org/officeDocument/2006/relationships/hyperlink" Target="https://in1.sugarondemand.com/" TargetMode="External"/><Relationship Id="rId481" Type="http://schemas.openxmlformats.org/officeDocument/2006/relationships/hyperlink" Target="https://in1.sugarondemand.com/" TargetMode="External"/><Relationship Id="rId27" Type="http://schemas.openxmlformats.org/officeDocument/2006/relationships/hyperlink" Target="https://in1.sugarondemand.com/" TargetMode="External"/><Relationship Id="rId69" Type="http://schemas.openxmlformats.org/officeDocument/2006/relationships/hyperlink" Target="https://in1.sugarondemand.com/" TargetMode="External"/><Relationship Id="rId134" Type="http://schemas.openxmlformats.org/officeDocument/2006/relationships/hyperlink" Target="https://in1.sugarondemand.com/" TargetMode="External"/><Relationship Id="rId537" Type="http://schemas.openxmlformats.org/officeDocument/2006/relationships/hyperlink" Target="https://in1.sugarondemand.com/" TargetMode="External"/><Relationship Id="rId80" Type="http://schemas.openxmlformats.org/officeDocument/2006/relationships/hyperlink" Target="https://in1.sugarondemand.com/" TargetMode="External"/><Relationship Id="rId176" Type="http://schemas.openxmlformats.org/officeDocument/2006/relationships/hyperlink" Target="https://in1.sugarondemand.com/" TargetMode="External"/><Relationship Id="rId341" Type="http://schemas.openxmlformats.org/officeDocument/2006/relationships/hyperlink" Target="https://in1.sugarondemand.com/" TargetMode="External"/><Relationship Id="rId383" Type="http://schemas.openxmlformats.org/officeDocument/2006/relationships/hyperlink" Target="https://in1.sugarondemand.com/" TargetMode="External"/><Relationship Id="rId439" Type="http://schemas.openxmlformats.org/officeDocument/2006/relationships/hyperlink" Target="https://in1.sugarondemand.com/" TargetMode="External"/><Relationship Id="rId201" Type="http://schemas.openxmlformats.org/officeDocument/2006/relationships/hyperlink" Target="https://in1.sugarondemand.com/" TargetMode="External"/><Relationship Id="rId243" Type="http://schemas.openxmlformats.org/officeDocument/2006/relationships/hyperlink" Target="https://in1.sugarondemand.com/" TargetMode="External"/><Relationship Id="rId285" Type="http://schemas.openxmlformats.org/officeDocument/2006/relationships/hyperlink" Target="https://in1.sugarondemand.com/" TargetMode="External"/><Relationship Id="rId450" Type="http://schemas.openxmlformats.org/officeDocument/2006/relationships/hyperlink" Target="https://in1.sugarondemand.com/" TargetMode="External"/><Relationship Id="rId506" Type="http://schemas.openxmlformats.org/officeDocument/2006/relationships/hyperlink" Target="https://in1.sugarondemand.com/" TargetMode="External"/><Relationship Id="rId38" Type="http://schemas.openxmlformats.org/officeDocument/2006/relationships/hyperlink" Target="https://in1.sugarondemand.com/" TargetMode="External"/><Relationship Id="rId103" Type="http://schemas.openxmlformats.org/officeDocument/2006/relationships/hyperlink" Target="https://in1.sugarondemand.com/" TargetMode="External"/><Relationship Id="rId310" Type="http://schemas.openxmlformats.org/officeDocument/2006/relationships/hyperlink" Target="https://in1.sugarondemand.com/" TargetMode="External"/><Relationship Id="rId492" Type="http://schemas.openxmlformats.org/officeDocument/2006/relationships/hyperlink" Target="https://in1.sugarondemand.com/" TargetMode="External"/><Relationship Id="rId548" Type="http://schemas.openxmlformats.org/officeDocument/2006/relationships/hyperlink" Target="https://in1.sugarondemand.com/" TargetMode="External"/><Relationship Id="rId91" Type="http://schemas.openxmlformats.org/officeDocument/2006/relationships/hyperlink" Target="https://in1.sugarondemand.com/" TargetMode="External"/><Relationship Id="rId145" Type="http://schemas.openxmlformats.org/officeDocument/2006/relationships/hyperlink" Target="https://in1.sugarondemand.com/" TargetMode="External"/><Relationship Id="rId187" Type="http://schemas.openxmlformats.org/officeDocument/2006/relationships/hyperlink" Target="https://in1.sugarondemand.com/" TargetMode="External"/><Relationship Id="rId352" Type="http://schemas.openxmlformats.org/officeDocument/2006/relationships/hyperlink" Target="https://in1.sugarondemand.com/" TargetMode="External"/><Relationship Id="rId394" Type="http://schemas.openxmlformats.org/officeDocument/2006/relationships/hyperlink" Target="javascript:void(0);" TargetMode="External"/><Relationship Id="rId408" Type="http://schemas.openxmlformats.org/officeDocument/2006/relationships/hyperlink" Target="https://in1.sugarondemand.com/" TargetMode="External"/><Relationship Id="rId212" Type="http://schemas.openxmlformats.org/officeDocument/2006/relationships/hyperlink" Target="https://in1.sugarondemand.com/" TargetMode="External"/><Relationship Id="rId254" Type="http://schemas.openxmlformats.org/officeDocument/2006/relationships/hyperlink" Target="https://in1.sugarondemand.com/" TargetMode="External"/><Relationship Id="rId49" Type="http://schemas.openxmlformats.org/officeDocument/2006/relationships/hyperlink" Target="https://in1.sugarondemand.com/" TargetMode="External"/><Relationship Id="rId114" Type="http://schemas.openxmlformats.org/officeDocument/2006/relationships/hyperlink" Target="https://in1.sugarondemand.com/" TargetMode="External"/><Relationship Id="rId296" Type="http://schemas.openxmlformats.org/officeDocument/2006/relationships/hyperlink" Target="https://in1.sugarondemand.com/" TargetMode="External"/><Relationship Id="rId461" Type="http://schemas.openxmlformats.org/officeDocument/2006/relationships/hyperlink" Target="https://in1.sugarondemand.com/" TargetMode="External"/><Relationship Id="rId517" Type="http://schemas.openxmlformats.org/officeDocument/2006/relationships/hyperlink" Target="https://in1.sugarondemand.com/" TargetMode="External"/><Relationship Id="rId60" Type="http://schemas.openxmlformats.org/officeDocument/2006/relationships/hyperlink" Target="https://in1.sugarondemand.com/" TargetMode="External"/><Relationship Id="rId156" Type="http://schemas.openxmlformats.org/officeDocument/2006/relationships/hyperlink" Target="https://in1.sugarondemand.com/" TargetMode="External"/><Relationship Id="rId198" Type="http://schemas.openxmlformats.org/officeDocument/2006/relationships/hyperlink" Target="https://in1.sugarondemand.com/" TargetMode="External"/><Relationship Id="rId321" Type="http://schemas.openxmlformats.org/officeDocument/2006/relationships/hyperlink" Target="https://in1.sugarondemand.com/" TargetMode="External"/><Relationship Id="rId363" Type="http://schemas.openxmlformats.org/officeDocument/2006/relationships/hyperlink" Target="https://in1.sugarondemand.com/" TargetMode="External"/><Relationship Id="rId419" Type="http://schemas.openxmlformats.org/officeDocument/2006/relationships/hyperlink" Target="https://in1.sugarondemand.com/" TargetMode="External"/><Relationship Id="rId223" Type="http://schemas.openxmlformats.org/officeDocument/2006/relationships/hyperlink" Target="https://in1.sugarondemand.com/" TargetMode="External"/><Relationship Id="rId430" Type="http://schemas.openxmlformats.org/officeDocument/2006/relationships/hyperlink" Target="https://in1.sugarondemand.com/" TargetMode="External"/><Relationship Id="rId18" Type="http://schemas.openxmlformats.org/officeDocument/2006/relationships/hyperlink" Target="https://in1.sugarondemand.com/" TargetMode="External"/><Relationship Id="rId265" Type="http://schemas.openxmlformats.org/officeDocument/2006/relationships/hyperlink" Target="https://in1.sugarondemand.com/" TargetMode="External"/><Relationship Id="rId472" Type="http://schemas.openxmlformats.org/officeDocument/2006/relationships/hyperlink" Target="https://in1.sugarondemand.com/" TargetMode="External"/><Relationship Id="rId528" Type="http://schemas.openxmlformats.org/officeDocument/2006/relationships/hyperlink" Target="https://in1.sugarondemand.com/" TargetMode="External"/><Relationship Id="rId125" Type="http://schemas.openxmlformats.org/officeDocument/2006/relationships/hyperlink" Target="https://in1.sugarondemand.com/" TargetMode="External"/><Relationship Id="rId167" Type="http://schemas.openxmlformats.org/officeDocument/2006/relationships/hyperlink" Target="https://in1.sugarondemand.com/" TargetMode="External"/><Relationship Id="rId332" Type="http://schemas.openxmlformats.org/officeDocument/2006/relationships/hyperlink" Target="https://in1.sugarondemand.com/" TargetMode="External"/><Relationship Id="rId374" Type="http://schemas.openxmlformats.org/officeDocument/2006/relationships/hyperlink" Target="https://in1.sugarondemand.com/" TargetMode="External"/><Relationship Id="rId71" Type="http://schemas.openxmlformats.org/officeDocument/2006/relationships/hyperlink" Target="https://in1.sugarondemand.com/" TargetMode="External"/><Relationship Id="rId234" Type="http://schemas.openxmlformats.org/officeDocument/2006/relationships/hyperlink" Target="https://in1.sugarondemand.com/" TargetMode="External"/><Relationship Id="rId2" Type="http://schemas.openxmlformats.org/officeDocument/2006/relationships/hyperlink" Target="https://in1.sugarondemand.com/" TargetMode="External"/><Relationship Id="rId29" Type="http://schemas.openxmlformats.org/officeDocument/2006/relationships/hyperlink" Target="https://in1.sugarondemand.com/" TargetMode="External"/><Relationship Id="rId276" Type="http://schemas.openxmlformats.org/officeDocument/2006/relationships/hyperlink" Target="https://in1.sugarondemand.com/" TargetMode="External"/><Relationship Id="rId441" Type="http://schemas.openxmlformats.org/officeDocument/2006/relationships/hyperlink" Target="https://in1.sugarondemand.com/" TargetMode="External"/><Relationship Id="rId483" Type="http://schemas.openxmlformats.org/officeDocument/2006/relationships/hyperlink" Target="https://in1.sugarondemand.com/" TargetMode="External"/><Relationship Id="rId539" Type="http://schemas.openxmlformats.org/officeDocument/2006/relationships/hyperlink" Target="https://in1.sugarondemand.com/" TargetMode="External"/><Relationship Id="rId40" Type="http://schemas.openxmlformats.org/officeDocument/2006/relationships/hyperlink" Target="https://in1.sugarondemand.com/" TargetMode="External"/><Relationship Id="rId136" Type="http://schemas.openxmlformats.org/officeDocument/2006/relationships/hyperlink" Target="https://in1.sugarondemand.com/" TargetMode="External"/><Relationship Id="rId178" Type="http://schemas.openxmlformats.org/officeDocument/2006/relationships/hyperlink" Target="https://in1.sugarondemand.com/" TargetMode="External"/><Relationship Id="rId301" Type="http://schemas.openxmlformats.org/officeDocument/2006/relationships/hyperlink" Target="https://in1.sugarondemand.com/" TargetMode="External"/><Relationship Id="rId343" Type="http://schemas.openxmlformats.org/officeDocument/2006/relationships/hyperlink" Target="https://in1.sugarondemand.com/" TargetMode="External"/><Relationship Id="rId550" Type="http://schemas.openxmlformats.org/officeDocument/2006/relationships/hyperlink" Target="https://in1.sugarondemand.com/" TargetMode="External"/><Relationship Id="rId82" Type="http://schemas.openxmlformats.org/officeDocument/2006/relationships/hyperlink" Target="https://in1.sugarondemand.com/" TargetMode="External"/><Relationship Id="rId203" Type="http://schemas.openxmlformats.org/officeDocument/2006/relationships/hyperlink" Target="https://in1.sugarondemand.com/" TargetMode="External"/><Relationship Id="rId385" Type="http://schemas.openxmlformats.org/officeDocument/2006/relationships/hyperlink" Target="javascript:void(0);" TargetMode="External"/><Relationship Id="rId245" Type="http://schemas.openxmlformats.org/officeDocument/2006/relationships/hyperlink" Target="https://in1.sugarondemand.com/" TargetMode="External"/><Relationship Id="rId287" Type="http://schemas.openxmlformats.org/officeDocument/2006/relationships/hyperlink" Target="https://in1.sugarondemand.com/" TargetMode="External"/><Relationship Id="rId410" Type="http://schemas.openxmlformats.org/officeDocument/2006/relationships/hyperlink" Target="https://in1.sugarondemand.com/" TargetMode="External"/><Relationship Id="rId452" Type="http://schemas.openxmlformats.org/officeDocument/2006/relationships/hyperlink" Target="https://in1.sugarondemand.com/" TargetMode="External"/><Relationship Id="rId494" Type="http://schemas.openxmlformats.org/officeDocument/2006/relationships/hyperlink" Target="https://in1.sugarondemand.com/" TargetMode="External"/><Relationship Id="rId508" Type="http://schemas.openxmlformats.org/officeDocument/2006/relationships/hyperlink" Target="https://in1.sugarondemand.com/" TargetMode="External"/><Relationship Id="rId105" Type="http://schemas.openxmlformats.org/officeDocument/2006/relationships/hyperlink" Target="https://in1.sugarondemand.com/" TargetMode="External"/><Relationship Id="rId147" Type="http://schemas.openxmlformats.org/officeDocument/2006/relationships/hyperlink" Target="https://in1.sugarondemand.com/" TargetMode="External"/><Relationship Id="rId312" Type="http://schemas.openxmlformats.org/officeDocument/2006/relationships/hyperlink" Target="https://in1.sugarondemand.com/" TargetMode="External"/><Relationship Id="rId354" Type="http://schemas.openxmlformats.org/officeDocument/2006/relationships/hyperlink" Target="https://in1.sugarondemand.com/" TargetMode="External"/><Relationship Id="rId51" Type="http://schemas.openxmlformats.org/officeDocument/2006/relationships/hyperlink" Target="https://in1.sugarondemand.com/" TargetMode="External"/><Relationship Id="rId93" Type="http://schemas.openxmlformats.org/officeDocument/2006/relationships/hyperlink" Target="https://in1.sugarondemand.com/" TargetMode="External"/><Relationship Id="rId189" Type="http://schemas.openxmlformats.org/officeDocument/2006/relationships/hyperlink" Target="https://in1.sugarondemand.com/" TargetMode="External"/><Relationship Id="rId396" Type="http://schemas.openxmlformats.org/officeDocument/2006/relationships/hyperlink" Target="https://in1.sugarondemand.com/" TargetMode="External"/><Relationship Id="rId214" Type="http://schemas.openxmlformats.org/officeDocument/2006/relationships/hyperlink" Target="javascript:void(0);" TargetMode="External"/><Relationship Id="rId256" Type="http://schemas.openxmlformats.org/officeDocument/2006/relationships/hyperlink" Target="https://in1.sugarondemand.com/" TargetMode="External"/><Relationship Id="rId298" Type="http://schemas.openxmlformats.org/officeDocument/2006/relationships/hyperlink" Target="https://in1.sugarondemand.com/" TargetMode="External"/><Relationship Id="rId421" Type="http://schemas.openxmlformats.org/officeDocument/2006/relationships/hyperlink" Target="https://in1.sugarondemand.com/" TargetMode="External"/><Relationship Id="rId463" Type="http://schemas.openxmlformats.org/officeDocument/2006/relationships/hyperlink" Target="https://in1.sugarondemand.com/" TargetMode="External"/><Relationship Id="rId519" Type="http://schemas.openxmlformats.org/officeDocument/2006/relationships/hyperlink" Target="https://in1.sugarondemand.com/" TargetMode="External"/><Relationship Id="rId116" Type="http://schemas.openxmlformats.org/officeDocument/2006/relationships/hyperlink" Target="https://in1.sugarondemand.com/" TargetMode="External"/><Relationship Id="rId158" Type="http://schemas.openxmlformats.org/officeDocument/2006/relationships/hyperlink" Target="https://in1.sugarondemand.com/" TargetMode="External"/><Relationship Id="rId323" Type="http://schemas.openxmlformats.org/officeDocument/2006/relationships/hyperlink" Target="https://in1.sugarondemand.com/" TargetMode="External"/><Relationship Id="rId530" Type="http://schemas.openxmlformats.org/officeDocument/2006/relationships/hyperlink" Target="https://in1.sugarondemand.com/" TargetMode="External"/><Relationship Id="rId20" Type="http://schemas.openxmlformats.org/officeDocument/2006/relationships/hyperlink" Target="https://in1.sugarondemand.com/" TargetMode="External"/><Relationship Id="rId62" Type="http://schemas.openxmlformats.org/officeDocument/2006/relationships/hyperlink" Target="https://in1.sugarondemand.com/" TargetMode="External"/><Relationship Id="rId365" Type="http://schemas.openxmlformats.org/officeDocument/2006/relationships/hyperlink" Target="https://in1.sugarondemand.com/" TargetMode="External"/><Relationship Id="rId225" Type="http://schemas.openxmlformats.org/officeDocument/2006/relationships/hyperlink" Target="https://in1.sugarondemand.com/" TargetMode="External"/><Relationship Id="rId267" Type="http://schemas.openxmlformats.org/officeDocument/2006/relationships/hyperlink" Target="https://in1.sugarondemand.com/" TargetMode="External"/><Relationship Id="rId432" Type="http://schemas.openxmlformats.org/officeDocument/2006/relationships/hyperlink" Target="https://in1.sugarondemand.com/" TargetMode="External"/><Relationship Id="rId474" Type="http://schemas.openxmlformats.org/officeDocument/2006/relationships/hyperlink" Target="https://in1.sugarondemand.com/" TargetMode="External"/><Relationship Id="rId127" Type="http://schemas.openxmlformats.org/officeDocument/2006/relationships/hyperlink" Target="https://in1.sugarondemand.com/" TargetMode="External"/><Relationship Id="rId31" Type="http://schemas.openxmlformats.org/officeDocument/2006/relationships/hyperlink" Target="https://in1.sugarondemand.com/" TargetMode="External"/><Relationship Id="rId73" Type="http://schemas.openxmlformats.org/officeDocument/2006/relationships/hyperlink" Target="https://in1.sugarondemand.com/" TargetMode="External"/><Relationship Id="rId169" Type="http://schemas.openxmlformats.org/officeDocument/2006/relationships/hyperlink" Target="https://in1.sugarondemand.com/" TargetMode="External"/><Relationship Id="rId334" Type="http://schemas.openxmlformats.org/officeDocument/2006/relationships/hyperlink" Target="https://in1.sugarondemand.com/" TargetMode="External"/><Relationship Id="rId376" Type="http://schemas.openxmlformats.org/officeDocument/2006/relationships/hyperlink" Target="https://in1.sugarondemand.com/" TargetMode="External"/><Relationship Id="rId541" Type="http://schemas.openxmlformats.org/officeDocument/2006/relationships/hyperlink" Target="https://in1.sugarondemand.com/" TargetMode="External"/><Relationship Id="rId4" Type="http://schemas.openxmlformats.org/officeDocument/2006/relationships/hyperlink" Target="https://in1.sugarondemand.com/" TargetMode="External"/><Relationship Id="rId180" Type="http://schemas.openxmlformats.org/officeDocument/2006/relationships/hyperlink" Target="https://in1.sugarondemand.com/" TargetMode="External"/><Relationship Id="rId236" Type="http://schemas.openxmlformats.org/officeDocument/2006/relationships/hyperlink" Target="https://in1.sugarondemand.com/" TargetMode="External"/><Relationship Id="rId278" Type="http://schemas.openxmlformats.org/officeDocument/2006/relationships/hyperlink" Target="https://in1.sugarondemand.com/" TargetMode="External"/><Relationship Id="rId401" Type="http://schemas.openxmlformats.org/officeDocument/2006/relationships/hyperlink" Target="https://in1.sugarondemand.com/" TargetMode="External"/><Relationship Id="rId443" Type="http://schemas.openxmlformats.org/officeDocument/2006/relationships/hyperlink" Target="https://in1.sugarondemand.com/" TargetMode="External"/><Relationship Id="rId303" Type="http://schemas.openxmlformats.org/officeDocument/2006/relationships/hyperlink" Target="https://in1.sugarondemand.com/" TargetMode="External"/><Relationship Id="rId485" Type="http://schemas.openxmlformats.org/officeDocument/2006/relationships/hyperlink" Target="https://in1.sugarondemand.com/" TargetMode="External"/><Relationship Id="rId42" Type="http://schemas.openxmlformats.org/officeDocument/2006/relationships/hyperlink" Target="https://in1.sugarondemand.com/" TargetMode="External"/><Relationship Id="rId84" Type="http://schemas.openxmlformats.org/officeDocument/2006/relationships/hyperlink" Target="https://in1.sugarondemand.com/" TargetMode="External"/><Relationship Id="rId138" Type="http://schemas.openxmlformats.org/officeDocument/2006/relationships/hyperlink" Target="https://in1.sugarondemand.com/" TargetMode="External"/><Relationship Id="rId345" Type="http://schemas.openxmlformats.org/officeDocument/2006/relationships/hyperlink" Target="https://in1.sugarondemand.com/" TargetMode="External"/><Relationship Id="rId387" Type="http://schemas.openxmlformats.org/officeDocument/2006/relationships/hyperlink" Target="https://in1.sugarondemand.com/" TargetMode="External"/><Relationship Id="rId510" Type="http://schemas.openxmlformats.org/officeDocument/2006/relationships/hyperlink" Target="https://in1.sugarondemand.com/" TargetMode="External"/><Relationship Id="rId552" Type="http://schemas.openxmlformats.org/officeDocument/2006/relationships/hyperlink" Target="https://in1.sugarondemand.com/" TargetMode="External"/><Relationship Id="rId191" Type="http://schemas.openxmlformats.org/officeDocument/2006/relationships/hyperlink" Target="https://in1.sugarondemand.com/" TargetMode="External"/><Relationship Id="rId205" Type="http://schemas.openxmlformats.org/officeDocument/2006/relationships/hyperlink" Target="https://in1.sugarondemand.com/" TargetMode="External"/><Relationship Id="rId247" Type="http://schemas.openxmlformats.org/officeDocument/2006/relationships/hyperlink" Target="https://in1.sugarondemand.com/" TargetMode="External"/><Relationship Id="rId412" Type="http://schemas.openxmlformats.org/officeDocument/2006/relationships/hyperlink" Target="https://in1.sugarondemand.com/" TargetMode="External"/><Relationship Id="rId107" Type="http://schemas.openxmlformats.org/officeDocument/2006/relationships/hyperlink" Target="https://in1.sugarondemand.com/" TargetMode="External"/><Relationship Id="rId289" Type="http://schemas.openxmlformats.org/officeDocument/2006/relationships/hyperlink" Target="https://in1.sugarondemand.com/" TargetMode="External"/><Relationship Id="rId454" Type="http://schemas.openxmlformats.org/officeDocument/2006/relationships/hyperlink" Target="https://in1.sugarondemand.com/" TargetMode="External"/><Relationship Id="rId496" Type="http://schemas.openxmlformats.org/officeDocument/2006/relationships/hyperlink" Target="https://in1.sugarondemand.com/" TargetMode="External"/><Relationship Id="rId11" Type="http://schemas.openxmlformats.org/officeDocument/2006/relationships/hyperlink" Target="https://in1.sugarondemand.com/" TargetMode="External"/><Relationship Id="rId53" Type="http://schemas.openxmlformats.org/officeDocument/2006/relationships/hyperlink" Target="https://in1.sugarondemand.com/" TargetMode="External"/><Relationship Id="rId149" Type="http://schemas.openxmlformats.org/officeDocument/2006/relationships/hyperlink" Target="https://in1.sugarondemand.com/" TargetMode="External"/><Relationship Id="rId314" Type="http://schemas.openxmlformats.org/officeDocument/2006/relationships/hyperlink" Target="https://in1.sugarondemand.com/" TargetMode="External"/><Relationship Id="rId356" Type="http://schemas.openxmlformats.org/officeDocument/2006/relationships/hyperlink" Target="https://in1.sugarondemand.com/" TargetMode="External"/><Relationship Id="rId398" Type="http://schemas.openxmlformats.org/officeDocument/2006/relationships/hyperlink" Target="https://in1.sugarondemand.com/" TargetMode="External"/><Relationship Id="rId521" Type="http://schemas.openxmlformats.org/officeDocument/2006/relationships/hyperlink" Target="https://in1.sugarondemand.com/" TargetMode="External"/><Relationship Id="rId95" Type="http://schemas.openxmlformats.org/officeDocument/2006/relationships/hyperlink" Target="https://in1.sugarondemand.com/" TargetMode="External"/><Relationship Id="rId160" Type="http://schemas.openxmlformats.org/officeDocument/2006/relationships/hyperlink" Target="https://in1.sugarondemand.com/" TargetMode="External"/><Relationship Id="rId216" Type="http://schemas.openxmlformats.org/officeDocument/2006/relationships/hyperlink" Target="https://in1.sugarondemand.com/" TargetMode="External"/><Relationship Id="rId423" Type="http://schemas.openxmlformats.org/officeDocument/2006/relationships/hyperlink" Target="https://in1.sugarondemand.com/" TargetMode="External"/><Relationship Id="rId258" Type="http://schemas.openxmlformats.org/officeDocument/2006/relationships/hyperlink" Target="https://in1.sugarondemand.com/" TargetMode="External"/><Relationship Id="rId465" Type="http://schemas.openxmlformats.org/officeDocument/2006/relationships/hyperlink" Target="https://in1.sugarondemand.com/" TargetMode="External"/><Relationship Id="rId22" Type="http://schemas.openxmlformats.org/officeDocument/2006/relationships/hyperlink" Target="https://in1.sugarondemand.com/" TargetMode="External"/><Relationship Id="rId64" Type="http://schemas.openxmlformats.org/officeDocument/2006/relationships/hyperlink" Target="https://in1.sugarondemand.com/" TargetMode="External"/><Relationship Id="rId118" Type="http://schemas.openxmlformats.org/officeDocument/2006/relationships/hyperlink" Target="https://in1.sugarondemand.com/" TargetMode="External"/><Relationship Id="rId325" Type="http://schemas.openxmlformats.org/officeDocument/2006/relationships/hyperlink" Target="https://in1.sugarondemand.com/" TargetMode="External"/><Relationship Id="rId367" Type="http://schemas.openxmlformats.org/officeDocument/2006/relationships/hyperlink" Target="https://in1.sugarondemand.com/" TargetMode="External"/><Relationship Id="rId532" Type="http://schemas.openxmlformats.org/officeDocument/2006/relationships/hyperlink" Target="https://in1.sugarondemand.com/" TargetMode="External"/><Relationship Id="rId171" Type="http://schemas.openxmlformats.org/officeDocument/2006/relationships/hyperlink" Target="https://in1.sugarondemand.com/" TargetMode="External"/><Relationship Id="rId227" Type="http://schemas.openxmlformats.org/officeDocument/2006/relationships/hyperlink" Target="https://in1.sugarondemand.com/" TargetMode="External"/><Relationship Id="rId269" Type="http://schemas.openxmlformats.org/officeDocument/2006/relationships/hyperlink" Target="https://in1.sugarondemand.com/" TargetMode="External"/><Relationship Id="rId434" Type="http://schemas.openxmlformats.org/officeDocument/2006/relationships/hyperlink" Target="https://in1.sugarondemand.com/" TargetMode="External"/><Relationship Id="rId476" Type="http://schemas.openxmlformats.org/officeDocument/2006/relationships/hyperlink" Target="https://in1.sugarondemand.com/" TargetMode="External"/><Relationship Id="rId33" Type="http://schemas.openxmlformats.org/officeDocument/2006/relationships/hyperlink" Target="https://in1.sugarondemand.com/" TargetMode="External"/><Relationship Id="rId129" Type="http://schemas.openxmlformats.org/officeDocument/2006/relationships/hyperlink" Target="https://in1.sugarondemand.com/" TargetMode="External"/><Relationship Id="rId280" Type="http://schemas.openxmlformats.org/officeDocument/2006/relationships/hyperlink" Target="https://in1.sugarondemand.com/" TargetMode="External"/><Relationship Id="rId336" Type="http://schemas.openxmlformats.org/officeDocument/2006/relationships/hyperlink" Target="https://in1.sugarondemand.com/" TargetMode="External"/><Relationship Id="rId501" Type="http://schemas.openxmlformats.org/officeDocument/2006/relationships/hyperlink" Target="https://in1.sugarondemand.com/" TargetMode="External"/><Relationship Id="rId543" Type="http://schemas.openxmlformats.org/officeDocument/2006/relationships/hyperlink" Target="https://in1.sugarondemand.com/" TargetMode="External"/><Relationship Id="rId75" Type="http://schemas.openxmlformats.org/officeDocument/2006/relationships/hyperlink" Target="https://in1.sugarondemand.com/" TargetMode="External"/><Relationship Id="rId140" Type="http://schemas.openxmlformats.org/officeDocument/2006/relationships/hyperlink" Target="https://in1.sugarondemand.com/" TargetMode="External"/><Relationship Id="rId182" Type="http://schemas.openxmlformats.org/officeDocument/2006/relationships/hyperlink" Target="https://in1.sugarondemand.com/" TargetMode="External"/><Relationship Id="rId378" Type="http://schemas.openxmlformats.org/officeDocument/2006/relationships/hyperlink" Target="https://in1.sugarondemand.com/" TargetMode="External"/><Relationship Id="rId403" Type="http://schemas.openxmlformats.org/officeDocument/2006/relationships/hyperlink" Target="https://in1.sugarondemand.com/" TargetMode="External"/><Relationship Id="rId6" Type="http://schemas.openxmlformats.org/officeDocument/2006/relationships/hyperlink" Target="https://in1.sugarondemand.com/" TargetMode="External"/><Relationship Id="rId238" Type="http://schemas.openxmlformats.org/officeDocument/2006/relationships/hyperlink" Target="https://in1.sugarondemand.com/" TargetMode="External"/><Relationship Id="rId445" Type="http://schemas.openxmlformats.org/officeDocument/2006/relationships/hyperlink" Target="https://in1.sugarondemand.com/" TargetMode="External"/><Relationship Id="rId487" Type="http://schemas.openxmlformats.org/officeDocument/2006/relationships/hyperlink" Target="https://in1.sugarondemand.com/" TargetMode="External"/><Relationship Id="rId291" Type="http://schemas.openxmlformats.org/officeDocument/2006/relationships/hyperlink" Target="https://in1.sugarondemand.com/" TargetMode="External"/><Relationship Id="rId305" Type="http://schemas.openxmlformats.org/officeDocument/2006/relationships/hyperlink" Target="https://in1.sugarondemand.com/" TargetMode="External"/><Relationship Id="rId347" Type="http://schemas.openxmlformats.org/officeDocument/2006/relationships/hyperlink" Target="https://in1.sugarondemand.com/" TargetMode="External"/><Relationship Id="rId512" Type="http://schemas.openxmlformats.org/officeDocument/2006/relationships/hyperlink" Target="https://in1.sugarondemand.com/" TargetMode="External"/><Relationship Id="rId44" Type="http://schemas.openxmlformats.org/officeDocument/2006/relationships/hyperlink" Target="https://in1.sugarondemand.com/" TargetMode="External"/><Relationship Id="rId86" Type="http://schemas.openxmlformats.org/officeDocument/2006/relationships/hyperlink" Target="https://in1.sugarondemand.com/" TargetMode="External"/><Relationship Id="rId151" Type="http://schemas.openxmlformats.org/officeDocument/2006/relationships/hyperlink" Target="https://in1.sugarondemand.com/" TargetMode="External"/><Relationship Id="rId389" Type="http://schemas.openxmlformats.org/officeDocument/2006/relationships/hyperlink" Target="https://in1.sugarondemand.com/" TargetMode="External"/><Relationship Id="rId554" Type="http://schemas.openxmlformats.org/officeDocument/2006/relationships/hyperlink" Target="https://in1.sugarondemand.com/" TargetMode="External"/><Relationship Id="rId193" Type="http://schemas.openxmlformats.org/officeDocument/2006/relationships/hyperlink" Target="https://in1.sugarondemand.com/" TargetMode="External"/><Relationship Id="rId207" Type="http://schemas.openxmlformats.org/officeDocument/2006/relationships/hyperlink" Target="https://in1.sugarondemand.com/" TargetMode="External"/><Relationship Id="rId249" Type="http://schemas.openxmlformats.org/officeDocument/2006/relationships/hyperlink" Target="https://in1.sugarondemand.com/" TargetMode="External"/><Relationship Id="rId414" Type="http://schemas.openxmlformats.org/officeDocument/2006/relationships/hyperlink" Target="https://in1.sugarondemand.com/" TargetMode="External"/><Relationship Id="rId456" Type="http://schemas.openxmlformats.org/officeDocument/2006/relationships/hyperlink" Target="https://in1.sugarondemand.com/" TargetMode="External"/><Relationship Id="rId498" Type="http://schemas.openxmlformats.org/officeDocument/2006/relationships/hyperlink" Target="https://in1.sugarondemand.com/" TargetMode="External"/><Relationship Id="rId13" Type="http://schemas.openxmlformats.org/officeDocument/2006/relationships/hyperlink" Target="https://in1.sugarondemand.com/" TargetMode="External"/><Relationship Id="rId109" Type="http://schemas.openxmlformats.org/officeDocument/2006/relationships/hyperlink" Target="https://in1.sugarondemand.com/" TargetMode="External"/><Relationship Id="rId260" Type="http://schemas.openxmlformats.org/officeDocument/2006/relationships/hyperlink" Target="https://in1.sugarondemand.com/" TargetMode="External"/><Relationship Id="rId316" Type="http://schemas.openxmlformats.org/officeDocument/2006/relationships/hyperlink" Target="https://in1.sugarondemand.com/" TargetMode="External"/><Relationship Id="rId523" Type="http://schemas.openxmlformats.org/officeDocument/2006/relationships/hyperlink" Target="https://in1.sugarondemand.com/" TargetMode="External"/><Relationship Id="rId55" Type="http://schemas.openxmlformats.org/officeDocument/2006/relationships/hyperlink" Target="https://in1.sugarondemand.com/" TargetMode="External"/><Relationship Id="rId97" Type="http://schemas.openxmlformats.org/officeDocument/2006/relationships/hyperlink" Target="https://in1.sugarondemand.com/" TargetMode="External"/><Relationship Id="rId120" Type="http://schemas.openxmlformats.org/officeDocument/2006/relationships/hyperlink" Target="https://in1.sugarondemand.com/" TargetMode="External"/><Relationship Id="rId358" Type="http://schemas.openxmlformats.org/officeDocument/2006/relationships/hyperlink" Target="https://in1.sugarondemand.com/" TargetMode="External"/><Relationship Id="rId162" Type="http://schemas.openxmlformats.org/officeDocument/2006/relationships/hyperlink" Target="https://in1.sugarondemand.com/" TargetMode="External"/><Relationship Id="rId218" Type="http://schemas.openxmlformats.org/officeDocument/2006/relationships/hyperlink" Target="https://in1.sugarondemand.com/" TargetMode="External"/><Relationship Id="rId425" Type="http://schemas.openxmlformats.org/officeDocument/2006/relationships/hyperlink" Target="https://in1.sugarondemand.com/" TargetMode="External"/><Relationship Id="rId467" Type="http://schemas.openxmlformats.org/officeDocument/2006/relationships/hyperlink" Target="https://in1.sugarondemand.com/" TargetMode="External"/><Relationship Id="rId271" Type="http://schemas.openxmlformats.org/officeDocument/2006/relationships/hyperlink" Target="https://in1.sugarondemand.com/" TargetMode="External"/><Relationship Id="rId24" Type="http://schemas.openxmlformats.org/officeDocument/2006/relationships/hyperlink" Target="https://in1.sugarondemand.com/" TargetMode="External"/><Relationship Id="rId66" Type="http://schemas.openxmlformats.org/officeDocument/2006/relationships/hyperlink" Target="https://in1.sugarondemand.com/" TargetMode="External"/><Relationship Id="rId131" Type="http://schemas.openxmlformats.org/officeDocument/2006/relationships/hyperlink" Target="https://in1.sugarondemand.com/" TargetMode="External"/><Relationship Id="rId327" Type="http://schemas.openxmlformats.org/officeDocument/2006/relationships/hyperlink" Target="https://in1.sugarondemand.com/" TargetMode="External"/><Relationship Id="rId369" Type="http://schemas.openxmlformats.org/officeDocument/2006/relationships/hyperlink" Target="https://in1.sugarondemand.com/" TargetMode="External"/><Relationship Id="rId534" Type="http://schemas.openxmlformats.org/officeDocument/2006/relationships/hyperlink" Target="https://in1.sugarondemand.com/" TargetMode="External"/><Relationship Id="rId173" Type="http://schemas.openxmlformats.org/officeDocument/2006/relationships/hyperlink" Target="https://in1.sugarondemand.com/" TargetMode="External"/><Relationship Id="rId229" Type="http://schemas.openxmlformats.org/officeDocument/2006/relationships/hyperlink" Target="https://in1.sugarondemand.com/" TargetMode="External"/><Relationship Id="rId380" Type="http://schemas.openxmlformats.org/officeDocument/2006/relationships/hyperlink" Target="https://in1.sugarondemand.com/" TargetMode="External"/><Relationship Id="rId436" Type="http://schemas.openxmlformats.org/officeDocument/2006/relationships/hyperlink" Target="https://in1.sugarondemand.com/" TargetMode="External"/><Relationship Id="rId240" Type="http://schemas.openxmlformats.org/officeDocument/2006/relationships/hyperlink" Target="https://in1.sugarondemand.com/" TargetMode="External"/><Relationship Id="rId478" Type="http://schemas.openxmlformats.org/officeDocument/2006/relationships/hyperlink" Target="https://in1.sugarondemand.com/" TargetMode="External"/><Relationship Id="rId35" Type="http://schemas.openxmlformats.org/officeDocument/2006/relationships/hyperlink" Target="https://in1.sugarondemand.com/" TargetMode="External"/><Relationship Id="rId77" Type="http://schemas.openxmlformats.org/officeDocument/2006/relationships/hyperlink" Target="https://in1.sugarondemand.com/" TargetMode="External"/><Relationship Id="rId100" Type="http://schemas.openxmlformats.org/officeDocument/2006/relationships/hyperlink" Target="https://in1.sugarondemand.com/" TargetMode="External"/><Relationship Id="rId282" Type="http://schemas.openxmlformats.org/officeDocument/2006/relationships/hyperlink" Target="https://in1.sugarondemand.com/" TargetMode="External"/><Relationship Id="rId338" Type="http://schemas.openxmlformats.org/officeDocument/2006/relationships/hyperlink" Target="https://in1.sugarondemand.com/" TargetMode="External"/><Relationship Id="rId503" Type="http://schemas.openxmlformats.org/officeDocument/2006/relationships/hyperlink" Target="https://in1.sugarondemand.com/" TargetMode="External"/><Relationship Id="rId545" Type="http://schemas.openxmlformats.org/officeDocument/2006/relationships/hyperlink" Target="https://in1.sugarondemand.com/" TargetMode="External"/><Relationship Id="rId8" Type="http://schemas.openxmlformats.org/officeDocument/2006/relationships/hyperlink" Target="https://in1.sugarondemand.com/" TargetMode="External"/><Relationship Id="rId142" Type="http://schemas.openxmlformats.org/officeDocument/2006/relationships/hyperlink" Target="https://in1.sugarondemand.com/" TargetMode="External"/><Relationship Id="rId184" Type="http://schemas.openxmlformats.org/officeDocument/2006/relationships/hyperlink" Target="https://in1.sugarondemand.com/" TargetMode="External"/><Relationship Id="rId391" Type="http://schemas.openxmlformats.org/officeDocument/2006/relationships/hyperlink" Target="https://in1.sugarondemand.com/" TargetMode="External"/><Relationship Id="rId405" Type="http://schemas.openxmlformats.org/officeDocument/2006/relationships/hyperlink" Target="https://in1.sugarondemand.com/" TargetMode="External"/><Relationship Id="rId447" Type="http://schemas.openxmlformats.org/officeDocument/2006/relationships/hyperlink" Target="https://in1.sugarondemand.com/" TargetMode="External"/><Relationship Id="rId251" Type="http://schemas.openxmlformats.org/officeDocument/2006/relationships/hyperlink" Target="https://in1.sugarondemand.com/" TargetMode="External"/><Relationship Id="rId489" Type="http://schemas.openxmlformats.org/officeDocument/2006/relationships/hyperlink" Target="https://in1.sugarondemand.com/" TargetMode="External"/><Relationship Id="rId46" Type="http://schemas.openxmlformats.org/officeDocument/2006/relationships/hyperlink" Target="https://in1.sugarondemand.com/" TargetMode="External"/><Relationship Id="rId293" Type="http://schemas.openxmlformats.org/officeDocument/2006/relationships/hyperlink" Target="https://in1.sugarondemand.com/" TargetMode="External"/><Relationship Id="rId307" Type="http://schemas.openxmlformats.org/officeDocument/2006/relationships/hyperlink" Target="https://in1.sugarondemand.com/" TargetMode="External"/><Relationship Id="rId349" Type="http://schemas.openxmlformats.org/officeDocument/2006/relationships/hyperlink" Target="https://in1.sugarondemand.com/" TargetMode="External"/><Relationship Id="rId514" Type="http://schemas.openxmlformats.org/officeDocument/2006/relationships/hyperlink" Target="https://in1.sugarondemand.com/" TargetMode="External"/><Relationship Id="rId556" Type="http://schemas.openxmlformats.org/officeDocument/2006/relationships/hyperlink" Target="https://in1.sugarondemand.com/" TargetMode="External"/><Relationship Id="rId88" Type="http://schemas.openxmlformats.org/officeDocument/2006/relationships/hyperlink" Target="https://in1.sugarondemand.com/" TargetMode="External"/><Relationship Id="rId111" Type="http://schemas.openxmlformats.org/officeDocument/2006/relationships/hyperlink" Target="https://in1.sugarondemand.com/" TargetMode="External"/><Relationship Id="rId153" Type="http://schemas.openxmlformats.org/officeDocument/2006/relationships/hyperlink" Target="https://in1.sugarondemand.com/" TargetMode="External"/><Relationship Id="rId195" Type="http://schemas.openxmlformats.org/officeDocument/2006/relationships/hyperlink" Target="https://in1.sugarondemand.com/" TargetMode="External"/><Relationship Id="rId209" Type="http://schemas.openxmlformats.org/officeDocument/2006/relationships/hyperlink" Target="https://in1.sugarondemand.com/" TargetMode="External"/><Relationship Id="rId360" Type="http://schemas.openxmlformats.org/officeDocument/2006/relationships/hyperlink" Target="https://in1.sugarondemand.com/" TargetMode="External"/><Relationship Id="rId416" Type="http://schemas.openxmlformats.org/officeDocument/2006/relationships/hyperlink" Target="https://in1.sugarondemand.com/" TargetMode="External"/><Relationship Id="rId220" Type="http://schemas.openxmlformats.org/officeDocument/2006/relationships/hyperlink" Target="https://in1.sugarondemand.com/" TargetMode="External"/><Relationship Id="rId458" Type="http://schemas.openxmlformats.org/officeDocument/2006/relationships/hyperlink" Target="https://in1.sugarondemand.com/" TargetMode="External"/><Relationship Id="rId15" Type="http://schemas.openxmlformats.org/officeDocument/2006/relationships/hyperlink" Target="https://in1.sugarondemand.com/" TargetMode="External"/><Relationship Id="rId57" Type="http://schemas.openxmlformats.org/officeDocument/2006/relationships/hyperlink" Target="https://in1.sugarondemand.com/" TargetMode="External"/><Relationship Id="rId262" Type="http://schemas.openxmlformats.org/officeDocument/2006/relationships/hyperlink" Target="https://in1.sugarondemand.com/" TargetMode="External"/><Relationship Id="rId318" Type="http://schemas.openxmlformats.org/officeDocument/2006/relationships/hyperlink" Target="https://in1.sugarondemand.com/" TargetMode="External"/><Relationship Id="rId525" Type="http://schemas.openxmlformats.org/officeDocument/2006/relationships/hyperlink" Target="https://in1.sugarondemand.com/" TargetMode="External"/><Relationship Id="rId99" Type="http://schemas.openxmlformats.org/officeDocument/2006/relationships/hyperlink" Target="https://in1.sugarondemand.com/" TargetMode="External"/><Relationship Id="rId122" Type="http://schemas.openxmlformats.org/officeDocument/2006/relationships/hyperlink" Target="https://in1.sugarondemand.com/" TargetMode="External"/><Relationship Id="rId164" Type="http://schemas.openxmlformats.org/officeDocument/2006/relationships/hyperlink" Target="https://in1.sugarondemand.com/" TargetMode="External"/><Relationship Id="rId371" Type="http://schemas.openxmlformats.org/officeDocument/2006/relationships/hyperlink" Target="https://in1.sugarondemand.com/" TargetMode="External"/><Relationship Id="rId427" Type="http://schemas.openxmlformats.org/officeDocument/2006/relationships/hyperlink" Target="https://in1.sugarondemand.com/" TargetMode="External"/><Relationship Id="rId469" Type="http://schemas.openxmlformats.org/officeDocument/2006/relationships/hyperlink" Target="https://in1.sugarondemand.com/" TargetMode="External"/><Relationship Id="rId26" Type="http://schemas.openxmlformats.org/officeDocument/2006/relationships/hyperlink" Target="https://in1.sugarondemand.com/" TargetMode="External"/><Relationship Id="rId231" Type="http://schemas.openxmlformats.org/officeDocument/2006/relationships/hyperlink" Target="https://in1.sugarondemand.com/" TargetMode="External"/><Relationship Id="rId273" Type="http://schemas.openxmlformats.org/officeDocument/2006/relationships/hyperlink" Target="https://in1.sugarondemand.com/" TargetMode="External"/><Relationship Id="rId329" Type="http://schemas.openxmlformats.org/officeDocument/2006/relationships/hyperlink" Target="https://in1.sugarondemand.com/" TargetMode="External"/><Relationship Id="rId480" Type="http://schemas.openxmlformats.org/officeDocument/2006/relationships/hyperlink" Target="https://in1.sugarondemand.com/" TargetMode="External"/><Relationship Id="rId536" Type="http://schemas.openxmlformats.org/officeDocument/2006/relationships/hyperlink" Target="https://in1.sugarondemand.com/" TargetMode="External"/><Relationship Id="rId68" Type="http://schemas.openxmlformats.org/officeDocument/2006/relationships/hyperlink" Target="https://in1.sugarondemand.com/" TargetMode="External"/><Relationship Id="rId133" Type="http://schemas.openxmlformats.org/officeDocument/2006/relationships/hyperlink" Target="https://in1.sugarondemand.com/" TargetMode="External"/><Relationship Id="rId175" Type="http://schemas.openxmlformats.org/officeDocument/2006/relationships/hyperlink" Target="https://in1.sugarondemand.com/" TargetMode="External"/><Relationship Id="rId340" Type="http://schemas.openxmlformats.org/officeDocument/2006/relationships/hyperlink" Target="https://in1.sugarondemand.com/" TargetMode="External"/><Relationship Id="rId200" Type="http://schemas.openxmlformats.org/officeDocument/2006/relationships/hyperlink" Target="https://in1.sugarondemand.com/" TargetMode="External"/><Relationship Id="rId382" Type="http://schemas.openxmlformats.org/officeDocument/2006/relationships/hyperlink" Target="https://in1.sugarondemand.com/" TargetMode="External"/><Relationship Id="rId438" Type="http://schemas.openxmlformats.org/officeDocument/2006/relationships/hyperlink" Target="https://in1.sugarondemand.com/" TargetMode="External"/><Relationship Id="rId242" Type="http://schemas.openxmlformats.org/officeDocument/2006/relationships/hyperlink" Target="https://in1.sugarondemand.com/" TargetMode="External"/><Relationship Id="rId284" Type="http://schemas.openxmlformats.org/officeDocument/2006/relationships/hyperlink" Target="https://in1.sugarondemand.com/" TargetMode="External"/><Relationship Id="rId491" Type="http://schemas.openxmlformats.org/officeDocument/2006/relationships/hyperlink" Target="https://in1.sugarondemand.com/" TargetMode="External"/><Relationship Id="rId505" Type="http://schemas.openxmlformats.org/officeDocument/2006/relationships/hyperlink" Target="https://in1.sugarondemand.com/" TargetMode="External"/><Relationship Id="rId37" Type="http://schemas.openxmlformats.org/officeDocument/2006/relationships/hyperlink" Target="https://in1.sugarondemand.com/" TargetMode="External"/><Relationship Id="rId79" Type="http://schemas.openxmlformats.org/officeDocument/2006/relationships/hyperlink" Target="https://in1.sugarondemand.com/" TargetMode="External"/><Relationship Id="rId102" Type="http://schemas.openxmlformats.org/officeDocument/2006/relationships/hyperlink" Target="https://in1.sugarondemand.com/" TargetMode="External"/><Relationship Id="rId144" Type="http://schemas.openxmlformats.org/officeDocument/2006/relationships/hyperlink" Target="https://in1.sugarondemand.com/" TargetMode="External"/><Relationship Id="rId547" Type="http://schemas.openxmlformats.org/officeDocument/2006/relationships/hyperlink" Target="https://in1.sugarondemand.com/" TargetMode="External"/><Relationship Id="rId90" Type="http://schemas.openxmlformats.org/officeDocument/2006/relationships/hyperlink" Target="https://in1.sugarondemand.com/" TargetMode="External"/><Relationship Id="rId186" Type="http://schemas.openxmlformats.org/officeDocument/2006/relationships/hyperlink" Target="https://in1.sugarondemand.com/" TargetMode="External"/><Relationship Id="rId351" Type="http://schemas.openxmlformats.org/officeDocument/2006/relationships/hyperlink" Target="https://in1.sugarondemand.com/" TargetMode="External"/><Relationship Id="rId393" Type="http://schemas.openxmlformats.org/officeDocument/2006/relationships/hyperlink" Target="https://in1.sugarondemand.com/" TargetMode="External"/><Relationship Id="rId407" Type="http://schemas.openxmlformats.org/officeDocument/2006/relationships/hyperlink" Target="https://in1.sugarondemand.com/" TargetMode="External"/><Relationship Id="rId449" Type="http://schemas.openxmlformats.org/officeDocument/2006/relationships/hyperlink" Target="https://in1.sugarondemand.com/" TargetMode="External"/><Relationship Id="rId211" Type="http://schemas.openxmlformats.org/officeDocument/2006/relationships/hyperlink" Target="https://in1.sugarondemand.com/" TargetMode="External"/><Relationship Id="rId253" Type="http://schemas.openxmlformats.org/officeDocument/2006/relationships/hyperlink" Target="https://in1.sugarondemand.com/" TargetMode="External"/><Relationship Id="rId295" Type="http://schemas.openxmlformats.org/officeDocument/2006/relationships/hyperlink" Target="https://in1.sugarondemand.com/" TargetMode="External"/><Relationship Id="rId309" Type="http://schemas.openxmlformats.org/officeDocument/2006/relationships/hyperlink" Target="https://in1.sugarondemand.com/" TargetMode="External"/><Relationship Id="rId460" Type="http://schemas.openxmlformats.org/officeDocument/2006/relationships/hyperlink" Target="https://in1.sugarondemand.com/" TargetMode="External"/><Relationship Id="rId516" Type="http://schemas.openxmlformats.org/officeDocument/2006/relationships/hyperlink" Target="https://in1.sugarondemand.com/" TargetMode="External"/><Relationship Id="rId48" Type="http://schemas.openxmlformats.org/officeDocument/2006/relationships/hyperlink" Target="https://in1.sugarondemand.com/" TargetMode="External"/><Relationship Id="rId113" Type="http://schemas.openxmlformats.org/officeDocument/2006/relationships/hyperlink" Target="https://in1.sugarondemand.com/" TargetMode="External"/><Relationship Id="rId320" Type="http://schemas.openxmlformats.org/officeDocument/2006/relationships/hyperlink" Target="https://in1.sugarondemand.com/" TargetMode="External"/><Relationship Id="rId558" Type="http://schemas.openxmlformats.org/officeDocument/2006/relationships/drawing" Target="../drawings/drawing2.xml"/><Relationship Id="rId155" Type="http://schemas.openxmlformats.org/officeDocument/2006/relationships/hyperlink" Target="https://in1.sugarondemand.com/" TargetMode="External"/><Relationship Id="rId197" Type="http://schemas.openxmlformats.org/officeDocument/2006/relationships/hyperlink" Target="https://in1.sugarondemand.com/" TargetMode="External"/><Relationship Id="rId362" Type="http://schemas.openxmlformats.org/officeDocument/2006/relationships/hyperlink" Target="https://in1.sugarondemand.com/" TargetMode="External"/><Relationship Id="rId418" Type="http://schemas.openxmlformats.org/officeDocument/2006/relationships/hyperlink" Target="https://in1.sugarondemand.com/" TargetMode="External"/><Relationship Id="rId222" Type="http://schemas.openxmlformats.org/officeDocument/2006/relationships/hyperlink" Target="https://in1.sugarondemand.com/" TargetMode="External"/><Relationship Id="rId264" Type="http://schemas.openxmlformats.org/officeDocument/2006/relationships/hyperlink" Target="https://in1.sugarondemand.com/" TargetMode="External"/><Relationship Id="rId471" Type="http://schemas.openxmlformats.org/officeDocument/2006/relationships/hyperlink" Target="https://in1.sugarondemand.com/" TargetMode="External"/><Relationship Id="rId17" Type="http://schemas.openxmlformats.org/officeDocument/2006/relationships/hyperlink" Target="https://in1.sugarondemand.com/" TargetMode="External"/><Relationship Id="rId59" Type="http://schemas.openxmlformats.org/officeDocument/2006/relationships/hyperlink" Target="https://in1.sugarondemand.com/" TargetMode="External"/><Relationship Id="rId124" Type="http://schemas.openxmlformats.org/officeDocument/2006/relationships/hyperlink" Target="https://in1.sugarondemand.com/" TargetMode="External"/><Relationship Id="rId527" Type="http://schemas.openxmlformats.org/officeDocument/2006/relationships/hyperlink" Target="https://in1.sugarondemand.com/" TargetMode="External"/><Relationship Id="rId70" Type="http://schemas.openxmlformats.org/officeDocument/2006/relationships/hyperlink" Target="https://in1.sugarondemand.com/" TargetMode="External"/><Relationship Id="rId166" Type="http://schemas.openxmlformats.org/officeDocument/2006/relationships/hyperlink" Target="https://in1.sugarondemand.com/" TargetMode="External"/><Relationship Id="rId331" Type="http://schemas.openxmlformats.org/officeDocument/2006/relationships/hyperlink" Target="https://in1.sugarondemand.com/" TargetMode="External"/><Relationship Id="rId373" Type="http://schemas.openxmlformats.org/officeDocument/2006/relationships/hyperlink" Target="https://in1.sugarondemand.com/" TargetMode="External"/><Relationship Id="rId429" Type="http://schemas.openxmlformats.org/officeDocument/2006/relationships/hyperlink" Target="https://in1.sugarondemand.com/" TargetMode="External"/><Relationship Id="rId1" Type="http://schemas.openxmlformats.org/officeDocument/2006/relationships/hyperlink" Target="https://in1.sugarondemand.com/" TargetMode="External"/><Relationship Id="rId233" Type="http://schemas.openxmlformats.org/officeDocument/2006/relationships/hyperlink" Target="https://in1.sugarondemand.com/" TargetMode="External"/><Relationship Id="rId440" Type="http://schemas.openxmlformats.org/officeDocument/2006/relationships/hyperlink" Target="https://in1.sugarondemand.com/" TargetMode="External"/><Relationship Id="rId28" Type="http://schemas.openxmlformats.org/officeDocument/2006/relationships/hyperlink" Target="https://in1.sugarondemand.com/" TargetMode="External"/><Relationship Id="rId275" Type="http://schemas.openxmlformats.org/officeDocument/2006/relationships/hyperlink" Target="https://in1.sugarondemand.com/" TargetMode="External"/><Relationship Id="rId300" Type="http://schemas.openxmlformats.org/officeDocument/2006/relationships/hyperlink" Target="https://in1.sugarondemand.com/" TargetMode="External"/><Relationship Id="rId482" Type="http://schemas.openxmlformats.org/officeDocument/2006/relationships/hyperlink" Target="https://in1.sugarondemand.com/" TargetMode="External"/><Relationship Id="rId538" Type="http://schemas.openxmlformats.org/officeDocument/2006/relationships/hyperlink" Target="https://in1.sugarondemand.com/" TargetMode="External"/><Relationship Id="rId81" Type="http://schemas.openxmlformats.org/officeDocument/2006/relationships/hyperlink" Target="https://in1.sugarondemand.com/" TargetMode="External"/><Relationship Id="rId135" Type="http://schemas.openxmlformats.org/officeDocument/2006/relationships/hyperlink" Target="https://in1.sugarondemand.com/" TargetMode="External"/><Relationship Id="rId177" Type="http://schemas.openxmlformats.org/officeDocument/2006/relationships/hyperlink" Target="https://in1.sugarondemand.com/" TargetMode="External"/><Relationship Id="rId342" Type="http://schemas.openxmlformats.org/officeDocument/2006/relationships/hyperlink" Target="https://in1.sugarondemand.com/" TargetMode="External"/><Relationship Id="rId384" Type="http://schemas.openxmlformats.org/officeDocument/2006/relationships/hyperlink" Target="https://in1.sugarondemand.com/" TargetMode="External"/><Relationship Id="rId202" Type="http://schemas.openxmlformats.org/officeDocument/2006/relationships/hyperlink" Target="https://in1.sugarondemand.com/" TargetMode="External"/><Relationship Id="rId244" Type="http://schemas.openxmlformats.org/officeDocument/2006/relationships/hyperlink" Target="https://in1.sugarondemand.com/" TargetMode="External"/><Relationship Id="rId39" Type="http://schemas.openxmlformats.org/officeDocument/2006/relationships/hyperlink" Target="https://in1.sugarondemand.com/" TargetMode="External"/><Relationship Id="rId286" Type="http://schemas.openxmlformats.org/officeDocument/2006/relationships/hyperlink" Target="https://in1.sugarondemand.com/" TargetMode="External"/><Relationship Id="rId451" Type="http://schemas.openxmlformats.org/officeDocument/2006/relationships/hyperlink" Target="https://in1.sugarondemand.com/" TargetMode="External"/><Relationship Id="rId493" Type="http://schemas.openxmlformats.org/officeDocument/2006/relationships/hyperlink" Target="https://in1.sugarondemand.com/" TargetMode="External"/><Relationship Id="rId507" Type="http://schemas.openxmlformats.org/officeDocument/2006/relationships/hyperlink" Target="https://in1.sugarondemand.com/" TargetMode="External"/><Relationship Id="rId549" Type="http://schemas.openxmlformats.org/officeDocument/2006/relationships/hyperlink" Target="https://in1.sugarondemand.com/" TargetMode="External"/><Relationship Id="rId50" Type="http://schemas.openxmlformats.org/officeDocument/2006/relationships/hyperlink" Target="https://in1.sugarondemand.com/" TargetMode="External"/><Relationship Id="rId104" Type="http://schemas.openxmlformats.org/officeDocument/2006/relationships/hyperlink" Target="https://in1.sugarondemand.com/" TargetMode="External"/><Relationship Id="rId146" Type="http://schemas.openxmlformats.org/officeDocument/2006/relationships/hyperlink" Target="https://in1.sugarondemand.com/" TargetMode="External"/><Relationship Id="rId188" Type="http://schemas.openxmlformats.org/officeDocument/2006/relationships/hyperlink" Target="https://in1.sugarondemand.com/" TargetMode="External"/><Relationship Id="rId311" Type="http://schemas.openxmlformats.org/officeDocument/2006/relationships/hyperlink" Target="https://in1.sugarondemand.com/" TargetMode="External"/><Relationship Id="rId353" Type="http://schemas.openxmlformats.org/officeDocument/2006/relationships/hyperlink" Target="https://in1.sugarondemand.com/" TargetMode="External"/><Relationship Id="rId395" Type="http://schemas.openxmlformats.org/officeDocument/2006/relationships/hyperlink" Target="https://in1.sugarondemand.com/" TargetMode="External"/><Relationship Id="rId409" Type="http://schemas.openxmlformats.org/officeDocument/2006/relationships/hyperlink" Target="https://in1.sugarondemand.com/" TargetMode="External"/><Relationship Id="rId92" Type="http://schemas.openxmlformats.org/officeDocument/2006/relationships/hyperlink" Target="https://in1.sugarondemand.com/" TargetMode="External"/><Relationship Id="rId213" Type="http://schemas.openxmlformats.org/officeDocument/2006/relationships/hyperlink" Target="https://in1.sugarondemand.com/" TargetMode="External"/><Relationship Id="rId420" Type="http://schemas.openxmlformats.org/officeDocument/2006/relationships/hyperlink" Target="https://in1.sugarondemand.com/" TargetMode="External"/><Relationship Id="rId255" Type="http://schemas.openxmlformats.org/officeDocument/2006/relationships/hyperlink" Target="https://in1.sugarondemand.com/" TargetMode="External"/><Relationship Id="rId297" Type="http://schemas.openxmlformats.org/officeDocument/2006/relationships/hyperlink" Target="https://in1.sugarondemand.com/" TargetMode="External"/><Relationship Id="rId462" Type="http://schemas.openxmlformats.org/officeDocument/2006/relationships/hyperlink" Target="https://in1.sugarondemand.com/" TargetMode="External"/><Relationship Id="rId518" Type="http://schemas.openxmlformats.org/officeDocument/2006/relationships/hyperlink" Target="https://in1.sugarondemand.com/" TargetMode="External"/><Relationship Id="rId115" Type="http://schemas.openxmlformats.org/officeDocument/2006/relationships/hyperlink" Target="https://in1.sugarondemand.com/" TargetMode="External"/><Relationship Id="rId157" Type="http://schemas.openxmlformats.org/officeDocument/2006/relationships/hyperlink" Target="https://in1.sugarondemand.com/" TargetMode="External"/><Relationship Id="rId322" Type="http://schemas.openxmlformats.org/officeDocument/2006/relationships/hyperlink" Target="https://in1.sugarondemand.com/" TargetMode="External"/><Relationship Id="rId364" Type="http://schemas.openxmlformats.org/officeDocument/2006/relationships/hyperlink" Target="https://in1.sugarondemand.com/" TargetMode="External"/><Relationship Id="rId61" Type="http://schemas.openxmlformats.org/officeDocument/2006/relationships/hyperlink" Target="https://in1.sugarondemand.com/" TargetMode="External"/><Relationship Id="rId199" Type="http://schemas.openxmlformats.org/officeDocument/2006/relationships/hyperlink" Target="https://in1.sugarondemand.com/" TargetMode="External"/><Relationship Id="rId19" Type="http://schemas.openxmlformats.org/officeDocument/2006/relationships/hyperlink" Target="https://in1.sugarondemand.com/" TargetMode="External"/><Relationship Id="rId224" Type="http://schemas.openxmlformats.org/officeDocument/2006/relationships/hyperlink" Target="https://in1.sugarondemand.com/" TargetMode="External"/><Relationship Id="rId266" Type="http://schemas.openxmlformats.org/officeDocument/2006/relationships/hyperlink" Target="https://in1.sugarondemand.com/" TargetMode="External"/><Relationship Id="rId431" Type="http://schemas.openxmlformats.org/officeDocument/2006/relationships/hyperlink" Target="https://in1.sugarondemand.com/" TargetMode="External"/><Relationship Id="rId473" Type="http://schemas.openxmlformats.org/officeDocument/2006/relationships/hyperlink" Target="https://in1.sugarondemand.com/" TargetMode="External"/><Relationship Id="rId529" Type="http://schemas.openxmlformats.org/officeDocument/2006/relationships/hyperlink" Target="https://in1.sugarondemand.com/" TargetMode="External"/><Relationship Id="rId30" Type="http://schemas.openxmlformats.org/officeDocument/2006/relationships/hyperlink" Target="https://in1.sugarondemand.com/" TargetMode="External"/><Relationship Id="rId126" Type="http://schemas.openxmlformats.org/officeDocument/2006/relationships/hyperlink" Target="https://in1.sugarondemand.com/" TargetMode="External"/><Relationship Id="rId168" Type="http://schemas.openxmlformats.org/officeDocument/2006/relationships/hyperlink" Target="https://in1.sugarondemand.com/" TargetMode="External"/><Relationship Id="rId333" Type="http://schemas.openxmlformats.org/officeDocument/2006/relationships/hyperlink" Target="https://in1.sugarondemand.com/" TargetMode="External"/><Relationship Id="rId540" Type="http://schemas.openxmlformats.org/officeDocument/2006/relationships/hyperlink" Target="https://in1.sugarondemand.com/" TargetMode="External"/><Relationship Id="rId72" Type="http://schemas.openxmlformats.org/officeDocument/2006/relationships/hyperlink" Target="https://in1.sugarondemand.com/" TargetMode="External"/><Relationship Id="rId375" Type="http://schemas.openxmlformats.org/officeDocument/2006/relationships/hyperlink" Target="https://in1.sugarondemand.com/" TargetMode="External"/><Relationship Id="rId3" Type="http://schemas.openxmlformats.org/officeDocument/2006/relationships/hyperlink" Target="https://in1.sugarondemand.com/" TargetMode="External"/><Relationship Id="rId235" Type="http://schemas.openxmlformats.org/officeDocument/2006/relationships/hyperlink" Target="https://in1.sugarondemand.com/" TargetMode="External"/><Relationship Id="rId277" Type="http://schemas.openxmlformats.org/officeDocument/2006/relationships/hyperlink" Target="https://in1.sugarondemand.com/" TargetMode="External"/><Relationship Id="rId400" Type="http://schemas.openxmlformats.org/officeDocument/2006/relationships/hyperlink" Target="https://in1.sugarondemand.com/" TargetMode="External"/><Relationship Id="rId442" Type="http://schemas.openxmlformats.org/officeDocument/2006/relationships/hyperlink" Target="https://in1.sugarondemand.com/" TargetMode="External"/><Relationship Id="rId484" Type="http://schemas.openxmlformats.org/officeDocument/2006/relationships/hyperlink" Target="https://in1.sugarondemand.com/" TargetMode="External"/><Relationship Id="rId137" Type="http://schemas.openxmlformats.org/officeDocument/2006/relationships/hyperlink" Target="https://in1.sugarondemand.com/" TargetMode="External"/><Relationship Id="rId302" Type="http://schemas.openxmlformats.org/officeDocument/2006/relationships/hyperlink" Target="https://in1.sugarondemand.com/" TargetMode="External"/><Relationship Id="rId344" Type="http://schemas.openxmlformats.org/officeDocument/2006/relationships/hyperlink" Target="https://in1.sugarondemand.com/" TargetMode="External"/><Relationship Id="rId41" Type="http://schemas.openxmlformats.org/officeDocument/2006/relationships/hyperlink" Target="https://in1.sugarondemand.com/" TargetMode="External"/><Relationship Id="rId83" Type="http://schemas.openxmlformats.org/officeDocument/2006/relationships/hyperlink" Target="https://in1.sugarondemand.com/" TargetMode="External"/><Relationship Id="rId179" Type="http://schemas.openxmlformats.org/officeDocument/2006/relationships/hyperlink" Target="https://in1.sugarondemand.com/" TargetMode="External"/><Relationship Id="rId386" Type="http://schemas.openxmlformats.org/officeDocument/2006/relationships/hyperlink" Target="https://in1.sugarondemand.com/" TargetMode="External"/><Relationship Id="rId551" Type="http://schemas.openxmlformats.org/officeDocument/2006/relationships/hyperlink" Target="https://in1.sugarondemand.com/" TargetMode="External"/><Relationship Id="rId190" Type="http://schemas.openxmlformats.org/officeDocument/2006/relationships/hyperlink" Target="https://in1.sugarondemand.com/" TargetMode="External"/><Relationship Id="rId204" Type="http://schemas.openxmlformats.org/officeDocument/2006/relationships/hyperlink" Target="https://in1.sugarondemand.com/" TargetMode="External"/><Relationship Id="rId246" Type="http://schemas.openxmlformats.org/officeDocument/2006/relationships/hyperlink" Target="https://in1.sugarondemand.com/" TargetMode="External"/><Relationship Id="rId288" Type="http://schemas.openxmlformats.org/officeDocument/2006/relationships/hyperlink" Target="https://in1.sugarondemand.com/" TargetMode="External"/><Relationship Id="rId411" Type="http://schemas.openxmlformats.org/officeDocument/2006/relationships/hyperlink" Target="https://in1.sugarondemand.com/" TargetMode="External"/><Relationship Id="rId453" Type="http://schemas.openxmlformats.org/officeDocument/2006/relationships/hyperlink" Target="https://in1.sugarondemand.com/" TargetMode="External"/><Relationship Id="rId509" Type="http://schemas.openxmlformats.org/officeDocument/2006/relationships/hyperlink" Target="https://in1.sugarondemand.com/" TargetMode="External"/><Relationship Id="rId106" Type="http://schemas.openxmlformats.org/officeDocument/2006/relationships/hyperlink" Target="https://in1.sugarondemand.com/" TargetMode="External"/><Relationship Id="rId313" Type="http://schemas.openxmlformats.org/officeDocument/2006/relationships/hyperlink" Target="https://in1.sugarondemand.com/" TargetMode="External"/><Relationship Id="rId495" Type="http://schemas.openxmlformats.org/officeDocument/2006/relationships/hyperlink" Target="https://in1.sugarondemand.com/" TargetMode="External"/><Relationship Id="rId10" Type="http://schemas.openxmlformats.org/officeDocument/2006/relationships/hyperlink" Target="https://in1.sugarondemand.com/" TargetMode="External"/><Relationship Id="rId52" Type="http://schemas.openxmlformats.org/officeDocument/2006/relationships/hyperlink" Target="https://in1.sugarondemand.com/" TargetMode="External"/><Relationship Id="rId94" Type="http://schemas.openxmlformats.org/officeDocument/2006/relationships/hyperlink" Target="https://in1.sugarondemand.com/" TargetMode="External"/><Relationship Id="rId148" Type="http://schemas.openxmlformats.org/officeDocument/2006/relationships/hyperlink" Target="https://in1.sugarondemand.com/" TargetMode="External"/><Relationship Id="rId355" Type="http://schemas.openxmlformats.org/officeDocument/2006/relationships/hyperlink" Target="https://in1.sugarondemand.com/" TargetMode="External"/><Relationship Id="rId397" Type="http://schemas.openxmlformats.org/officeDocument/2006/relationships/hyperlink" Target="https://in1.sugarondemand.com/" TargetMode="External"/><Relationship Id="rId520" Type="http://schemas.openxmlformats.org/officeDocument/2006/relationships/hyperlink" Target="https://in1.sugarondemand.com/" TargetMode="External"/><Relationship Id="rId215" Type="http://schemas.openxmlformats.org/officeDocument/2006/relationships/hyperlink" Target="https://in1.sugarondemand.com/" TargetMode="External"/><Relationship Id="rId257" Type="http://schemas.openxmlformats.org/officeDocument/2006/relationships/hyperlink" Target="https://in1.sugarondemand.com/" TargetMode="External"/><Relationship Id="rId422" Type="http://schemas.openxmlformats.org/officeDocument/2006/relationships/hyperlink" Target="https://in1.sugarondemand.com/" TargetMode="External"/><Relationship Id="rId464" Type="http://schemas.openxmlformats.org/officeDocument/2006/relationships/hyperlink" Target="https://in1.sugarondemand.com/" TargetMode="External"/><Relationship Id="rId299" Type="http://schemas.openxmlformats.org/officeDocument/2006/relationships/hyperlink" Target="https://in1.sugarondemand.com/" TargetMode="External"/><Relationship Id="rId63" Type="http://schemas.openxmlformats.org/officeDocument/2006/relationships/hyperlink" Target="https://in1.sugarondemand.com/" TargetMode="External"/><Relationship Id="rId159" Type="http://schemas.openxmlformats.org/officeDocument/2006/relationships/hyperlink" Target="https://in1.sugarondemand.com/" TargetMode="External"/><Relationship Id="rId366" Type="http://schemas.openxmlformats.org/officeDocument/2006/relationships/hyperlink" Target="https://in1.sugarondemand.com/" TargetMode="External"/><Relationship Id="rId226" Type="http://schemas.openxmlformats.org/officeDocument/2006/relationships/hyperlink" Target="https://in1.sugarondemand.com/" TargetMode="External"/><Relationship Id="rId433" Type="http://schemas.openxmlformats.org/officeDocument/2006/relationships/hyperlink" Target="https://in1.sugarondemand.com/" TargetMode="External"/><Relationship Id="rId74" Type="http://schemas.openxmlformats.org/officeDocument/2006/relationships/hyperlink" Target="https://in1.sugarondemand.com/" TargetMode="External"/><Relationship Id="rId377" Type="http://schemas.openxmlformats.org/officeDocument/2006/relationships/hyperlink" Target="https://in1.sugarondemand.com/" TargetMode="External"/><Relationship Id="rId500" Type="http://schemas.openxmlformats.org/officeDocument/2006/relationships/hyperlink" Target="https://in1.sugarondemand.com/" TargetMode="External"/><Relationship Id="rId5" Type="http://schemas.openxmlformats.org/officeDocument/2006/relationships/hyperlink" Target="https://in1.sugarondemand.com/" TargetMode="External"/><Relationship Id="rId237" Type="http://schemas.openxmlformats.org/officeDocument/2006/relationships/hyperlink" Target="https://in1.sugarondemand.com/" TargetMode="External"/><Relationship Id="rId444" Type="http://schemas.openxmlformats.org/officeDocument/2006/relationships/hyperlink" Target="https://in1.sugarondemand.com/" TargetMode="External"/><Relationship Id="rId290" Type="http://schemas.openxmlformats.org/officeDocument/2006/relationships/hyperlink" Target="https://in1.sugarondemand.com/" TargetMode="External"/><Relationship Id="rId304" Type="http://schemas.openxmlformats.org/officeDocument/2006/relationships/hyperlink" Target="https://in1.sugarondemand.com/" TargetMode="External"/><Relationship Id="rId388" Type="http://schemas.openxmlformats.org/officeDocument/2006/relationships/hyperlink" Target="https://in1.sugarondemand.com/" TargetMode="External"/><Relationship Id="rId511" Type="http://schemas.openxmlformats.org/officeDocument/2006/relationships/hyperlink" Target="https://in1.sugarondemand.com/" TargetMode="External"/><Relationship Id="rId85" Type="http://schemas.openxmlformats.org/officeDocument/2006/relationships/hyperlink" Target="https://in1.sugarondemand.com/" TargetMode="External"/><Relationship Id="rId150" Type="http://schemas.openxmlformats.org/officeDocument/2006/relationships/hyperlink" Target="https://in1.sugarondemand.com/" TargetMode="External"/><Relationship Id="rId248" Type="http://schemas.openxmlformats.org/officeDocument/2006/relationships/hyperlink" Target="https://in1.sugarondemand.com/" TargetMode="External"/><Relationship Id="rId455" Type="http://schemas.openxmlformats.org/officeDocument/2006/relationships/hyperlink" Target="https://in1.sugarondemand.com/" TargetMode="External"/><Relationship Id="rId12" Type="http://schemas.openxmlformats.org/officeDocument/2006/relationships/hyperlink" Target="https://in1.sugarondemand.com/" TargetMode="External"/><Relationship Id="rId108" Type="http://schemas.openxmlformats.org/officeDocument/2006/relationships/hyperlink" Target="https://in1.sugarondemand.com/" TargetMode="External"/><Relationship Id="rId315" Type="http://schemas.openxmlformats.org/officeDocument/2006/relationships/hyperlink" Target="https://in1.sugarondemand.com/" TargetMode="External"/><Relationship Id="rId522" Type="http://schemas.openxmlformats.org/officeDocument/2006/relationships/hyperlink" Target="https://in1.sugarondemand.com/" TargetMode="External"/><Relationship Id="rId96" Type="http://schemas.openxmlformats.org/officeDocument/2006/relationships/hyperlink" Target="https://in1.sugarondemand.com/" TargetMode="External"/><Relationship Id="rId161" Type="http://schemas.openxmlformats.org/officeDocument/2006/relationships/hyperlink" Target="https://in1.sugarondemand.com/" TargetMode="External"/><Relationship Id="rId399" Type="http://schemas.openxmlformats.org/officeDocument/2006/relationships/hyperlink" Target="https://in1.sugarondemand.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E16A40-5477-4422-B454-8A6A049BD775}">
  <sheetPr>
    <tabColor theme="4"/>
    <pageSetUpPr fitToPage="1"/>
  </sheetPr>
  <dimension ref="A1:W32"/>
  <sheetViews>
    <sheetView showGridLines="0" showRowColHeaders="0" zoomScaleNormal="100" workbookViewId="0">
      <selection activeCell="H17" sqref="H17:L20"/>
    </sheetView>
  </sheetViews>
  <sheetFormatPr defaultColWidth="9.28515625" defaultRowHeight="30" customHeight="1" x14ac:dyDescent="0.25"/>
  <cols>
    <col min="1" max="1" width="6.7109375" style="65" customWidth="1"/>
    <col min="2" max="2" width="27.5703125" style="78" customWidth="1"/>
    <col min="3" max="3" width="37.5703125" style="79" customWidth="1"/>
    <col min="4" max="4" width="23.7109375" style="65" customWidth="1"/>
    <col min="5" max="5" width="12.28515625" style="68" customWidth="1"/>
    <col min="6" max="6" width="16.28515625" style="65" bestFit="1" customWidth="1"/>
    <col min="7" max="7" width="11.28515625" style="65" customWidth="1"/>
    <col min="8" max="11" width="15.5703125" style="65" customWidth="1"/>
    <col min="12" max="12" width="11.7109375" style="65" customWidth="1"/>
    <col min="13" max="16384" width="9.28515625" style="65"/>
  </cols>
  <sheetData>
    <row r="1" spans="1:23" ht="54" customHeight="1" x14ac:dyDescent="0.25">
      <c r="A1" s="64"/>
      <c r="B1" s="179"/>
      <c r="C1" s="179"/>
      <c r="E1" s="65"/>
    </row>
    <row r="2" spans="1:23" ht="19.5" customHeight="1" x14ac:dyDescent="0.25">
      <c r="B2" s="180" t="s">
        <v>112</v>
      </c>
      <c r="C2" s="180"/>
      <c r="D2" s="180"/>
      <c r="E2" s="180"/>
      <c r="F2" s="180"/>
      <c r="G2" s="180"/>
      <c r="H2" s="180"/>
      <c r="I2" s="180"/>
      <c r="J2" s="180"/>
      <c r="K2" s="180"/>
      <c r="L2" s="180"/>
      <c r="M2" s="180" t="s">
        <v>112</v>
      </c>
      <c r="N2" s="180"/>
      <c r="O2" s="180"/>
      <c r="P2" s="180"/>
      <c r="Q2" s="180"/>
      <c r="R2" s="180"/>
      <c r="S2" s="180"/>
      <c r="T2" s="180"/>
      <c r="U2" s="180"/>
      <c r="V2" s="180"/>
      <c r="W2" s="180"/>
    </row>
    <row r="3" spans="1:23" ht="19.5" customHeight="1" x14ac:dyDescent="0.25">
      <c r="B3" s="180"/>
      <c r="C3" s="180"/>
      <c r="D3" s="180"/>
      <c r="E3" s="180"/>
      <c r="F3" s="180"/>
      <c r="G3" s="180"/>
      <c r="H3" s="180"/>
      <c r="I3" s="180"/>
      <c r="J3" s="180"/>
      <c r="K3" s="180"/>
      <c r="L3" s="180"/>
      <c r="M3" s="180"/>
      <c r="N3" s="180"/>
      <c r="O3" s="180"/>
      <c r="P3" s="180"/>
      <c r="Q3" s="180"/>
      <c r="R3" s="180"/>
      <c r="S3" s="180"/>
      <c r="T3" s="180"/>
      <c r="U3" s="180"/>
      <c r="V3" s="180"/>
      <c r="W3" s="180"/>
    </row>
    <row r="4" spans="1:23" ht="19.5" customHeight="1" x14ac:dyDescent="0.25">
      <c r="B4" s="180"/>
      <c r="C4" s="180"/>
      <c r="D4" s="180"/>
      <c r="E4" s="180"/>
      <c r="F4" s="180"/>
      <c r="G4" s="180"/>
      <c r="H4" s="180"/>
      <c r="I4" s="180"/>
      <c r="J4" s="180"/>
      <c r="K4" s="180"/>
      <c r="L4" s="180"/>
      <c r="M4" s="180"/>
      <c r="N4" s="180"/>
      <c r="O4" s="180"/>
      <c r="P4" s="180"/>
      <c r="Q4" s="180"/>
      <c r="R4" s="180"/>
      <c r="S4" s="180"/>
      <c r="T4" s="180"/>
      <c r="U4" s="180"/>
      <c r="V4" s="180"/>
      <c r="W4" s="180"/>
    </row>
    <row r="5" spans="1:23" ht="19.5" customHeight="1" x14ac:dyDescent="0.25">
      <c r="B5" s="180"/>
      <c r="C5" s="180"/>
      <c r="D5" s="180"/>
      <c r="E5" s="180"/>
      <c r="F5" s="180"/>
      <c r="G5" s="180"/>
      <c r="H5" s="180"/>
      <c r="I5" s="180"/>
      <c r="J5" s="180"/>
      <c r="K5" s="180"/>
      <c r="L5" s="180"/>
      <c r="M5" s="180"/>
      <c r="N5" s="180"/>
      <c r="O5" s="180"/>
      <c r="P5" s="180"/>
      <c r="Q5" s="180"/>
      <c r="R5" s="180"/>
      <c r="S5" s="180"/>
      <c r="T5" s="180"/>
      <c r="U5" s="180"/>
      <c r="V5" s="180"/>
      <c r="W5" s="180"/>
    </row>
    <row r="6" spans="1:23" ht="19.5" customHeight="1" x14ac:dyDescent="0.25">
      <c r="B6" s="180"/>
      <c r="C6" s="180"/>
      <c r="D6" s="180"/>
      <c r="E6" s="180"/>
      <c r="F6" s="180"/>
      <c r="G6" s="180"/>
      <c r="H6" s="180"/>
      <c r="I6" s="180"/>
      <c r="J6" s="180"/>
      <c r="K6" s="180"/>
      <c r="L6" s="180"/>
      <c r="M6" s="180"/>
      <c r="N6" s="180"/>
      <c r="O6" s="180"/>
      <c r="P6" s="180"/>
      <c r="Q6" s="180"/>
      <c r="R6" s="180"/>
      <c r="S6" s="180"/>
      <c r="T6" s="180"/>
      <c r="U6" s="180"/>
      <c r="V6" s="180"/>
      <c r="W6" s="180"/>
    </row>
    <row r="7" spans="1:23" ht="19.5" customHeight="1" x14ac:dyDescent="0.25">
      <c r="B7" s="180"/>
      <c r="C7" s="180"/>
      <c r="D7" s="180"/>
      <c r="E7" s="180"/>
      <c r="F7" s="180"/>
      <c r="G7" s="180"/>
      <c r="H7" s="180"/>
      <c r="I7" s="180"/>
      <c r="J7" s="180"/>
      <c r="K7" s="180"/>
      <c r="L7" s="180"/>
      <c r="M7" s="180"/>
      <c r="N7" s="180"/>
      <c r="O7" s="180"/>
      <c r="P7" s="180"/>
      <c r="Q7" s="180"/>
      <c r="R7" s="180"/>
      <c r="S7" s="180"/>
      <c r="T7" s="180"/>
      <c r="U7" s="180"/>
      <c r="V7" s="180"/>
      <c r="W7" s="180"/>
    </row>
    <row r="8" spans="1:23" ht="19.5" customHeight="1" x14ac:dyDescent="0.25">
      <c r="B8" s="180"/>
      <c r="C8" s="180"/>
      <c r="D8" s="180"/>
      <c r="E8" s="180"/>
      <c r="F8" s="180"/>
      <c r="G8" s="180"/>
      <c r="H8" s="180"/>
      <c r="I8" s="180"/>
      <c r="J8" s="180"/>
      <c r="K8" s="180"/>
      <c r="L8" s="180"/>
      <c r="M8" s="180"/>
      <c r="N8" s="180"/>
      <c r="O8" s="180"/>
      <c r="P8" s="180"/>
      <c r="Q8" s="180"/>
      <c r="R8" s="180"/>
      <c r="S8" s="180"/>
      <c r="T8" s="180"/>
      <c r="U8" s="180"/>
      <c r="V8" s="180"/>
      <c r="W8" s="180"/>
    </row>
    <row r="9" spans="1:23" ht="19.5" customHeight="1" x14ac:dyDescent="0.25">
      <c r="B9" s="180"/>
      <c r="C9" s="180"/>
      <c r="D9" s="180"/>
      <c r="E9" s="180"/>
      <c r="F9" s="180"/>
      <c r="G9" s="180"/>
      <c r="H9" s="180"/>
      <c r="I9" s="180"/>
      <c r="J9" s="180"/>
      <c r="K9" s="180"/>
      <c r="L9" s="180"/>
      <c r="M9" s="180"/>
      <c r="N9" s="180"/>
      <c r="O9" s="180"/>
      <c r="P9" s="180"/>
      <c r="Q9" s="180"/>
      <c r="R9" s="180"/>
      <c r="S9" s="180"/>
      <c r="T9" s="180"/>
      <c r="U9" s="180"/>
      <c r="V9" s="180"/>
      <c r="W9" s="180"/>
    </row>
    <row r="10" spans="1:23" ht="19.5" customHeight="1" x14ac:dyDescent="0.25">
      <c r="B10" s="180"/>
      <c r="C10" s="180"/>
      <c r="D10" s="180"/>
      <c r="E10" s="180"/>
      <c r="F10" s="180"/>
      <c r="G10" s="180"/>
      <c r="H10" s="180"/>
      <c r="I10" s="180"/>
      <c r="J10" s="180"/>
      <c r="K10" s="180"/>
      <c r="L10" s="180"/>
      <c r="M10" s="180"/>
      <c r="N10" s="180"/>
      <c r="O10" s="180"/>
      <c r="P10" s="180"/>
      <c r="Q10" s="180"/>
      <c r="R10" s="180"/>
      <c r="S10" s="180"/>
      <c r="T10" s="180"/>
      <c r="U10" s="180"/>
      <c r="V10" s="180"/>
      <c r="W10" s="180"/>
    </row>
    <row r="11" spans="1:23" ht="19.5" customHeight="1" x14ac:dyDescent="0.25">
      <c r="B11" s="180"/>
      <c r="C11" s="180"/>
      <c r="D11" s="180"/>
      <c r="E11" s="180"/>
      <c r="F11" s="180"/>
      <c r="G11" s="180"/>
      <c r="H11" s="180"/>
      <c r="I11" s="180"/>
      <c r="J11" s="180"/>
      <c r="K11" s="180"/>
      <c r="L11" s="180"/>
      <c r="M11" s="180"/>
      <c r="N11" s="180"/>
      <c r="O11" s="180"/>
      <c r="P11" s="180"/>
      <c r="Q11" s="180"/>
      <c r="R11" s="180"/>
      <c r="S11" s="180"/>
      <c r="T11" s="180"/>
      <c r="U11" s="180"/>
      <c r="V11" s="180"/>
      <c r="W11" s="180"/>
    </row>
    <row r="12" spans="1:23" ht="19.5" customHeight="1" x14ac:dyDescent="0.25">
      <c r="B12" s="180"/>
      <c r="C12" s="180"/>
      <c r="D12" s="180"/>
      <c r="E12" s="180"/>
      <c r="F12" s="180"/>
      <c r="G12" s="180"/>
      <c r="H12" s="180"/>
      <c r="I12" s="180"/>
      <c r="J12" s="180"/>
      <c r="K12" s="180"/>
      <c r="L12" s="180"/>
      <c r="M12" s="180"/>
      <c r="N12" s="180"/>
      <c r="O12" s="180"/>
      <c r="P12" s="180"/>
      <c r="Q12" s="180"/>
      <c r="R12" s="180"/>
      <c r="S12" s="180"/>
      <c r="T12" s="180"/>
      <c r="U12" s="180"/>
      <c r="V12" s="180"/>
      <c r="W12" s="180"/>
    </row>
    <row r="13" spans="1:23" ht="19.5" customHeight="1" x14ac:dyDescent="0.25">
      <c r="B13" s="180"/>
      <c r="C13" s="180"/>
      <c r="D13" s="180"/>
      <c r="E13" s="180"/>
      <c r="F13" s="180"/>
      <c r="G13" s="180"/>
      <c r="H13" s="180"/>
      <c r="I13" s="180"/>
      <c r="J13" s="180"/>
      <c r="K13" s="180"/>
      <c r="L13" s="180"/>
      <c r="M13" s="180"/>
      <c r="N13" s="180"/>
      <c r="O13" s="180"/>
      <c r="P13" s="180"/>
      <c r="Q13" s="180"/>
      <c r="R13" s="180"/>
      <c r="S13" s="180"/>
      <c r="T13" s="180"/>
      <c r="U13" s="180"/>
      <c r="V13" s="180"/>
      <c r="W13" s="180"/>
    </row>
    <row r="14" spans="1:23" ht="45" customHeight="1" x14ac:dyDescent="0.25">
      <c r="B14" s="180"/>
      <c r="C14" s="180"/>
      <c r="D14" s="180"/>
      <c r="E14" s="180"/>
      <c r="F14" s="180"/>
      <c r="G14" s="180"/>
      <c r="H14" s="180"/>
      <c r="I14" s="180"/>
      <c r="J14" s="180"/>
      <c r="K14" s="180"/>
      <c r="L14" s="180"/>
      <c r="M14" s="180"/>
      <c r="N14" s="180"/>
      <c r="O14" s="180"/>
      <c r="P14" s="180"/>
      <c r="Q14" s="180"/>
      <c r="R14" s="180"/>
      <c r="S14" s="180"/>
      <c r="T14" s="180"/>
      <c r="U14" s="180"/>
      <c r="V14" s="180"/>
      <c r="W14" s="180"/>
    </row>
    <row r="15" spans="1:23" s="66" customFormat="1" ht="42.75" customHeight="1" x14ac:dyDescent="0.25">
      <c r="B15" s="67" t="s">
        <v>113</v>
      </c>
      <c r="C15" s="67"/>
      <c r="E15" s="68"/>
      <c r="I15" s="68"/>
      <c r="K15" s="68"/>
    </row>
    <row r="16" spans="1:23" ht="30" customHeight="1" x14ac:dyDescent="0.25">
      <c r="B16" s="80" t="s">
        <v>114</v>
      </c>
      <c r="C16" s="81" t="s">
        <v>115</v>
      </c>
      <c r="D16" s="82" t="s">
        <v>116</v>
      </c>
      <c r="E16" s="83" t="s">
        <v>117</v>
      </c>
      <c r="F16" s="84" t="s">
        <v>118</v>
      </c>
      <c r="H16" s="181" t="s">
        <v>119</v>
      </c>
      <c r="I16" s="181"/>
      <c r="J16" s="69"/>
      <c r="L16" s="69"/>
    </row>
    <row r="17" spans="2:12" ht="30" customHeight="1" x14ac:dyDescent="0.25">
      <c r="B17" s="70">
        <f ca="1">DATE(YEAR(TODAY()),1,15)</f>
        <v>45306</v>
      </c>
      <c r="C17" s="71" t="s">
        <v>120</v>
      </c>
      <c r="D17" s="72" t="s">
        <v>121</v>
      </c>
      <c r="E17" s="73">
        <v>20</v>
      </c>
      <c r="F17" s="72">
        <f>0</f>
        <v>0</v>
      </c>
      <c r="H17" s="182" t="s">
        <v>122</v>
      </c>
      <c r="I17" s="182"/>
      <c r="J17" s="182"/>
      <c r="K17" s="182"/>
      <c r="L17" s="182"/>
    </row>
    <row r="18" spans="2:12" ht="30" customHeight="1" x14ac:dyDescent="0.25">
      <c r="B18" s="70">
        <f ca="1">DATE(YEAR(TODAY()),1,28)</f>
        <v>45319</v>
      </c>
      <c r="C18" s="71" t="s">
        <v>123</v>
      </c>
      <c r="D18" s="72" t="s">
        <v>121</v>
      </c>
      <c r="E18" s="73">
        <v>10</v>
      </c>
      <c r="F18" s="72">
        <f>0</f>
        <v>0</v>
      </c>
      <c r="H18" s="182"/>
      <c r="I18" s="182"/>
      <c r="J18" s="182"/>
      <c r="K18" s="182"/>
      <c r="L18" s="182"/>
    </row>
    <row r="19" spans="2:12" ht="30" customHeight="1" x14ac:dyDescent="0.25">
      <c r="B19" s="70">
        <f ca="1">DATE(YEAR(TODAY()),2,8)</f>
        <v>45330</v>
      </c>
      <c r="C19" s="71" t="s">
        <v>124</v>
      </c>
      <c r="D19" s="72" t="s">
        <v>125</v>
      </c>
      <c r="E19" s="73">
        <v>-10</v>
      </c>
      <c r="F19" s="72">
        <f>0</f>
        <v>0</v>
      </c>
      <c r="H19" s="182"/>
      <c r="I19" s="182"/>
      <c r="J19" s="182"/>
      <c r="K19" s="182"/>
      <c r="L19" s="182"/>
    </row>
    <row r="20" spans="2:12" ht="30" customHeight="1" x14ac:dyDescent="0.25">
      <c r="B20" s="70">
        <f ca="1">DATE(YEAR(TODAY()),2,9)</f>
        <v>45331</v>
      </c>
      <c r="C20" s="71" t="s">
        <v>126</v>
      </c>
      <c r="D20" s="72" t="s">
        <v>121</v>
      </c>
      <c r="E20" s="73">
        <v>10</v>
      </c>
      <c r="F20" s="72">
        <f>0</f>
        <v>0</v>
      </c>
      <c r="H20" s="182"/>
      <c r="I20" s="182"/>
      <c r="J20" s="182"/>
      <c r="K20" s="182"/>
      <c r="L20" s="182"/>
    </row>
    <row r="21" spans="2:12" ht="30" customHeight="1" x14ac:dyDescent="0.25">
      <c r="B21" s="70">
        <f ca="1">DATE(YEAR(TODAY()),2,19)</f>
        <v>45341</v>
      </c>
      <c r="C21" s="71" t="s">
        <v>127</v>
      </c>
      <c r="D21" s="72" t="s">
        <v>128</v>
      </c>
      <c r="E21" s="73">
        <v>-10</v>
      </c>
      <c r="F21" s="72">
        <f>0</f>
        <v>0</v>
      </c>
      <c r="H21" s="74"/>
      <c r="I21" s="74"/>
      <c r="J21" s="74"/>
      <c r="K21" s="74"/>
      <c r="L21" s="74"/>
    </row>
    <row r="22" spans="2:12" ht="30" customHeight="1" x14ac:dyDescent="0.25">
      <c r="B22" s="70">
        <f ca="1">DATE(YEAR(TODAY()),2,20)</f>
        <v>45342</v>
      </c>
      <c r="C22" s="71" t="s">
        <v>129</v>
      </c>
      <c r="D22" s="72" t="s">
        <v>130</v>
      </c>
      <c r="E22" s="73">
        <v>15</v>
      </c>
      <c r="F22" s="72">
        <f>0</f>
        <v>0</v>
      </c>
      <c r="H22" s="74"/>
      <c r="I22" s="74"/>
      <c r="J22" s="74"/>
      <c r="K22" s="74"/>
      <c r="L22" s="74"/>
    </row>
    <row r="23" spans="2:12" ht="30" customHeight="1" x14ac:dyDescent="0.25">
      <c r="B23" s="70">
        <f ca="1">DATE(YEAR(TODAY()),2,22)</f>
        <v>45344</v>
      </c>
      <c r="C23" s="71" t="s">
        <v>131</v>
      </c>
      <c r="D23" s="72" t="s">
        <v>121</v>
      </c>
      <c r="E23" s="73">
        <v>-15</v>
      </c>
      <c r="F23" s="72">
        <f>0</f>
        <v>0</v>
      </c>
      <c r="H23" s="74"/>
      <c r="I23" s="74"/>
      <c r="J23" s="74"/>
      <c r="K23" s="74"/>
      <c r="L23" s="74"/>
    </row>
    <row r="24" spans="2:12" ht="30" customHeight="1" x14ac:dyDescent="0.25">
      <c r="B24" s="70">
        <f ca="1">DATE(YEAR(TODAY()),2,27)</f>
        <v>45349</v>
      </c>
      <c r="C24" s="71" t="s">
        <v>132</v>
      </c>
      <c r="D24" s="72" t="s">
        <v>130</v>
      </c>
      <c r="E24" s="73">
        <v>10</v>
      </c>
      <c r="F24" s="72">
        <f>0</f>
        <v>0</v>
      </c>
      <c r="H24" s="74"/>
      <c r="I24" s="74"/>
      <c r="J24" s="74"/>
      <c r="K24" s="74"/>
      <c r="L24" s="74"/>
    </row>
    <row r="25" spans="2:12" ht="30" customHeight="1" x14ac:dyDescent="0.25">
      <c r="B25" s="70">
        <f ca="1">DATE(YEAR(TODAY()),3,4)</f>
        <v>45355</v>
      </c>
      <c r="C25" s="71" t="s">
        <v>133</v>
      </c>
      <c r="D25" s="72" t="s">
        <v>134</v>
      </c>
      <c r="E25" s="73">
        <v>-20</v>
      </c>
      <c r="F25" s="72">
        <f>0</f>
        <v>0</v>
      </c>
    </row>
    <row r="26" spans="2:12" ht="30" customHeight="1" x14ac:dyDescent="0.25">
      <c r="B26" s="70">
        <f ca="1">DATE(YEAR(TODAY()),3,7)</f>
        <v>45358</v>
      </c>
      <c r="C26" s="71" t="s">
        <v>135</v>
      </c>
      <c r="D26" s="72" t="s">
        <v>121</v>
      </c>
      <c r="E26" s="73">
        <v>20</v>
      </c>
      <c r="F26" s="72">
        <f>0</f>
        <v>0</v>
      </c>
      <c r="I26" s="75"/>
    </row>
    <row r="27" spans="2:12" ht="30" customHeight="1" x14ac:dyDescent="0.25">
      <c r="B27" s="70">
        <f ca="1">DATE(YEAR(TODAY()),3,11)</f>
        <v>45362</v>
      </c>
      <c r="C27" s="71" t="s">
        <v>136</v>
      </c>
      <c r="D27" s="72" t="s">
        <v>121</v>
      </c>
      <c r="E27" s="73">
        <v>-15</v>
      </c>
      <c r="F27" s="72">
        <f>0</f>
        <v>0</v>
      </c>
      <c r="H27" s="76"/>
    </row>
    <row r="28" spans="2:12" ht="30" customHeight="1" x14ac:dyDescent="0.25">
      <c r="B28" s="70">
        <f ca="1">DATE(YEAR(TODAY()),3,12)</f>
        <v>45363</v>
      </c>
      <c r="C28" s="71" t="s">
        <v>137</v>
      </c>
      <c r="D28" s="72" t="s">
        <v>121</v>
      </c>
      <c r="E28" s="73">
        <v>10</v>
      </c>
      <c r="F28" s="72">
        <f>0</f>
        <v>0</v>
      </c>
      <c r="H28" s="77"/>
    </row>
    <row r="29" spans="2:12" ht="30" customHeight="1" x14ac:dyDescent="0.25">
      <c r="B29" s="70">
        <f ca="1">DATE(YEAR(TODAY()),3,14)</f>
        <v>45365</v>
      </c>
      <c r="C29" s="71" t="s">
        <v>138</v>
      </c>
      <c r="D29" s="72" t="s">
        <v>121</v>
      </c>
      <c r="E29" s="73">
        <v>-5</v>
      </c>
      <c r="F29" s="72">
        <f>0</f>
        <v>0</v>
      </c>
      <c r="G29" s="77"/>
    </row>
    <row r="30" spans="2:12" ht="30" customHeight="1" x14ac:dyDescent="0.25">
      <c r="B30" s="70">
        <f ca="1">DATE(YEAR(TODAY()),3,18)</f>
        <v>45369</v>
      </c>
      <c r="C30" s="71" t="s">
        <v>139</v>
      </c>
      <c r="D30" s="72" t="s">
        <v>121</v>
      </c>
      <c r="E30" s="73">
        <v>5</v>
      </c>
      <c r="F30" s="65">
        <f>0</f>
        <v>0</v>
      </c>
    </row>
    <row r="31" spans="2:12" ht="30" customHeight="1" x14ac:dyDescent="0.25">
      <c r="B31" s="70">
        <f ca="1">DATE(YEAR(TODAY()),3,21)</f>
        <v>45372</v>
      </c>
      <c r="C31" s="71" t="s">
        <v>140</v>
      </c>
      <c r="D31" s="72" t="s">
        <v>121</v>
      </c>
      <c r="E31" s="73">
        <v>15</v>
      </c>
      <c r="F31" s="65">
        <f>0</f>
        <v>0</v>
      </c>
    </row>
    <row r="32" spans="2:12" ht="30" customHeight="1" x14ac:dyDescent="0.25">
      <c r="B32" s="70">
        <f ca="1">DATE(YEAR(TODAY()),3,31)</f>
        <v>45382</v>
      </c>
      <c r="C32" s="71" t="s">
        <v>141</v>
      </c>
      <c r="D32" s="72" t="s">
        <v>121</v>
      </c>
      <c r="E32" s="73">
        <v>5</v>
      </c>
      <c r="F32" s="65">
        <f>0</f>
        <v>0</v>
      </c>
    </row>
  </sheetData>
  <mergeCells count="5">
    <mergeCell ref="B1:C1"/>
    <mergeCell ref="B2:L14"/>
    <mergeCell ref="M2:W14"/>
    <mergeCell ref="H16:I16"/>
    <mergeCell ref="H17:L20"/>
  </mergeCells>
  <dataValidations count="8">
    <dataValidation allowBlank="1" showInputMessage="1" showErrorMessage="1" prompt="Dica da Linha do Tempo do Projeto está na célula abaixo" sqref="H16:I16" xr:uid="{8F1241AF-233E-436B-B83C-EE34B97637A8}"/>
    <dataValidation allowBlank="1" showInputMessage="1" showErrorMessage="1" prompt="Insira a posição do gráfico nesta coluna sob este título. A Dica da Linha do Tempo do Projeto está na célula à direita" sqref="E16" xr:uid="{C4CB73B0-EF75-4AB5-9EBF-43F737516DB7}"/>
    <dataValidation allowBlank="1" showInputMessage="1" showErrorMessage="1" prompt="Insira o nome Atribuído a nesta coluna sob este título" sqref="D16" xr:uid="{D3A494D7-BEDB-4BCE-BDE6-17D02106B844}"/>
    <dataValidation allowBlank="1" showInputMessage="1" showErrorMessage="1" prompt="Insira o Marco nesta coluna sob este título." sqref="C16" xr:uid="{24208B06-2C61-43DD-BF8F-094ADFB1EC61}"/>
    <dataValidation allowBlank="1" showInputMessage="1" showErrorMessage="1" prompt="Insira a Data nesta coluna sob este cabeçalho" sqref="B16" xr:uid="{DA481CA0-5281-4E91-A973-01CB0BD590BF}"/>
    <dataValidation allowBlank="1" showInputMessage="1" showErrorMessage="1" prompt="Insira os detalhes do projeto na tabela abaixo" sqref="B15" xr:uid="{6B399864-F6DE-4BDE-800F-9ADA1B68F16A}"/>
    <dataValidation allowBlank="1" showInputMessage="1" showErrorMessage="1" prompt="O título desta planilha está nesta célula. O gráfico de linhas que mostra cada marco no período de tempo correspondente está na célula abaixo" sqref="B1:C1" xr:uid="{B8E5FCAF-4B76-4167-AFAC-69E7D43A59AB}"/>
    <dataValidation allowBlank="1" showInputMessage="1" showErrorMessage="1" prompt="Crie uma linha do tempo do projeto com marcos nesta planilha. Digite os detalhes na tabela Detalhes do Projeto. O gráfico está na célula B2 e a dica está na célula H17" sqref="A1" xr:uid="{970365C6-A88F-47F1-8D89-9DAA04718523}"/>
  </dataValidations>
  <printOptions horizontalCentered="1"/>
  <pageMargins left="0.7" right="0.7" top="0.75" bottom="0.75" header="0.3" footer="0.3"/>
  <pageSetup paperSize="9" scale="71" orientation="landscape" r:id="rId1"/>
  <headerFooter differentFirst="1">
    <oddFooter>Page &amp;P of &amp;N</oddFoot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B7E99-B15E-496E-8211-2D0F8CD52024}">
  <dimension ref="C1:V67"/>
  <sheetViews>
    <sheetView showGridLines="0" topLeftCell="E3" zoomScale="70" zoomScaleNormal="70" workbookViewId="0">
      <selection activeCell="Q8" sqref="Q8"/>
    </sheetView>
  </sheetViews>
  <sheetFormatPr defaultColWidth="31.42578125" defaultRowHeight="14.25" x14ac:dyDescent="0.2"/>
  <cols>
    <col min="1" max="2" width="7.28515625" style="1" customWidth="1"/>
    <col min="3" max="6" width="31.42578125" style="1"/>
    <col min="7" max="7" width="30.7109375" style="1" bestFit="1" customWidth="1"/>
    <col min="8" max="11" width="31.42578125" style="1"/>
    <col min="12" max="12" width="34.85546875" style="1" customWidth="1"/>
    <col min="13" max="13" width="13.7109375" style="1" customWidth="1"/>
    <col min="14" max="14" width="39.85546875" style="1" bestFit="1" customWidth="1"/>
    <col min="15" max="15" width="4.42578125" style="1" customWidth="1"/>
    <col min="16" max="16" width="4.85546875" style="1" customWidth="1"/>
    <col min="17" max="17" width="32.140625" style="1" customWidth="1"/>
    <col min="18" max="18" width="31.42578125" style="1"/>
    <col min="19" max="19" width="37.28515625" style="1" customWidth="1"/>
    <col min="20" max="16384" width="31.42578125" style="1"/>
  </cols>
  <sheetData>
    <row r="1" spans="3:22" x14ac:dyDescent="0.2">
      <c r="K1" s="14" t="str">
        <f>IF(OR($K$3="Não",$K$3=""),"",5)</f>
        <v/>
      </c>
      <c r="L1" s="14" t="str">
        <f>IF(OR($L$3="Não",$L$3=""),"",1)</f>
        <v/>
      </c>
      <c r="M1" s="15"/>
      <c r="N1" s="23">
        <v>2000</v>
      </c>
      <c r="O1" s="17"/>
      <c r="P1" s="16"/>
      <c r="Q1" s="2"/>
      <c r="R1" s="2"/>
      <c r="S1" s="2"/>
      <c r="T1" s="2"/>
      <c r="U1" s="2"/>
      <c r="V1" s="2"/>
    </row>
    <row r="2" spans="3:22" ht="25.5" x14ac:dyDescent="0.2">
      <c r="C2" s="183" t="s">
        <v>0</v>
      </c>
      <c r="D2" s="43" t="s">
        <v>1</v>
      </c>
      <c r="E2" s="43" t="s">
        <v>2</v>
      </c>
      <c r="F2" s="43" t="s">
        <v>3</v>
      </c>
      <c r="G2" s="43" t="s">
        <v>4</v>
      </c>
      <c r="H2" s="43" t="s">
        <v>5</v>
      </c>
      <c r="I2" s="43" t="s">
        <v>6</v>
      </c>
      <c r="J2" s="43" t="s">
        <v>7</v>
      </c>
      <c r="K2" s="44" t="s">
        <v>8</v>
      </c>
      <c r="L2" s="44" t="s">
        <v>9</v>
      </c>
      <c r="M2" s="3">
        <v>50</v>
      </c>
      <c r="N2" s="52" t="s">
        <v>10</v>
      </c>
      <c r="O2" s="16"/>
      <c r="P2" s="14"/>
      <c r="Q2" s="2"/>
      <c r="R2" s="2"/>
      <c r="S2" s="2"/>
      <c r="T2" s="2"/>
      <c r="U2" s="2"/>
      <c r="V2" s="2"/>
    </row>
    <row r="3" spans="3:22" ht="26.25" x14ac:dyDescent="0.2">
      <c r="C3" s="184"/>
      <c r="D3" s="13"/>
      <c r="E3" s="13"/>
      <c r="F3" s="24"/>
      <c r="G3" s="24"/>
      <c r="H3" s="13"/>
      <c r="I3" s="37"/>
      <c r="J3" s="13"/>
      <c r="K3" s="38"/>
      <c r="L3" s="38"/>
      <c r="M3" s="3">
        <f>IF(OR(K3="Sim",L3="Sim"),COUNTA($D$3:$L$3,$K$5:$L$5),COUNTA($D$3:$J$3,$K$5:$L$5))</f>
        <v>0</v>
      </c>
      <c r="N3" s="53">
        <f>IFERROR(SUM(VLOOKUP($F$3,$K$51:$N$58,4,0),VLOOKUP(G3,$L$51:$O$56,4,0))/N1,0)</f>
        <v>0</v>
      </c>
      <c r="O3" s="18"/>
      <c r="P3" s="15"/>
      <c r="Q3" s="52" t="s">
        <v>109</v>
      </c>
      <c r="S3" s="3">
        <f>SUM($Q$5:$V$6,$Q$13:$V$13)/$R$4</f>
        <v>3.125E-2</v>
      </c>
      <c r="T3" s="2"/>
      <c r="U3" s="2"/>
      <c r="V3" s="2"/>
    </row>
    <row r="4" spans="3:22" ht="38.25" x14ac:dyDescent="0.2">
      <c r="C4" s="43" t="s">
        <v>2536</v>
      </c>
      <c r="D4" s="54" t="s">
        <v>102</v>
      </c>
      <c r="E4" s="54" t="s">
        <v>103</v>
      </c>
      <c r="G4" s="4"/>
      <c r="H4" s="4"/>
      <c r="I4" s="4"/>
      <c r="K4" s="45" t="s">
        <v>11</v>
      </c>
      <c r="L4" s="46" t="s">
        <v>11</v>
      </c>
      <c r="M4" s="3"/>
      <c r="N4" s="52" t="s">
        <v>104</v>
      </c>
      <c r="O4" s="16"/>
      <c r="P4" s="16"/>
      <c r="Q4" s="61">
        <f>AVERAGE(N3,N5,N8,N18,S3)</f>
        <v>6.2500000000000003E-3</v>
      </c>
      <c r="R4" s="3">
        <v>480</v>
      </c>
      <c r="S4" s="2"/>
      <c r="T4" s="2"/>
      <c r="U4" s="2"/>
      <c r="V4" s="2"/>
    </row>
    <row r="5" spans="3:22" ht="34.5" customHeight="1" x14ac:dyDescent="0.2">
      <c r="C5" s="33"/>
      <c r="D5" s="39"/>
      <c r="E5" s="39"/>
      <c r="F5" s="4"/>
      <c r="G5" s="4"/>
      <c r="H5" s="4"/>
      <c r="I5" s="4"/>
      <c r="J5" s="4"/>
      <c r="K5" s="40"/>
      <c r="L5" s="40"/>
      <c r="M5" s="3">
        <f>COUNTA($K$5:$L$5)</f>
        <v>0</v>
      </c>
      <c r="N5" s="53">
        <f>SUM($L$1,$K$1,$K$6,$L$6,$M$5,$M$3,$D$6,$E$6)/$M$2</f>
        <v>0</v>
      </c>
      <c r="O5" s="16"/>
      <c r="P5" s="16"/>
      <c r="Q5" s="23">
        <f t="shared" ref="Q5:V5" si="0">IF(Q10="",0,30)</f>
        <v>0</v>
      </c>
      <c r="R5" s="23">
        <f t="shared" si="0"/>
        <v>0</v>
      </c>
      <c r="S5" s="23">
        <f t="shared" si="0"/>
        <v>0</v>
      </c>
      <c r="T5" s="23">
        <f t="shared" si="0"/>
        <v>0</v>
      </c>
      <c r="U5" s="23">
        <f t="shared" si="0"/>
        <v>0</v>
      </c>
      <c r="V5" s="23">
        <f t="shared" si="0"/>
        <v>0</v>
      </c>
    </row>
    <row r="6" spans="3:22" x14ac:dyDescent="0.2">
      <c r="C6" s="5"/>
      <c r="D6" s="23" t="str">
        <f>IF(OR($D$5="Não",$D$5=""),"",16)</f>
        <v/>
      </c>
      <c r="E6" s="23" t="str">
        <f>IF(OR($E$5="Não",$E$5=""),"",10)</f>
        <v/>
      </c>
      <c r="F6" s="4"/>
      <c r="G6" s="4"/>
      <c r="H6" s="4"/>
      <c r="I6" s="4"/>
      <c r="J6" s="4"/>
      <c r="K6" s="23">
        <f>IF(K5="",0,3)</f>
        <v>0</v>
      </c>
      <c r="L6" s="23">
        <f>IF(L5="",0,2)</f>
        <v>0</v>
      </c>
      <c r="M6" s="23"/>
      <c r="N6" s="16"/>
      <c r="O6" s="16"/>
      <c r="P6" s="14"/>
      <c r="Q6" s="23">
        <f>IF(Q8="Tableau",VLOOKUP(Q8,$F$50:$M$55,8,FALSE),
IF(Q8="Qlik",VLOOKUP(Q8,$F$50:$M$55,8,FALSE),
IF(Q8="Power BI",VLOOKUP(Q8,$F$50:$M$55,8,FALSE),
IF(Q8="Outro",VLOOKUP(Q8,$F$50:$M$55,8,FALSE),
IF(Q8="Nenhum",VLOOKUP(Q8,$F$50:$M$55,8,FALSE),0)))))</f>
        <v>15</v>
      </c>
      <c r="R6" s="23">
        <f>IF(R8="Snowflake",VLOOKUP(R8,G50:Q57,11,FALSE),
IF(R8="Data Bricks",VLOOKUP(R8,G50:Q57,11,FALSE),
IF(R8="AWS",VLOOKUP(R8,G50:Q57,11,FALSE),
IF(R8="GCP",VLOOKUP(R8,G50:Q57,11,FALSE),
IF(R8="Azure",VLOOKUP(R8,G50:Q57,11,FALSE),IF(R8="Outro",VLOOKUP(R8,G50:Q57,11,FALSE),IF(R8="Nenhum",VLOOKUP(R8,G50:Q57,11,FALSE),0)))))))</f>
        <v>0</v>
      </c>
      <c r="S6" s="23">
        <f>IF(S8="Automation Anywhere",VLOOKUP(S8,H50:R57,11,FALSE),
IF(S8="UI Path",VLOOKUP(S8,H50:R57,11,FALSE),
IF(S8="BotCity",VLOOKUP(S8,H50:R57,11,FALSE),
IF(S8="Power Automate",VLOOKUP(S8,H50:R57,11,FALSE),
IF(S8="Outro",VLOOKUP(S8,H50:R57,11,FALSE),IF(S8="Nenhum",VLOOKUP(S8,H50:R57,11,FALSE),0))))))</f>
        <v>0</v>
      </c>
      <c r="T6" s="23">
        <f>IF(T8="H2O",VLOOKUP(T8,I50:S57,11,FALSE),
IF(T8="Data Robot",VLOOKUP(T8,I50:S57,11,FALSE),
IF(T8="Chat GPT",VLOOKUP(T8,I50:S57,11,FALSE),
IF(T8="Bard",VLOOKUP(T8,I50:S57,11,FALSE),
IF(T8="Gemini",VLOOKUP(T8,I50:S57,11,FALSE),IF(T8="Outro",VLOOKUP(T8,I50:S57,11,FALSE),IF(T8="Nenhum",VLOOKUP(T8,I50:S57,11,FALSE),0)))))))</f>
        <v>0</v>
      </c>
      <c r="U6" s="23" t="b">
        <f>IF(U8="Não",30,IF(U8="Sim",10))</f>
        <v>0</v>
      </c>
      <c r="V6" s="23">
        <f>IF(V8="",0,30)</f>
        <v>0</v>
      </c>
    </row>
    <row r="7" spans="3:22" ht="28.5" customHeight="1" x14ac:dyDescent="0.25">
      <c r="C7" s="51" t="s">
        <v>12</v>
      </c>
      <c r="D7" s="42" t="s">
        <v>13</v>
      </c>
      <c r="E7" s="42" t="s">
        <v>14</v>
      </c>
      <c r="F7" s="42" t="s">
        <v>15</v>
      </c>
      <c r="G7" s="42" t="s">
        <v>16</v>
      </c>
      <c r="H7" s="42" t="s">
        <v>17</v>
      </c>
      <c r="I7" s="42" t="s">
        <v>18</v>
      </c>
      <c r="J7" s="42" t="s">
        <v>19</v>
      </c>
      <c r="K7" s="42" t="s">
        <v>20</v>
      </c>
      <c r="L7" s="42" t="s">
        <v>21</v>
      </c>
      <c r="M7" s="42" t="s">
        <v>22</v>
      </c>
      <c r="N7" s="42" t="s">
        <v>23</v>
      </c>
      <c r="O7" s="16"/>
      <c r="P7" s="19"/>
      <c r="Q7" s="42" t="s">
        <v>108</v>
      </c>
      <c r="R7" s="42" t="s">
        <v>107</v>
      </c>
      <c r="S7" s="42" t="s">
        <v>24</v>
      </c>
      <c r="T7" s="42" t="s">
        <v>106</v>
      </c>
      <c r="U7" s="42" t="s">
        <v>25</v>
      </c>
      <c r="V7" s="42" t="s">
        <v>26</v>
      </c>
    </row>
    <row r="8" spans="3:22" ht="39.75" customHeight="1" x14ac:dyDescent="0.25">
      <c r="C8" s="6" t="s">
        <v>27</v>
      </c>
      <c r="D8" s="32"/>
      <c r="E8" s="32"/>
      <c r="F8" s="32"/>
      <c r="G8" s="127"/>
      <c r="H8" s="32"/>
      <c r="I8" s="32"/>
      <c r="J8" s="33"/>
      <c r="K8" s="33"/>
      <c r="L8" s="34"/>
      <c r="M8" s="47" t="str">
        <f>IFERROR(SUM(VLOOKUP(L8,$J$51:$P$57,7,0),K8,J8)/O8,"")</f>
        <v/>
      </c>
      <c r="N8" s="185">
        <f>IFERROR($M$16/$N$16,"")</f>
        <v>0</v>
      </c>
      <c r="O8" s="23">
        <v>25</v>
      </c>
      <c r="P8" s="41" t="str">
        <f t="shared" ref="P8:P15" si="1">IFERROR(SUM(VLOOKUP(L8,$J$51:$P$57,7,0),K8,J8),"")</f>
        <v/>
      </c>
      <c r="Q8" s="24" t="s">
        <v>67</v>
      </c>
      <c r="R8" s="24"/>
      <c r="S8" s="24"/>
      <c r="T8" s="24"/>
      <c r="U8" s="24"/>
      <c r="V8" s="25"/>
    </row>
    <row r="9" spans="3:22" ht="39.75" customHeight="1" x14ac:dyDescent="0.25">
      <c r="C9" s="7" t="s">
        <v>28</v>
      </c>
      <c r="D9" s="35"/>
      <c r="E9" s="35"/>
      <c r="F9" s="35"/>
      <c r="G9" s="35"/>
      <c r="H9" s="35"/>
      <c r="I9" s="35"/>
      <c r="J9" s="33"/>
      <c r="K9" s="33"/>
      <c r="L9" s="34"/>
      <c r="M9" s="47" t="str">
        <f t="shared" ref="M9:M15" si="2">IFERROR(SUM(VLOOKUP(L9,$J$51:$P$57,7,0),K9,J9)/O9,"")</f>
        <v/>
      </c>
      <c r="N9" s="186"/>
      <c r="O9" s="23">
        <v>25</v>
      </c>
      <c r="P9" s="41" t="str">
        <f t="shared" si="1"/>
        <v/>
      </c>
      <c r="Q9" s="42" t="s">
        <v>29</v>
      </c>
      <c r="R9" s="42" t="s">
        <v>29</v>
      </c>
      <c r="S9" s="42" t="s">
        <v>29</v>
      </c>
      <c r="T9" s="42" t="s">
        <v>29</v>
      </c>
      <c r="U9" s="42" t="s">
        <v>30</v>
      </c>
      <c r="V9" s="42" t="s">
        <v>31</v>
      </c>
    </row>
    <row r="10" spans="3:22" ht="39.75" customHeight="1" x14ac:dyDescent="0.25">
      <c r="C10" s="7" t="s">
        <v>32</v>
      </c>
      <c r="D10" s="35"/>
      <c r="E10" s="35"/>
      <c r="F10" s="35"/>
      <c r="G10" s="35"/>
      <c r="H10" s="35"/>
      <c r="I10" s="35"/>
      <c r="J10" s="33"/>
      <c r="K10" s="33"/>
      <c r="L10" s="34"/>
      <c r="M10" s="47" t="str">
        <f t="shared" si="2"/>
        <v/>
      </c>
      <c r="N10" s="186"/>
      <c r="O10" s="23">
        <v>25</v>
      </c>
      <c r="P10" s="41" t="str">
        <f t="shared" si="1"/>
        <v/>
      </c>
      <c r="Q10" s="13"/>
      <c r="R10" s="13"/>
      <c r="S10" s="13"/>
      <c r="T10" s="13"/>
      <c r="U10" s="13"/>
      <c r="V10" s="13"/>
    </row>
    <row r="11" spans="3:22" ht="39.75" customHeight="1" x14ac:dyDescent="0.25">
      <c r="C11" s="7" t="s">
        <v>33</v>
      </c>
      <c r="D11" s="35"/>
      <c r="E11" s="35"/>
      <c r="F11" s="35"/>
      <c r="G11" s="35"/>
      <c r="H11" s="35"/>
      <c r="I11" s="35"/>
      <c r="J11" s="33"/>
      <c r="K11" s="33"/>
      <c r="L11" s="34"/>
      <c r="M11" s="47" t="str">
        <f t="shared" si="2"/>
        <v/>
      </c>
      <c r="N11" s="186"/>
      <c r="O11" s="23">
        <v>25</v>
      </c>
      <c r="P11" s="41" t="str">
        <f t="shared" si="1"/>
        <v/>
      </c>
      <c r="Q11" s="42" t="s">
        <v>93</v>
      </c>
      <c r="R11" s="42" t="s">
        <v>93</v>
      </c>
      <c r="S11" s="42" t="s">
        <v>93</v>
      </c>
      <c r="T11" s="42" t="s">
        <v>93</v>
      </c>
      <c r="U11" s="42" t="s">
        <v>93</v>
      </c>
      <c r="V11" s="11"/>
    </row>
    <row r="12" spans="3:22" ht="39.75" customHeight="1" x14ac:dyDescent="0.25">
      <c r="C12" s="7" t="s">
        <v>34</v>
      </c>
      <c r="D12" s="35"/>
      <c r="E12" s="35"/>
      <c r="F12" s="35"/>
      <c r="G12" s="35"/>
      <c r="H12" s="35"/>
      <c r="I12" s="35"/>
      <c r="J12" s="33"/>
      <c r="K12" s="33"/>
      <c r="L12" s="34"/>
      <c r="M12" s="47" t="str">
        <f t="shared" si="2"/>
        <v/>
      </c>
      <c r="N12" s="186"/>
      <c r="O12" s="23">
        <v>25</v>
      </c>
      <c r="P12" s="41" t="str">
        <f t="shared" si="1"/>
        <v/>
      </c>
      <c r="Q12" s="10"/>
      <c r="R12" s="10"/>
      <c r="S12" s="10"/>
      <c r="T12" s="10"/>
      <c r="U12" s="10"/>
      <c r="V12" s="12"/>
    </row>
    <row r="13" spans="3:22" ht="39.75" customHeight="1" x14ac:dyDescent="0.25">
      <c r="C13" s="7" t="s">
        <v>35</v>
      </c>
      <c r="D13" s="35"/>
      <c r="E13" s="35"/>
      <c r="F13" s="35"/>
      <c r="G13" s="36"/>
      <c r="H13" s="35"/>
      <c r="I13" s="35"/>
      <c r="J13" s="33"/>
      <c r="K13" s="33"/>
      <c r="L13" s="34"/>
      <c r="M13" s="47" t="str">
        <f t="shared" si="2"/>
        <v/>
      </c>
      <c r="N13" s="186"/>
      <c r="O13" s="23">
        <v>25</v>
      </c>
      <c r="P13" s="41" t="str">
        <f t="shared" si="1"/>
        <v/>
      </c>
      <c r="Q13" s="23" t="str">
        <f>IF(OR($Q$12="Não",$Q$12=""),"",30)</f>
        <v/>
      </c>
      <c r="R13" s="23" t="str">
        <f>IF(OR($R$12="Não",$R$12=""),"",30)</f>
        <v/>
      </c>
      <c r="S13" s="23" t="str">
        <f>IF(OR($S$12="Não",$S$12=""),"",30)</f>
        <v/>
      </c>
      <c r="T13" s="23" t="str">
        <f>IF(OR($T$12="Não",$T$12=""),"",30)</f>
        <v/>
      </c>
      <c r="U13" s="23" t="str">
        <f>IF(OR($U$12="Não",$U$12=""),"",30)</f>
        <v/>
      </c>
      <c r="V13" s="15"/>
    </row>
    <row r="14" spans="3:22" ht="39.75" customHeight="1" x14ac:dyDescent="0.25">
      <c r="C14" s="7" t="s">
        <v>37</v>
      </c>
      <c r="D14" s="35"/>
      <c r="E14" s="35"/>
      <c r="F14" s="35"/>
      <c r="G14" s="35"/>
      <c r="H14" s="35"/>
      <c r="I14" s="35"/>
      <c r="J14" s="33"/>
      <c r="K14" s="33"/>
      <c r="L14" s="34"/>
      <c r="M14" s="47" t="str">
        <f t="shared" si="2"/>
        <v/>
      </c>
      <c r="N14" s="186"/>
      <c r="O14" s="23">
        <v>25</v>
      </c>
      <c r="P14" s="41" t="str">
        <f t="shared" si="1"/>
        <v/>
      </c>
      <c r="Q14" s="2"/>
      <c r="R14" s="2"/>
      <c r="S14" s="2"/>
      <c r="T14" s="2"/>
      <c r="U14" s="2"/>
      <c r="V14" s="2"/>
    </row>
    <row r="15" spans="3:22" ht="39.75" customHeight="1" x14ac:dyDescent="0.25">
      <c r="C15" s="7" t="s">
        <v>38</v>
      </c>
      <c r="D15" s="35"/>
      <c r="E15" s="35"/>
      <c r="F15" s="35"/>
      <c r="G15" s="35"/>
      <c r="H15" s="35"/>
      <c r="I15" s="35"/>
      <c r="J15" s="33"/>
      <c r="K15" s="33"/>
      <c r="L15" s="34"/>
      <c r="M15" s="47" t="str">
        <f t="shared" si="2"/>
        <v/>
      </c>
      <c r="N15" s="187"/>
      <c r="O15" s="23">
        <v>25</v>
      </c>
      <c r="P15" s="41" t="str">
        <f t="shared" si="1"/>
        <v/>
      </c>
      <c r="Q15" s="49" t="s">
        <v>36</v>
      </c>
    </row>
    <row r="16" spans="3:22" x14ac:dyDescent="0.2">
      <c r="J16" s="20">
        <f>SUM(J8:J15)</f>
        <v>0</v>
      </c>
      <c r="K16" s="20">
        <f>SUM(K8:K15)</f>
        <v>0</v>
      </c>
      <c r="L16" s="20">
        <f>IFERROR(SUM(P8:P15),0)</f>
        <v>0</v>
      </c>
      <c r="M16" s="48">
        <f>IFERROR(SUM($J$16:$L$16),"")</f>
        <v>0</v>
      </c>
      <c r="N16" s="14">
        <v>280</v>
      </c>
      <c r="O16" s="2"/>
      <c r="Q16" s="26"/>
      <c r="R16" s="27"/>
    </row>
    <row r="17" spans="3:18" ht="25.5" x14ac:dyDescent="0.2">
      <c r="C17" s="42" t="s">
        <v>39</v>
      </c>
      <c r="D17" s="49" t="s">
        <v>13</v>
      </c>
      <c r="E17" s="49" t="s">
        <v>14</v>
      </c>
      <c r="F17" s="49" t="s">
        <v>15</v>
      </c>
      <c r="G17" s="49" t="s">
        <v>16</v>
      </c>
      <c r="H17" s="49" t="s">
        <v>40</v>
      </c>
      <c r="I17" s="49" t="s">
        <v>18</v>
      </c>
      <c r="J17" s="49" t="s">
        <v>19</v>
      </c>
      <c r="K17" s="49" t="s">
        <v>20</v>
      </c>
      <c r="L17" s="49" t="s">
        <v>21</v>
      </c>
      <c r="M17" s="49" t="s">
        <v>22</v>
      </c>
      <c r="N17" s="49" t="s">
        <v>41</v>
      </c>
      <c r="O17" s="2"/>
      <c r="Q17" s="28"/>
      <c r="R17" s="29"/>
    </row>
    <row r="18" spans="3:18" ht="14.25" customHeight="1" x14ac:dyDescent="0.25">
      <c r="C18" s="8"/>
      <c r="D18" s="32"/>
      <c r="E18" s="32"/>
      <c r="F18" s="32"/>
      <c r="G18" s="32"/>
      <c r="H18" s="32"/>
      <c r="I18" s="32"/>
      <c r="J18" s="33"/>
      <c r="K18" s="33"/>
      <c r="L18" s="34"/>
      <c r="M18" s="50"/>
      <c r="N18" s="188">
        <f>IFERROR($L$48/$N$48,0)</f>
        <v>0</v>
      </c>
      <c r="O18" s="23" t="str">
        <f>IF(OR(L18="",K18="",J18=""),"",25)</f>
        <v/>
      </c>
      <c r="P18" s="41" t="str">
        <f>IFERROR(SUM(VLOOKUP(L18,$J$51:$P$57,7,0),K18,J18),"")</f>
        <v/>
      </c>
      <c r="Q18" s="28"/>
      <c r="R18" s="29"/>
    </row>
    <row r="19" spans="3:18" ht="14.25" customHeight="1" x14ac:dyDescent="0.25">
      <c r="C19" s="8"/>
      <c r="D19" s="35"/>
      <c r="E19" s="35"/>
      <c r="F19" s="35"/>
      <c r="G19" s="35"/>
      <c r="H19" s="35"/>
      <c r="I19" s="35"/>
      <c r="J19" s="33"/>
      <c r="K19" s="33"/>
      <c r="L19" s="34"/>
      <c r="M19" s="50" t="str">
        <f>IFERROR(SUM(VLOOKUP(L19,$J$51:$P$57,7,0),K19,J19)/O19,"")</f>
        <v/>
      </c>
      <c r="N19" s="189"/>
      <c r="O19" s="23" t="str">
        <f>IF(OR(L19="",K19="",J19=""),"",25)</f>
        <v/>
      </c>
      <c r="P19" s="41" t="str">
        <f>IFERROR(SUM(VLOOKUP(L19,$J$51:$P$57,7,0),K19,J19),"")</f>
        <v/>
      </c>
      <c r="Q19" s="28"/>
      <c r="R19" s="29"/>
    </row>
    <row r="20" spans="3:18" ht="14.25" customHeight="1" x14ac:dyDescent="0.25">
      <c r="C20" s="8"/>
      <c r="D20" s="35"/>
      <c r="E20" s="35"/>
      <c r="F20" s="35"/>
      <c r="G20" s="35"/>
      <c r="H20" s="35"/>
      <c r="I20" s="35"/>
      <c r="J20" s="33"/>
      <c r="K20" s="33"/>
      <c r="L20" s="34"/>
      <c r="M20" s="50" t="str">
        <f t="shared" ref="M20:M47" si="3">IFERROR(SUM(VLOOKUP(L20,$J$51:$P$57,7,0),K20,J20)/O20,"")</f>
        <v/>
      </c>
      <c r="N20" s="189"/>
      <c r="O20" s="23" t="str">
        <f t="shared" ref="O20:O47" si="4">IF(OR(L20="",K20="",J20=""),"",25)</f>
        <v/>
      </c>
      <c r="P20" s="41" t="str">
        <f t="shared" ref="P20:P47" si="5">IFERROR(SUM(VLOOKUP(L20,$J$51:$P$57,7,0),K20,J20),"")</f>
        <v/>
      </c>
      <c r="Q20" s="30"/>
      <c r="R20" s="31"/>
    </row>
    <row r="21" spans="3:18" ht="14.25" customHeight="1" x14ac:dyDescent="0.25">
      <c r="C21" s="8"/>
      <c r="D21" s="35"/>
      <c r="E21" s="35"/>
      <c r="F21" s="35"/>
      <c r="G21" s="35"/>
      <c r="H21" s="35"/>
      <c r="I21" s="35"/>
      <c r="J21" s="33"/>
      <c r="K21" s="33"/>
      <c r="L21" s="34"/>
      <c r="M21" s="50" t="str">
        <f t="shared" si="3"/>
        <v/>
      </c>
      <c r="N21" s="189"/>
      <c r="O21" s="23" t="str">
        <f t="shared" si="4"/>
        <v/>
      </c>
      <c r="P21" s="41" t="str">
        <f t="shared" si="5"/>
        <v/>
      </c>
    </row>
    <row r="22" spans="3:18" ht="14.25" customHeight="1" x14ac:dyDescent="0.25">
      <c r="C22" s="8"/>
      <c r="D22" s="35"/>
      <c r="E22" s="35"/>
      <c r="F22" s="35"/>
      <c r="G22" s="35"/>
      <c r="H22" s="35"/>
      <c r="I22" s="35"/>
      <c r="J22" s="33"/>
      <c r="K22" s="33"/>
      <c r="L22" s="34"/>
      <c r="M22" s="50" t="str">
        <f t="shared" si="3"/>
        <v/>
      </c>
      <c r="N22" s="189"/>
      <c r="O22" s="23" t="str">
        <f t="shared" si="4"/>
        <v/>
      </c>
      <c r="P22" s="41" t="str">
        <f t="shared" si="5"/>
        <v/>
      </c>
    </row>
    <row r="23" spans="3:18" ht="14.25" customHeight="1" x14ac:dyDescent="0.25">
      <c r="C23" s="8"/>
      <c r="D23" s="35"/>
      <c r="E23" s="35"/>
      <c r="F23" s="35"/>
      <c r="G23" s="35"/>
      <c r="H23" s="35"/>
      <c r="I23" s="35"/>
      <c r="J23" s="33"/>
      <c r="K23" s="33"/>
      <c r="L23" s="34"/>
      <c r="M23" s="50" t="str">
        <f t="shared" si="3"/>
        <v/>
      </c>
      <c r="N23" s="189"/>
      <c r="O23" s="23" t="str">
        <f t="shared" si="4"/>
        <v/>
      </c>
      <c r="P23" s="41" t="str">
        <f t="shared" si="5"/>
        <v/>
      </c>
    </row>
    <row r="24" spans="3:18" ht="14.25" customHeight="1" x14ac:dyDescent="0.25">
      <c r="C24" s="8"/>
      <c r="D24" s="35"/>
      <c r="E24" s="35"/>
      <c r="F24" s="35"/>
      <c r="G24" s="35"/>
      <c r="H24" s="35"/>
      <c r="I24" s="35"/>
      <c r="J24" s="33"/>
      <c r="K24" s="33"/>
      <c r="L24" s="34"/>
      <c r="M24" s="50" t="str">
        <f t="shared" si="3"/>
        <v/>
      </c>
      <c r="N24" s="189"/>
      <c r="O24" s="23" t="str">
        <f t="shared" si="4"/>
        <v/>
      </c>
      <c r="P24" s="41" t="str">
        <f t="shared" si="5"/>
        <v/>
      </c>
    </row>
    <row r="25" spans="3:18" ht="14.25" customHeight="1" x14ac:dyDescent="0.25">
      <c r="C25" s="8"/>
      <c r="D25" s="35"/>
      <c r="E25" s="35"/>
      <c r="F25" s="35"/>
      <c r="G25" s="35"/>
      <c r="H25" s="35"/>
      <c r="I25" s="35"/>
      <c r="J25" s="33"/>
      <c r="K25" s="33"/>
      <c r="L25" s="34"/>
      <c r="M25" s="50" t="str">
        <f t="shared" si="3"/>
        <v/>
      </c>
      <c r="N25" s="189"/>
      <c r="O25" s="23" t="str">
        <f t="shared" si="4"/>
        <v/>
      </c>
      <c r="P25" s="41" t="str">
        <f t="shared" si="5"/>
        <v/>
      </c>
    </row>
    <row r="26" spans="3:18" ht="14.25" customHeight="1" x14ac:dyDescent="0.25">
      <c r="C26" s="8"/>
      <c r="D26" s="35"/>
      <c r="E26" s="35"/>
      <c r="F26" s="35"/>
      <c r="G26" s="35"/>
      <c r="H26" s="35"/>
      <c r="I26" s="35"/>
      <c r="J26" s="33"/>
      <c r="K26" s="33"/>
      <c r="L26" s="34"/>
      <c r="M26" s="50" t="str">
        <f t="shared" si="3"/>
        <v/>
      </c>
      <c r="N26" s="189"/>
      <c r="O26" s="23" t="str">
        <f t="shared" si="4"/>
        <v/>
      </c>
      <c r="P26" s="41" t="str">
        <f t="shared" si="5"/>
        <v/>
      </c>
    </row>
    <row r="27" spans="3:18" ht="14.25" customHeight="1" x14ac:dyDescent="0.25">
      <c r="C27" s="8"/>
      <c r="D27" s="35"/>
      <c r="E27" s="35"/>
      <c r="F27" s="35"/>
      <c r="G27" s="35"/>
      <c r="H27" s="35"/>
      <c r="I27" s="35"/>
      <c r="J27" s="33"/>
      <c r="K27" s="33"/>
      <c r="L27" s="34"/>
      <c r="M27" s="50" t="str">
        <f t="shared" si="3"/>
        <v/>
      </c>
      <c r="N27" s="189"/>
      <c r="O27" s="23" t="str">
        <f t="shared" si="4"/>
        <v/>
      </c>
      <c r="P27" s="41" t="str">
        <f t="shared" si="5"/>
        <v/>
      </c>
    </row>
    <row r="28" spans="3:18" ht="14.25" customHeight="1" x14ac:dyDescent="0.25">
      <c r="C28" s="8"/>
      <c r="D28" s="35"/>
      <c r="E28" s="35"/>
      <c r="F28" s="35"/>
      <c r="G28" s="35"/>
      <c r="H28" s="35"/>
      <c r="I28" s="35"/>
      <c r="J28" s="33"/>
      <c r="K28" s="33"/>
      <c r="L28" s="34"/>
      <c r="M28" s="50" t="str">
        <f t="shared" si="3"/>
        <v/>
      </c>
      <c r="N28" s="189"/>
      <c r="O28" s="23" t="str">
        <f t="shared" si="4"/>
        <v/>
      </c>
      <c r="P28" s="41" t="str">
        <f t="shared" si="5"/>
        <v/>
      </c>
    </row>
    <row r="29" spans="3:18" ht="14.25" customHeight="1" x14ac:dyDescent="0.25">
      <c r="C29" s="8"/>
      <c r="D29" s="35"/>
      <c r="E29" s="35"/>
      <c r="F29" s="35"/>
      <c r="G29" s="35"/>
      <c r="H29" s="35"/>
      <c r="I29" s="35"/>
      <c r="J29" s="33"/>
      <c r="K29" s="33"/>
      <c r="L29" s="34"/>
      <c r="M29" s="50" t="str">
        <f t="shared" si="3"/>
        <v/>
      </c>
      <c r="N29" s="189"/>
      <c r="O29" s="23" t="str">
        <f t="shared" si="4"/>
        <v/>
      </c>
      <c r="P29" s="41" t="str">
        <f t="shared" si="5"/>
        <v/>
      </c>
    </row>
    <row r="30" spans="3:18" ht="14.25" customHeight="1" x14ac:dyDescent="0.25">
      <c r="C30" s="8"/>
      <c r="D30" s="35"/>
      <c r="E30" s="35"/>
      <c r="F30" s="35"/>
      <c r="G30" s="35"/>
      <c r="H30" s="35"/>
      <c r="I30" s="35"/>
      <c r="J30" s="33"/>
      <c r="K30" s="33"/>
      <c r="L30" s="34"/>
      <c r="M30" s="50" t="str">
        <f t="shared" si="3"/>
        <v/>
      </c>
      <c r="N30" s="189"/>
      <c r="O30" s="23" t="str">
        <f t="shared" si="4"/>
        <v/>
      </c>
      <c r="P30" s="41" t="str">
        <f t="shared" si="5"/>
        <v/>
      </c>
    </row>
    <row r="31" spans="3:18" ht="14.25" customHeight="1" x14ac:dyDescent="0.25">
      <c r="C31" s="8"/>
      <c r="D31" s="35"/>
      <c r="E31" s="35"/>
      <c r="F31" s="35"/>
      <c r="G31" s="35"/>
      <c r="H31" s="35"/>
      <c r="I31" s="35"/>
      <c r="J31" s="33"/>
      <c r="K31" s="33"/>
      <c r="L31" s="34"/>
      <c r="M31" s="50" t="str">
        <f t="shared" si="3"/>
        <v/>
      </c>
      <c r="N31" s="189"/>
      <c r="O31" s="23" t="str">
        <f t="shared" si="4"/>
        <v/>
      </c>
      <c r="P31" s="41" t="str">
        <f t="shared" si="5"/>
        <v/>
      </c>
    </row>
    <row r="32" spans="3:18" ht="14.25" customHeight="1" x14ac:dyDescent="0.25">
      <c r="C32" s="8"/>
      <c r="D32" s="35"/>
      <c r="E32" s="35"/>
      <c r="F32" s="35"/>
      <c r="G32" s="35"/>
      <c r="H32" s="35"/>
      <c r="I32" s="35"/>
      <c r="J32" s="33"/>
      <c r="K32" s="33"/>
      <c r="L32" s="34"/>
      <c r="M32" s="50" t="str">
        <f t="shared" si="3"/>
        <v/>
      </c>
      <c r="N32" s="189"/>
      <c r="O32" s="23" t="str">
        <f t="shared" si="4"/>
        <v/>
      </c>
      <c r="P32" s="41" t="str">
        <f t="shared" si="5"/>
        <v/>
      </c>
    </row>
    <row r="33" spans="3:16" ht="14.25" customHeight="1" x14ac:dyDescent="0.25">
      <c r="C33" s="8"/>
      <c r="D33" s="35"/>
      <c r="E33" s="35"/>
      <c r="F33" s="35"/>
      <c r="G33" s="35"/>
      <c r="H33" s="35"/>
      <c r="I33" s="35"/>
      <c r="J33" s="33"/>
      <c r="K33" s="33"/>
      <c r="L33" s="34"/>
      <c r="M33" s="50" t="str">
        <f t="shared" si="3"/>
        <v/>
      </c>
      <c r="N33" s="189"/>
      <c r="O33" s="23" t="str">
        <f t="shared" si="4"/>
        <v/>
      </c>
      <c r="P33" s="41" t="str">
        <f t="shared" si="5"/>
        <v/>
      </c>
    </row>
    <row r="34" spans="3:16" ht="14.25" customHeight="1" x14ac:dyDescent="0.25">
      <c r="C34" s="8"/>
      <c r="D34" s="35"/>
      <c r="E34" s="35"/>
      <c r="F34" s="35"/>
      <c r="G34" s="35"/>
      <c r="H34" s="35"/>
      <c r="I34" s="35"/>
      <c r="J34" s="33"/>
      <c r="K34" s="33"/>
      <c r="L34" s="34"/>
      <c r="M34" s="50" t="str">
        <f t="shared" si="3"/>
        <v/>
      </c>
      <c r="N34" s="189"/>
      <c r="O34" s="23" t="str">
        <f t="shared" si="4"/>
        <v/>
      </c>
      <c r="P34" s="41" t="str">
        <f t="shared" si="5"/>
        <v/>
      </c>
    </row>
    <row r="35" spans="3:16" ht="14.25" customHeight="1" x14ac:dyDescent="0.25">
      <c r="C35" s="8"/>
      <c r="D35" s="35"/>
      <c r="E35" s="35"/>
      <c r="F35" s="35"/>
      <c r="G35" s="35"/>
      <c r="H35" s="35"/>
      <c r="I35" s="35"/>
      <c r="J35" s="33"/>
      <c r="K35" s="33"/>
      <c r="L35" s="34"/>
      <c r="M35" s="50" t="str">
        <f t="shared" si="3"/>
        <v/>
      </c>
      <c r="N35" s="189"/>
      <c r="O35" s="23" t="str">
        <f t="shared" si="4"/>
        <v/>
      </c>
      <c r="P35" s="41" t="str">
        <f t="shared" si="5"/>
        <v/>
      </c>
    </row>
    <row r="36" spans="3:16" ht="14.25" customHeight="1" x14ac:dyDescent="0.25">
      <c r="C36" s="8"/>
      <c r="D36" s="35"/>
      <c r="E36" s="35"/>
      <c r="F36" s="35"/>
      <c r="G36" s="35"/>
      <c r="H36" s="35"/>
      <c r="I36" s="35"/>
      <c r="J36" s="33"/>
      <c r="K36" s="33"/>
      <c r="L36" s="34"/>
      <c r="M36" s="50" t="str">
        <f t="shared" si="3"/>
        <v/>
      </c>
      <c r="N36" s="189"/>
      <c r="O36" s="23" t="str">
        <f t="shared" si="4"/>
        <v/>
      </c>
      <c r="P36" s="41" t="str">
        <f t="shared" si="5"/>
        <v/>
      </c>
    </row>
    <row r="37" spans="3:16" ht="14.25" customHeight="1" x14ac:dyDescent="0.25">
      <c r="C37" s="8"/>
      <c r="D37" s="35"/>
      <c r="E37" s="35"/>
      <c r="F37" s="35"/>
      <c r="G37" s="35"/>
      <c r="H37" s="35"/>
      <c r="I37" s="35"/>
      <c r="J37" s="33"/>
      <c r="K37" s="33"/>
      <c r="L37" s="34"/>
      <c r="M37" s="50" t="str">
        <f t="shared" si="3"/>
        <v/>
      </c>
      <c r="N37" s="189"/>
      <c r="O37" s="23" t="str">
        <f t="shared" si="4"/>
        <v/>
      </c>
      <c r="P37" s="41" t="str">
        <f t="shared" si="5"/>
        <v/>
      </c>
    </row>
    <row r="38" spans="3:16" ht="14.25" customHeight="1" x14ac:dyDescent="0.25">
      <c r="C38" s="8"/>
      <c r="D38" s="35"/>
      <c r="E38" s="35"/>
      <c r="F38" s="35"/>
      <c r="G38" s="35"/>
      <c r="H38" s="35"/>
      <c r="I38" s="35"/>
      <c r="J38" s="33"/>
      <c r="K38" s="33"/>
      <c r="L38" s="34"/>
      <c r="M38" s="50" t="str">
        <f t="shared" si="3"/>
        <v/>
      </c>
      <c r="N38" s="189"/>
      <c r="O38" s="23" t="str">
        <f t="shared" si="4"/>
        <v/>
      </c>
      <c r="P38" s="41" t="str">
        <f t="shared" si="5"/>
        <v/>
      </c>
    </row>
    <row r="39" spans="3:16" ht="14.25" customHeight="1" x14ac:dyDescent="0.25">
      <c r="C39" s="8"/>
      <c r="D39" s="35"/>
      <c r="E39" s="35"/>
      <c r="F39" s="35"/>
      <c r="G39" s="35"/>
      <c r="H39" s="35"/>
      <c r="I39" s="35"/>
      <c r="J39" s="33"/>
      <c r="K39" s="33"/>
      <c r="L39" s="34"/>
      <c r="M39" s="50" t="str">
        <f t="shared" si="3"/>
        <v/>
      </c>
      <c r="N39" s="189"/>
      <c r="O39" s="23" t="str">
        <f t="shared" si="4"/>
        <v/>
      </c>
      <c r="P39" s="41" t="str">
        <f t="shared" si="5"/>
        <v/>
      </c>
    </row>
    <row r="40" spans="3:16" ht="14.25" customHeight="1" x14ac:dyDescent="0.25">
      <c r="C40" s="8"/>
      <c r="D40" s="35"/>
      <c r="E40" s="35"/>
      <c r="F40" s="35"/>
      <c r="G40" s="35"/>
      <c r="H40" s="35"/>
      <c r="I40" s="35"/>
      <c r="J40" s="33"/>
      <c r="K40" s="33"/>
      <c r="L40" s="34"/>
      <c r="M40" s="50" t="str">
        <f t="shared" si="3"/>
        <v/>
      </c>
      <c r="N40" s="189"/>
      <c r="O40" s="23" t="str">
        <f t="shared" si="4"/>
        <v/>
      </c>
      <c r="P40" s="41" t="str">
        <f t="shared" si="5"/>
        <v/>
      </c>
    </row>
    <row r="41" spans="3:16" ht="14.25" customHeight="1" x14ac:dyDescent="0.25">
      <c r="C41" s="8"/>
      <c r="D41" s="35"/>
      <c r="E41" s="35"/>
      <c r="F41" s="35"/>
      <c r="G41" s="35"/>
      <c r="H41" s="35"/>
      <c r="I41" s="35"/>
      <c r="J41" s="33"/>
      <c r="K41" s="33"/>
      <c r="L41" s="34"/>
      <c r="M41" s="50" t="str">
        <f t="shared" si="3"/>
        <v/>
      </c>
      <c r="N41" s="189"/>
      <c r="O41" s="23" t="str">
        <f t="shared" si="4"/>
        <v/>
      </c>
      <c r="P41" s="41" t="str">
        <f t="shared" si="5"/>
        <v/>
      </c>
    </row>
    <row r="42" spans="3:16" ht="14.25" customHeight="1" x14ac:dyDescent="0.25">
      <c r="C42" s="8"/>
      <c r="D42" s="35"/>
      <c r="E42" s="35"/>
      <c r="F42" s="35"/>
      <c r="G42" s="35"/>
      <c r="H42" s="35"/>
      <c r="I42" s="35"/>
      <c r="J42" s="33"/>
      <c r="K42" s="33"/>
      <c r="L42" s="34"/>
      <c r="M42" s="50" t="str">
        <f t="shared" si="3"/>
        <v/>
      </c>
      <c r="N42" s="189"/>
      <c r="O42" s="23" t="str">
        <f t="shared" si="4"/>
        <v/>
      </c>
      <c r="P42" s="41" t="str">
        <f t="shared" si="5"/>
        <v/>
      </c>
    </row>
    <row r="43" spans="3:16" ht="14.25" customHeight="1" x14ac:dyDescent="0.25">
      <c r="C43" s="8"/>
      <c r="D43" s="35"/>
      <c r="E43" s="35"/>
      <c r="F43" s="35"/>
      <c r="G43" s="35"/>
      <c r="H43" s="35"/>
      <c r="I43" s="35"/>
      <c r="J43" s="33"/>
      <c r="K43" s="33"/>
      <c r="L43" s="34"/>
      <c r="M43" s="50" t="str">
        <f t="shared" si="3"/>
        <v/>
      </c>
      <c r="N43" s="189"/>
      <c r="O43" s="23" t="str">
        <f t="shared" si="4"/>
        <v/>
      </c>
      <c r="P43" s="41" t="str">
        <f t="shared" si="5"/>
        <v/>
      </c>
    </row>
    <row r="44" spans="3:16" ht="14.25" customHeight="1" x14ac:dyDescent="0.25">
      <c r="C44" s="8"/>
      <c r="D44" s="35"/>
      <c r="E44" s="35"/>
      <c r="F44" s="35"/>
      <c r="G44" s="35"/>
      <c r="H44" s="35"/>
      <c r="I44" s="35"/>
      <c r="J44" s="33"/>
      <c r="K44" s="33"/>
      <c r="L44" s="34"/>
      <c r="M44" s="50" t="str">
        <f t="shared" si="3"/>
        <v/>
      </c>
      <c r="N44" s="189"/>
      <c r="O44" s="23" t="str">
        <f t="shared" si="4"/>
        <v/>
      </c>
      <c r="P44" s="41" t="str">
        <f t="shared" si="5"/>
        <v/>
      </c>
    </row>
    <row r="45" spans="3:16" ht="14.25" customHeight="1" x14ac:dyDescent="0.25">
      <c r="C45" s="8"/>
      <c r="D45" s="35"/>
      <c r="E45" s="35"/>
      <c r="F45" s="35"/>
      <c r="G45" s="35"/>
      <c r="H45" s="35"/>
      <c r="I45" s="35"/>
      <c r="J45" s="33"/>
      <c r="K45" s="33"/>
      <c r="L45" s="34"/>
      <c r="M45" s="50" t="str">
        <f t="shared" si="3"/>
        <v/>
      </c>
      <c r="N45" s="189"/>
      <c r="O45" s="23" t="str">
        <f t="shared" si="4"/>
        <v/>
      </c>
      <c r="P45" s="41" t="str">
        <f t="shared" si="5"/>
        <v/>
      </c>
    </row>
    <row r="46" spans="3:16" ht="14.25" customHeight="1" x14ac:dyDescent="0.25">
      <c r="C46" s="8"/>
      <c r="D46" s="35"/>
      <c r="E46" s="35"/>
      <c r="F46" s="35"/>
      <c r="G46" s="35"/>
      <c r="H46" s="35"/>
      <c r="I46" s="35"/>
      <c r="J46" s="33"/>
      <c r="K46" s="33"/>
      <c r="L46" s="34"/>
      <c r="M46" s="50" t="str">
        <f t="shared" si="3"/>
        <v/>
      </c>
      <c r="N46" s="189"/>
      <c r="O46" s="23" t="str">
        <f t="shared" si="4"/>
        <v/>
      </c>
      <c r="P46" s="41" t="str">
        <f t="shared" si="5"/>
        <v/>
      </c>
    </row>
    <row r="47" spans="3:16" ht="14.25" customHeight="1" x14ac:dyDescent="0.25">
      <c r="C47" s="8"/>
      <c r="D47" s="35"/>
      <c r="E47" s="35"/>
      <c r="F47" s="35"/>
      <c r="G47" s="35"/>
      <c r="H47" s="35"/>
      <c r="I47" s="35"/>
      <c r="J47" s="33"/>
      <c r="K47" s="33"/>
      <c r="L47" s="34"/>
      <c r="M47" s="50" t="str">
        <f t="shared" si="3"/>
        <v/>
      </c>
      <c r="N47" s="189"/>
      <c r="O47" s="23" t="str">
        <f t="shared" si="4"/>
        <v/>
      </c>
      <c r="P47" s="41" t="str">
        <f t="shared" si="5"/>
        <v/>
      </c>
    </row>
    <row r="48" spans="3:16" s="2" customFormat="1" x14ac:dyDescent="0.2">
      <c r="J48" s="55">
        <f>SUM(J18:J47)</f>
        <v>0</v>
      </c>
      <c r="K48" s="55">
        <f>SUM(K18:K47)</f>
        <v>0</v>
      </c>
      <c r="L48" s="55">
        <f>IFERROR(SUM(P18:P47),0)</f>
        <v>0</v>
      </c>
      <c r="M48" s="48">
        <f>IFERROR(SUM($J$48:$L$48),"")</f>
        <v>0</v>
      </c>
      <c r="N48" s="23">
        <f>SUM(O18:O48)</f>
        <v>0</v>
      </c>
      <c r="O48" s="15"/>
      <c r="P48" s="15"/>
    </row>
    <row r="49" spans="3:21" s="2" customFormat="1" hidden="1" x14ac:dyDescent="0.2">
      <c r="O49" s="15"/>
      <c r="P49" s="15"/>
    </row>
    <row r="50" spans="3:21" s="2" customFormat="1" hidden="1" x14ac:dyDescent="0.2">
      <c r="D50" s="2" t="s">
        <v>101</v>
      </c>
      <c r="F50" s="2" t="s">
        <v>100</v>
      </c>
      <c r="G50" s="2" t="s">
        <v>99</v>
      </c>
      <c r="H50" s="2" t="s">
        <v>98</v>
      </c>
      <c r="I50" s="2" t="s">
        <v>97</v>
      </c>
      <c r="J50" s="2" t="s">
        <v>96</v>
      </c>
      <c r="K50" s="2" t="s">
        <v>95</v>
      </c>
      <c r="L50" s="2" t="s">
        <v>94</v>
      </c>
      <c r="M50" s="2" t="s">
        <v>87</v>
      </c>
      <c r="N50" s="56" t="s">
        <v>42</v>
      </c>
      <c r="O50" s="22" t="s">
        <v>43</v>
      </c>
      <c r="P50" s="22" t="s">
        <v>44</v>
      </c>
      <c r="Q50" s="9" t="s">
        <v>88</v>
      </c>
      <c r="R50" s="9" t="s">
        <v>89</v>
      </c>
      <c r="S50" s="9" t="s">
        <v>90</v>
      </c>
      <c r="T50" s="9" t="s">
        <v>91</v>
      </c>
      <c r="U50" s="9" t="s">
        <v>92</v>
      </c>
    </row>
    <row r="51" spans="3:21" s="2" customFormat="1" hidden="1" x14ac:dyDescent="0.2">
      <c r="D51" s="2">
        <v>1</v>
      </c>
      <c r="E51" s="2" t="s">
        <v>45</v>
      </c>
      <c r="F51" s="2" t="s">
        <v>46</v>
      </c>
      <c r="G51" s="2" t="s">
        <v>47</v>
      </c>
      <c r="H51" s="2" t="s">
        <v>48</v>
      </c>
      <c r="I51" s="2" t="s">
        <v>49</v>
      </c>
      <c r="J51" s="2" t="s">
        <v>50</v>
      </c>
      <c r="K51" s="57" t="s">
        <v>51</v>
      </c>
      <c r="L51" s="2" t="s">
        <v>52</v>
      </c>
      <c r="M51" s="2">
        <v>10</v>
      </c>
      <c r="N51" s="56">
        <v>10</v>
      </c>
      <c r="O51" s="22">
        <v>20</v>
      </c>
      <c r="P51" s="22">
        <v>10</v>
      </c>
      <c r="Q51" s="9">
        <v>10</v>
      </c>
      <c r="R51" s="9">
        <v>10</v>
      </c>
      <c r="S51" s="9">
        <v>5</v>
      </c>
      <c r="T51" s="9">
        <v>30</v>
      </c>
      <c r="U51" s="9">
        <v>30</v>
      </c>
    </row>
    <row r="52" spans="3:21" s="2" customFormat="1" hidden="1" x14ac:dyDescent="0.2">
      <c r="D52" s="2">
        <v>2</v>
      </c>
      <c r="E52" s="2" t="s">
        <v>53</v>
      </c>
      <c r="F52" s="2" t="s">
        <v>54</v>
      </c>
      <c r="G52" s="2" t="s">
        <v>55</v>
      </c>
      <c r="H52" s="2" t="s">
        <v>56</v>
      </c>
      <c r="I52" s="2" t="s">
        <v>105</v>
      </c>
      <c r="J52" s="2" t="s">
        <v>57</v>
      </c>
      <c r="K52" s="57" t="s">
        <v>58</v>
      </c>
      <c r="L52" s="2" t="s">
        <v>59</v>
      </c>
      <c r="M52" s="2">
        <v>10</v>
      </c>
      <c r="N52" s="56">
        <v>100</v>
      </c>
      <c r="O52" s="22">
        <v>50</v>
      </c>
      <c r="P52" s="22">
        <v>0</v>
      </c>
      <c r="Q52" s="9">
        <v>10</v>
      </c>
      <c r="R52" s="9">
        <v>10</v>
      </c>
      <c r="S52" s="9">
        <v>30</v>
      </c>
      <c r="T52" s="9">
        <v>10</v>
      </c>
      <c r="U52" s="9"/>
    </row>
    <row r="53" spans="3:21" s="2" customFormat="1" hidden="1" x14ac:dyDescent="0.2">
      <c r="D53" s="2">
        <v>3</v>
      </c>
      <c r="F53" s="2" t="s">
        <v>60</v>
      </c>
      <c r="G53" s="2" t="s">
        <v>61</v>
      </c>
      <c r="H53" s="2" t="s">
        <v>62</v>
      </c>
      <c r="I53" s="2" t="s">
        <v>63</v>
      </c>
      <c r="J53" s="2" t="s">
        <v>64</v>
      </c>
      <c r="K53" s="57" t="s">
        <v>65</v>
      </c>
      <c r="L53" s="2" t="s">
        <v>66</v>
      </c>
      <c r="M53" s="2">
        <v>10</v>
      </c>
      <c r="N53" s="56">
        <v>250</v>
      </c>
      <c r="O53" s="22">
        <v>100</v>
      </c>
      <c r="P53" s="22">
        <v>10</v>
      </c>
      <c r="Q53" s="9">
        <v>10</v>
      </c>
      <c r="R53" s="9">
        <v>10</v>
      </c>
      <c r="S53" s="9">
        <v>20</v>
      </c>
      <c r="T53" s="9"/>
      <c r="U53" s="9"/>
    </row>
    <row r="54" spans="3:21" s="2" customFormat="1" hidden="1" x14ac:dyDescent="0.2">
      <c r="D54" s="2">
        <v>4</v>
      </c>
      <c r="F54" s="2" t="s">
        <v>67</v>
      </c>
      <c r="G54" s="2" t="s">
        <v>68</v>
      </c>
      <c r="H54" s="2" t="s">
        <v>69</v>
      </c>
      <c r="I54" s="2" t="s">
        <v>70</v>
      </c>
      <c r="J54" s="2" t="s">
        <v>71</v>
      </c>
      <c r="K54" s="57" t="s">
        <v>72</v>
      </c>
      <c r="L54" s="2" t="s">
        <v>73</v>
      </c>
      <c r="M54" s="2">
        <v>15</v>
      </c>
      <c r="N54" s="56">
        <v>600</v>
      </c>
      <c r="O54" s="22">
        <v>200</v>
      </c>
      <c r="P54" s="22">
        <v>5</v>
      </c>
      <c r="Q54" s="9">
        <v>20</v>
      </c>
      <c r="R54" s="9">
        <v>10</v>
      </c>
      <c r="S54" s="9">
        <v>20</v>
      </c>
      <c r="T54" s="9"/>
      <c r="U54" s="9"/>
    </row>
    <row r="55" spans="3:21" s="2" customFormat="1" hidden="1" x14ac:dyDescent="0.2">
      <c r="D55" s="2">
        <v>5</v>
      </c>
      <c r="F55" s="2" t="s">
        <v>74</v>
      </c>
      <c r="G55" s="2" t="s">
        <v>75</v>
      </c>
      <c r="H55" s="2" t="s">
        <v>67</v>
      </c>
      <c r="I55" s="2" t="s">
        <v>76</v>
      </c>
      <c r="J55" s="2" t="s">
        <v>77</v>
      </c>
      <c r="K55" s="57" t="s">
        <v>78</v>
      </c>
      <c r="L55" s="2" t="s">
        <v>79</v>
      </c>
      <c r="M55" s="2">
        <v>30</v>
      </c>
      <c r="N55" s="56">
        <v>700</v>
      </c>
      <c r="O55" s="22">
        <v>500</v>
      </c>
      <c r="P55" s="22">
        <v>5</v>
      </c>
      <c r="Q55" s="9">
        <v>20</v>
      </c>
      <c r="R55" s="9">
        <v>20</v>
      </c>
      <c r="S55" s="9">
        <v>20</v>
      </c>
      <c r="T55" s="9"/>
      <c r="U55" s="9"/>
    </row>
    <row r="56" spans="3:21" s="2" customFormat="1" hidden="1" x14ac:dyDescent="0.2">
      <c r="G56" s="2" t="s">
        <v>67</v>
      </c>
      <c r="H56" s="2" t="s">
        <v>74</v>
      </c>
      <c r="I56" s="2" t="s">
        <v>67</v>
      </c>
      <c r="J56" s="2" t="s">
        <v>80</v>
      </c>
      <c r="K56" s="57" t="s">
        <v>81</v>
      </c>
      <c r="L56" s="2" t="s">
        <v>82</v>
      </c>
      <c r="N56" s="56">
        <v>800</v>
      </c>
      <c r="O56" s="22">
        <v>1000</v>
      </c>
      <c r="P56" s="22">
        <v>0</v>
      </c>
      <c r="Q56" s="9">
        <v>30</v>
      </c>
      <c r="R56" s="9">
        <v>30</v>
      </c>
      <c r="S56" s="9">
        <v>30</v>
      </c>
      <c r="T56" s="9"/>
      <c r="U56" s="9"/>
    </row>
    <row r="57" spans="3:21" s="2" customFormat="1" hidden="1" x14ac:dyDescent="0.2">
      <c r="G57" s="2" t="s">
        <v>74</v>
      </c>
      <c r="I57" s="2" t="s">
        <v>74</v>
      </c>
      <c r="J57" s="2" t="s">
        <v>83</v>
      </c>
      <c r="K57" s="57" t="s">
        <v>84</v>
      </c>
      <c r="N57" s="56">
        <v>900</v>
      </c>
      <c r="O57" s="22"/>
      <c r="P57" s="22">
        <v>15</v>
      </c>
      <c r="Q57" s="9">
        <v>30</v>
      </c>
      <c r="R57" s="9"/>
      <c r="S57" s="9">
        <v>30</v>
      </c>
      <c r="T57" s="9"/>
      <c r="U57" s="9"/>
    </row>
    <row r="58" spans="3:21" s="2" customFormat="1" hidden="1" x14ac:dyDescent="0.2">
      <c r="K58" s="57" t="s">
        <v>85</v>
      </c>
      <c r="N58" s="56">
        <v>1000</v>
      </c>
      <c r="O58" s="21"/>
      <c r="P58" s="15"/>
    </row>
    <row r="59" spans="3:21" s="2" customFormat="1" hidden="1" x14ac:dyDescent="0.2">
      <c r="K59" s="57"/>
      <c r="O59" s="15"/>
      <c r="P59" s="15"/>
    </row>
    <row r="60" spans="3:21" s="2" customFormat="1" x14ac:dyDescent="0.2">
      <c r="K60" s="57"/>
      <c r="O60" s="15"/>
      <c r="P60" s="15"/>
    </row>
    <row r="61" spans="3:21" s="2" customFormat="1" x14ac:dyDescent="0.2">
      <c r="C61" s="58" t="s">
        <v>86</v>
      </c>
      <c r="D61" s="59"/>
      <c r="E61" s="60"/>
      <c r="K61" s="57"/>
    </row>
    <row r="62" spans="3:21" s="2" customFormat="1" x14ac:dyDescent="0.2"/>
    <row r="63" spans="3:21" s="2" customFormat="1" x14ac:dyDescent="0.2"/>
    <row r="64" spans="3:21" s="2" customFormat="1" x14ac:dyDescent="0.2"/>
    <row r="65" s="2" customFormat="1" x14ac:dyDescent="0.2"/>
    <row r="66" s="2" customFormat="1" x14ac:dyDescent="0.2"/>
    <row r="67" s="2" customFormat="1" x14ac:dyDescent="0.2"/>
  </sheetData>
  <sheetProtection formatCells="0" formatColumns="0" formatRows="0" insertColumns="0" insertRows="0" insertHyperlinks="0" deleteColumns="0" deleteRows="0" sort="0" autoFilter="0" pivotTables="0"/>
  <mergeCells count="3">
    <mergeCell ref="C2:C3"/>
    <mergeCell ref="N8:N15"/>
    <mergeCell ref="N18:N47"/>
  </mergeCells>
  <conditionalFormatting sqref="M8:M15">
    <cfRule type="iconSet" priority="10">
      <iconSet iconSet="3Symbols">
        <cfvo type="percent" val="0"/>
        <cfvo type="num" val="0.5"/>
        <cfvo type="num" val="0.75"/>
      </iconSet>
    </cfRule>
  </conditionalFormatting>
  <conditionalFormatting sqref="M18:M47">
    <cfRule type="iconSet" priority="8">
      <iconSet iconSet="3Symbols">
        <cfvo type="percent" val="0"/>
        <cfvo type="num" val="0.5"/>
        <cfvo type="num" val="0.75"/>
      </iconSet>
    </cfRule>
  </conditionalFormatting>
  <conditionalFormatting sqref="N3">
    <cfRule type="colorScale" priority="6">
      <colorScale>
        <cfvo type="num" val="0.25"/>
        <cfvo type="num" val="0.5"/>
        <cfvo type="num" val="1"/>
        <color rgb="FFC00000"/>
        <color rgb="FFFFC000"/>
        <color rgb="FF00B050"/>
      </colorScale>
    </cfRule>
  </conditionalFormatting>
  <conditionalFormatting sqref="N5">
    <cfRule type="colorScale" priority="5">
      <colorScale>
        <cfvo type="num" val="0.25"/>
        <cfvo type="num" val="0.5"/>
        <cfvo type="num" val="1"/>
        <color rgb="FFC00000"/>
        <color rgb="FFFFC000"/>
        <color rgb="FF00B050"/>
      </colorScale>
    </cfRule>
  </conditionalFormatting>
  <conditionalFormatting sqref="N8:N15">
    <cfRule type="colorScale" priority="9">
      <colorScale>
        <cfvo type="num" val="0.1"/>
        <cfvo type="num" val="0.5"/>
        <cfvo type="num" val="1"/>
        <color rgb="FFC00000"/>
        <color rgb="FFFFC000"/>
        <color rgb="FF00B050"/>
      </colorScale>
    </cfRule>
  </conditionalFormatting>
  <conditionalFormatting sqref="N18">
    <cfRule type="colorScale" priority="7">
      <colorScale>
        <cfvo type="num" val="0.1"/>
        <cfvo type="num" val="0.5"/>
        <cfvo type="num" val="1"/>
        <color rgb="FFC00000"/>
        <color rgb="FFFFC000"/>
        <color rgb="FF00B050"/>
      </colorScale>
    </cfRule>
  </conditionalFormatting>
  <conditionalFormatting sqref="Q4">
    <cfRule type="colorScale" priority="1">
      <colorScale>
        <cfvo type="num" val="0.25"/>
        <cfvo type="num" val="0.5"/>
        <cfvo type="num" val="1"/>
        <color rgb="FFC00000"/>
        <color rgb="FFFFC000"/>
        <color rgb="FF00B050"/>
      </colorScale>
    </cfRule>
  </conditionalFormatting>
  <dataValidations count="9">
    <dataValidation type="list" allowBlank="1" showInputMessage="1" showErrorMessage="1" sqref="G3" xr:uid="{4BEA4FE8-BFA2-4047-ACBF-A936B7CFE845}">
      <formula1>$L$51:$L$56</formula1>
    </dataValidation>
    <dataValidation type="list" allowBlank="1" showInputMessage="1" showErrorMessage="1" sqref="F3" xr:uid="{B2AC7995-B07B-4D02-9DC8-477D549B78D3}">
      <formula1>$K$51:$K$58</formula1>
    </dataValidation>
    <dataValidation type="list" allowBlank="1" showInputMessage="1" showErrorMessage="1" sqref="L8:L15 L18:L47" xr:uid="{1F2E68FA-8227-4887-A41F-9BB1EE7AE456}">
      <formula1>$J$51:$J$57</formula1>
    </dataValidation>
    <dataValidation type="list" allowBlank="1" showInputMessage="1" showErrorMessage="1" sqref="J18:K47 J8:K15 C5" xr:uid="{7185905D-A56E-4342-9941-FD10DA2D3DBF}">
      <formula1>$D$51:$D$55</formula1>
    </dataValidation>
    <dataValidation type="list" allowBlank="1" showInputMessage="1" showErrorMessage="1" sqref="U8 K3:L3 D5:E5 Q12:V12" xr:uid="{4863C023-A217-460E-B79C-DFCFC59524EA}">
      <formula1>$E$51:$E$52</formula1>
    </dataValidation>
    <dataValidation type="list" allowBlank="1" showInputMessage="1" showErrorMessage="1" sqref="T8" xr:uid="{D6890677-A64A-4555-A86F-37571C0262CA}">
      <formula1>$I$51:$I$57</formula1>
    </dataValidation>
    <dataValidation type="list" allowBlank="1" showInputMessage="1" showErrorMessage="1" sqref="S8" xr:uid="{63B3F1FA-5E4C-4950-9EE2-93E87133791A}">
      <formula1>$H$51:$H$56</formula1>
    </dataValidation>
    <dataValidation type="list" allowBlank="1" showInputMessage="1" showErrorMessage="1" sqref="R8" xr:uid="{AE0F8EF9-9B9E-4303-804D-1620F183D603}">
      <formula1>$G$51:$G$57</formula1>
    </dataValidation>
    <dataValidation type="list" allowBlank="1" showInputMessage="1" showErrorMessage="1" sqref="Q8" xr:uid="{B55956CF-82F1-4ABA-8A3E-07869FAD00E2}">
      <formula1>$F$51:$F$55</formula1>
    </dataValidation>
  </dataValidations>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302CB-C664-4A90-8F26-F5A7F89DC75D}">
  <dimension ref="A1:AH358"/>
  <sheetViews>
    <sheetView showGridLines="0" topLeftCell="I1" zoomScale="85" zoomScaleNormal="85" workbookViewId="0">
      <pane ySplit="1" topLeftCell="A2" activePane="bottomLeft" state="frozen"/>
      <selection activeCell="AB1" sqref="AB1"/>
      <selection pane="bottomLeft" activeCell="S252" sqref="S252"/>
    </sheetView>
  </sheetViews>
  <sheetFormatPr defaultRowHeight="15" x14ac:dyDescent="0.25"/>
  <cols>
    <col min="1" max="4" width="30.140625" customWidth="1"/>
    <col min="5" max="5" width="33.28515625" customWidth="1"/>
    <col min="6" max="6" width="36.7109375" customWidth="1"/>
    <col min="7" max="30" width="30.140625" customWidth="1"/>
    <col min="31" max="31" width="27.5703125" bestFit="1" customWidth="1"/>
    <col min="32" max="32" width="30.140625" customWidth="1"/>
    <col min="33" max="33" width="85.7109375" customWidth="1"/>
  </cols>
  <sheetData>
    <row r="1" spans="1:34" s="62" customFormat="1" ht="38.25" x14ac:dyDescent="0.25">
      <c r="A1" s="63" t="s">
        <v>110</v>
      </c>
      <c r="B1" s="43" t="s">
        <v>783</v>
      </c>
      <c r="C1" s="43" t="s">
        <v>13</v>
      </c>
      <c r="D1" s="43" t="s">
        <v>14</v>
      </c>
      <c r="E1" s="43" t="s">
        <v>15</v>
      </c>
      <c r="F1" s="43" t="s">
        <v>16</v>
      </c>
      <c r="G1" s="43" t="s">
        <v>40</v>
      </c>
      <c r="H1" s="43" t="s">
        <v>18</v>
      </c>
      <c r="I1" s="43" t="s">
        <v>19</v>
      </c>
      <c r="J1" s="43" t="s">
        <v>20</v>
      </c>
      <c r="K1" s="43" t="s">
        <v>21</v>
      </c>
      <c r="L1" s="43" t="s">
        <v>22</v>
      </c>
      <c r="M1" s="54" t="s">
        <v>102</v>
      </c>
      <c r="N1" s="54" t="s">
        <v>103</v>
      </c>
      <c r="O1" s="43" t="s">
        <v>1</v>
      </c>
      <c r="P1" s="43" t="s">
        <v>2</v>
      </c>
      <c r="Q1" s="43" t="s">
        <v>3</v>
      </c>
      <c r="R1" s="43" t="s">
        <v>4</v>
      </c>
      <c r="S1" s="43" t="s">
        <v>5</v>
      </c>
      <c r="T1" s="43" t="s">
        <v>6</v>
      </c>
      <c r="U1" s="43" t="s">
        <v>7</v>
      </c>
      <c r="V1" s="43" t="s">
        <v>8</v>
      </c>
      <c r="W1" s="43" t="s">
        <v>180</v>
      </c>
      <c r="X1" s="43" t="s">
        <v>9</v>
      </c>
      <c r="Y1" s="43" t="s">
        <v>180</v>
      </c>
      <c r="Z1" s="43" t="s">
        <v>108</v>
      </c>
      <c r="AA1" s="43" t="s">
        <v>107</v>
      </c>
      <c r="AB1" s="43" t="s">
        <v>24</v>
      </c>
      <c r="AC1" s="43" t="s">
        <v>106</v>
      </c>
      <c r="AD1" s="43" t="s">
        <v>25</v>
      </c>
      <c r="AE1" s="43" t="s">
        <v>26</v>
      </c>
      <c r="AF1" s="43" t="s">
        <v>111</v>
      </c>
      <c r="AG1" s="43" t="s">
        <v>173</v>
      </c>
    </row>
    <row r="2" spans="1:34" ht="25.5" x14ac:dyDescent="0.25">
      <c r="A2" s="35" t="s">
        <v>200</v>
      </c>
      <c r="B2" s="35" t="s">
        <v>164</v>
      </c>
      <c r="C2" s="32" t="s">
        <v>201</v>
      </c>
      <c r="D2" s="32" t="s">
        <v>202</v>
      </c>
      <c r="E2" s="32" t="s">
        <v>203</v>
      </c>
      <c r="F2" s="32" t="s">
        <v>204</v>
      </c>
      <c r="G2" s="32" t="s">
        <v>205</v>
      </c>
      <c r="H2" s="32" t="s">
        <v>206</v>
      </c>
      <c r="I2" s="35">
        <v>5</v>
      </c>
      <c r="J2" s="35">
        <v>5</v>
      </c>
      <c r="K2" s="35" t="s">
        <v>71</v>
      </c>
      <c r="L2" s="35">
        <v>0.6</v>
      </c>
      <c r="M2" s="35" t="s">
        <v>53</v>
      </c>
      <c r="N2" s="35" t="s">
        <v>45</v>
      </c>
      <c r="O2" s="35" t="s">
        <v>196</v>
      </c>
      <c r="P2" s="35" t="s">
        <v>197</v>
      </c>
      <c r="Q2" s="35" t="s">
        <v>72</v>
      </c>
      <c r="R2" s="35" t="s">
        <v>52</v>
      </c>
      <c r="S2" s="35" t="s">
        <v>148</v>
      </c>
      <c r="T2" s="35" t="s">
        <v>198</v>
      </c>
      <c r="U2" s="35" t="s">
        <v>199</v>
      </c>
      <c r="V2" s="35" t="s">
        <v>53</v>
      </c>
      <c r="W2" s="13" t="s">
        <v>53</v>
      </c>
      <c r="X2" s="35" t="s">
        <v>53</v>
      </c>
      <c r="Y2" s="13" t="s">
        <v>53</v>
      </c>
      <c r="Z2" s="13" t="s">
        <v>46</v>
      </c>
      <c r="AA2" s="35" t="s">
        <v>61</v>
      </c>
      <c r="AB2" s="35" t="s">
        <v>222</v>
      </c>
      <c r="AC2" s="35" t="s">
        <v>222</v>
      </c>
      <c r="AD2" s="35" t="s">
        <v>222</v>
      </c>
      <c r="AE2" s="13" t="s">
        <v>222</v>
      </c>
      <c r="AF2" s="35"/>
      <c r="AG2" s="35" t="s">
        <v>222</v>
      </c>
      <c r="AH2" s="91"/>
    </row>
    <row r="3" spans="1:34" ht="25.5" x14ac:dyDescent="0.25">
      <c r="A3" s="35" t="s">
        <v>200</v>
      </c>
      <c r="B3" s="35" t="s">
        <v>164</v>
      </c>
      <c r="C3" s="85" t="s">
        <v>207</v>
      </c>
      <c r="D3" s="85" t="s">
        <v>208</v>
      </c>
      <c r="E3" s="86" t="s">
        <v>209</v>
      </c>
      <c r="F3" s="35" t="s">
        <v>210</v>
      </c>
      <c r="G3" s="35"/>
      <c r="H3" s="35" t="s">
        <v>211</v>
      </c>
      <c r="I3" s="35">
        <v>2</v>
      </c>
      <c r="J3" s="35">
        <v>4</v>
      </c>
      <c r="K3" s="35" t="s">
        <v>77</v>
      </c>
      <c r="L3" s="35">
        <v>0.44</v>
      </c>
      <c r="M3" s="35" t="s">
        <v>53</v>
      </c>
      <c r="N3" s="35" t="s">
        <v>45</v>
      </c>
      <c r="O3" s="35" t="s">
        <v>196</v>
      </c>
      <c r="P3" s="35" t="s">
        <v>197</v>
      </c>
      <c r="Q3" s="35" t="s">
        <v>72</v>
      </c>
      <c r="R3" s="35" t="s">
        <v>52</v>
      </c>
      <c r="S3" s="35" t="s">
        <v>148</v>
      </c>
      <c r="T3" s="35" t="s">
        <v>198</v>
      </c>
      <c r="U3" s="35" t="s">
        <v>199</v>
      </c>
      <c r="V3" s="35" t="s">
        <v>53</v>
      </c>
      <c r="W3" s="13" t="s">
        <v>53</v>
      </c>
      <c r="X3" s="35" t="s">
        <v>53</v>
      </c>
      <c r="Y3" s="13" t="s">
        <v>53</v>
      </c>
      <c r="Z3" s="13" t="s">
        <v>46</v>
      </c>
      <c r="AA3" s="35" t="s">
        <v>61</v>
      </c>
      <c r="AB3" s="35" t="s">
        <v>222</v>
      </c>
      <c r="AC3" s="35" t="s">
        <v>222</v>
      </c>
      <c r="AD3" s="35" t="s">
        <v>222</v>
      </c>
      <c r="AE3" s="13" t="s">
        <v>222</v>
      </c>
      <c r="AF3" s="35"/>
      <c r="AG3" s="35" t="s">
        <v>222</v>
      </c>
      <c r="AH3" s="91"/>
    </row>
    <row r="4" spans="1:34" ht="25.5" x14ac:dyDescent="0.25">
      <c r="A4" s="35" t="s">
        <v>200</v>
      </c>
      <c r="B4" s="35" t="s">
        <v>164</v>
      </c>
      <c r="C4" s="35" t="s">
        <v>212</v>
      </c>
      <c r="D4" s="35" t="s">
        <v>193</v>
      </c>
      <c r="E4" s="35" t="s">
        <v>213</v>
      </c>
      <c r="F4" s="35" t="s">
        <v>214</v>
      </c>
      <c r="G4" s="35" t="s">
        <v>215</v>
      </c>
      <c r="H4" s="35" t="s">
        <v>216</v>
      </c>
      <c r="I4" s="35">
        <v>5</v>
      </c>
      <c r="J4" s="35">
        <v>5</v>
      </c>
      <c r="K4" s="35" t="s">
        <v>83</v>
      </c>
      <c r="L4" s="35">
        <v>1</v>
      </c>
      <c r="M4" s="35" t="s">
        <v>53</v>
      </c>
      <c r="N4" s="35" t="s">
        <v>45</v>
      </c>
      <c r="O4" s="35" t="s">
        <v>196</v>
      </c>
      <c r="P4" s="35" t="s">
        <v>197</v>
      </c>
      <c r="Q4" s="35" t="s">
        <v>72</v>
      </c>
      <c r="R4" s="35" t="s">
        <v>52</v>
      </c>
      <c r="S4" s="35" t="s">
        <v>148</v>
      </c>
      <c r="T4" s="35" t="s">
        <v>198</v>
      </c>
      <c r="U4" s="35" t="s">
        <v>199</v>
      </c>
      <c r="V4" s="35" t="s">
        <v>53</v>
      </c>
      <c r="W4" s="13" t="s">
        <v>53</v>
      </c>
      <c r="X4" s="35" t="s">
        <v>53</v>
      </c>
      <c r="Y4" s="13" t="s">
        <v>53</v>
      </c>
      <c r="Z4" s="13" t="s">
        <v>46</v>
      </c>
      <c r="AA4" s="35" t="s">
        <v>61</v>
      </c>
      <c r="AB4" s="35" t="s">
        <v>222</v>
      </c>
      <c r="AC4" s="35" t="s">
        <v>222</v>
      </c>
      <c r="AD4" s="35" t="s">
        <v>222</v>
      </c>
      <c r="AE4" s="13" t="s">
        <v>222</v>
      </c>
      <c r="AF4" s="35"/>
      <c r="AG4" s="35" t="s">
        <v>222</v>
      </c>
      <c r="AH4" s="91"/>
    </row>
    <row r="5" spans="1:34" ht="25.5" x14ac:dyDescent="0.25">
      <c r="A5" s="35" t="s">
        <v>200</v>
      </c>
      <c r="B5" s="35" t="s">
        <v>164</v>
      </c>
      <c r="C5" s="35" t="s">
        <v>217</v>
      </c>
      <c r="D5" s="35" t="s">
        <v>193</v>
      </c>
      <c r="E5" s="35" t="s">
        <v>218</v>
      </c>
      <c r="F5" s="35" t="s">
        <v>219</v>
      </c>
      <c r="G5" s="35" t="s">
        <v>220</v>
      </c>
      <c r="H5" s="35" t="s">
        <v>221</v>
      </c>
      <c r="I5" s="35">
        <v>5</v>
      </c>
      <c r="J5" s="35">
        <v>5</v>
      </c>
      <c r="K5" s="35" t="s">
        <v>77</v>
      </c>
      <c r="L5" s="35">
        <v>0.6</v>
      </c>
      <c r="M5" s="35" t="s">
        <v>53</v>
      </c>
      <c r="N5" s="35" t="s">
        <v>45</v>
      </c>
      <c r="O5" s="35" t="s">
        <v>196</v>
      </c>
      <c r="P5" s="35" t="s">
        <v>197</v>
      </c>
      <c r="Q5" s="35" t="s">
        <v>72</v>
      </c>
      <c r="R5" s="35" t="s">
        <v>52</v>
      </c>
      <c r="S5" s="35" t="s">
        <v>148</v>
      </c>
      <c r="T5" s="35" t="s">
        <v>198</v>
      </c>
      <c r="U5" s="35" t="s">
        <v>199</v>
      </c>
      <c r="V5" s="35" t="s">
        <v>53</v>
      </c>
      <c r="W5" s="13" t="s">
        <v>53</v>
      </c>
      <c r="X5" s="35" t="s">
        <v>53</v>
      </c>
      <c r="Y5" s="13" t="s">
        <v>53</v>
      </c>
      <c r="Z5" s="13" t="s">
        <v>46</v>
      </c>
      <c r="AA5" s="35" t="s">
        <v>61</v>
      </c>
      <c r="AB5" s="35" t="s">
        <v>222</v>
      </c>
      <c r="AC5" s="35" t="s">
        <v>222</v>
      </c>
      <c r="AD5" s="35" t="s">
        <v>222</v>
      </c>
      <c r="AE5" s="13" t="s">
        <v>222</v>
      </c>
      <c r="AF5" s="35"/>
      <c r="AG5" s="35" t="s">
        <v>222</v>
      </c>
      <c r="AH5" s="91"/>
    </row>
    <row r="6" spans="1:34" ht="38.25" x14ac:dyDescent="0.25">
      <c r="A6" s="35" t="s">
        <v>200</v>
      </c>
      <c r="B6" s="35" t="s">
        <v>784</v>
      </c>
      <c r="C6" s="35" t="s">
        <v>228</v>
      </c>
      <c r="D6" s="35" t="s">
        <v>153</v>
      </c>
      <c r="E6" s="35" t="s">
        <v>27</v>
      </c>
      <c r="F6" s="35" t="s">
        <v>230</v>
      </c>
      <c r="G6" s="35">
        <v>11993830096</v>
      </c>
      <c r="H6" s="35" t="s">
        <v>231</v>
      </c>
      <c r="I6" s="35">
        <v>1</v>
      </c>
      <c r="J6" s="35">
        <v>1</v>
      </c>
      <c r="K6" s="35" t="s">
        <v>64</v>
      </c>
      <c r="L6" s="35"/>
      <c r="M6" s="35" t="s">
        <v>53</v>
      </c>
      <c r="N6" s="35" t="s">
        <v>45</v>
      </c>
      <c r="O6" s="35" t="s">
        <v>468</v>
      </c>
      <c r="P6" s="35" t="s">
        <v>226</v>
      </c>
      <c r="Q6" s="35" t="s">
        <v>58</v>
      </c>
      <c r="R6" s="35" t="s">
        <v>52</v>
      </c>
      <c r="S6" s="35" t="s">
        <v>148</v>
      </c>
      <c r="T6" s="35" t="s">
        <v>224</v>
      </c>
      <c r="U6" s="35" t="s">
        <v>225</v>
      </c>
      <c r="V6" s="35" t="s">
        <v>53</v>
      </c>
      <c r="W6" s="13" t="s">
        <v>53</v>
      </c>
      <c r="X6" s="35" t="s">
        <v>53</v>
      </c>
      <c r="Y6" s="13" t="s">
        <v>53</v>
      </c>
      <c r="Z6" s="13" t="s">
        <v>46</v>
      </c>
      <c r="AA6" s="35" t="s">
        <v>222</v>
      </c>
      <c r="AB6" s="35" t="s">
        <v>222</v>
      </c>
      <c r="AC6" s="35" t="s">
        <v>222</v>
      </c>
      <c r="AD6" s="35" t="s">
        <v>222</v>
      </c>
      <c r="AE6" s="13" t="s">
        <v>222</v>
      </c>
      <c r="AF6" s="35"/>
      <c r="AG6" s="35" t="s">
        <v>227</v>
      </c>
    </row>
    <row r="7" spans="1:34" ht="38.25" x14ac:dyDescent="0.25">
      <c r="A7" s="35" t="s">
        <v>200</v>
      </c>
      <c r="B7" s="35" t="s">
        <v>784</v>
      </c>
      <c r="C7" s="35" t="s">
        <v>232</v>
      </c>
      <c r="D7" s="35" t="s">
        <v>193</v>
      </c>
      <c r="E7" s="35" t="s">
        <v>233</v>
      </c>
      <c r="F7" s="35" t="s">
        <v>234</v>
      </c>
      <c r="G7" s="35">
        <v>11982954858</v>
      </c>
      <c r="H7" s="35" t="s">
        <v>235</v>
      </c>
      <c r="I7" s="35">
        <v>5</v>
      </c>
      <c r="J7" s="35">
        <v>5</v>
      </c>
      <c r="K7" s="35" t="s">
        <v>77</v>
      </c>
      <c r="L7" s="35">
        <v>0.6</v>
      </c>
      <c r="M7" s="35" t="s">
        <v>53</v>
      </c>
      <c r="N7" s="35" t="s">
        <v>45</v>
      </c>
      <c r="O7" s="35" t="s">
        <v>468</v>
      </c>
      <c r="P7" s="35" t="s">
        <v>226</v>
      </c>
      <c r="Q7" s="35" t="s">
        <v>58</v>
      </c>
      <c r="R7" s="35" t="s">
        <v>52</v>
      </c>
      <c r="S7" s="35" t="s">
        <v>148</v>
      </c>
      <c r="T7" s="35" t="s">
        <v>224</v>
      </c>
      <c r="U7" s="35" t="s">
        <v>225</v>
      </c>
      <c r="V7" s="35" t="s">
        <v>53</v>
      </c>
      <c r="W7" s="35" t="s">
        <v>53</v>
      </c>
      <c r="X7" s="35" t="s">
        <v>53</v>
      </c>
      <c r="Y7" s="35" t="s">
        <v>53</v>
      </c>
      <c r="Z7" s="35" t="s">
        <v>46</v>
      </c>
      <c r="AA7" s="35" t="s">
        <v>222</v>
      </c>
      <c r="AB7" s="35" t="s">
        <v>222</v>
      </c>
      <c r="AC7" s="35" t="s">
        <v>222</v>
      </c>
      <c r="AD7" s="35" t="s">
        <v>222</v>
      </c>
      <c r="AE7" s="35" t="s">
        <v>222</v>
      </c>
      <c r="AF7" s="35"/>
      <c r="AG7" s="35" t="s">
        <v>227</v>
      </c>
      <c r="AH7" s="90"/>
    </row>
    <row r="8" spans="1:34" ht="38.25" x14ac:dyDescent="0.25">
      <c r="A8" s="35" t="s">
        <v>200</v>
      </c>
      <c r="B8" s="35" t="s">
        <v>784</v>
      </c>
      <c r="C8" s="35" t="s">
        <v>236</v>
      </c>
      <c r="D8" s="35" t="s">
        <v>229</v>
      </c>
      <c r="E8" s="35" t="s">
        <v>237</v>
      </c>
      <c r="F8" s="35" t="s">
        <v>238</v>
      </c>
      <c r="G8" s="35">
        <v>11971330645</v>
      </c>
      <c r="H8" s="35" t="s">
        <v>239</v>
      </c>
      <c r="I8" s="35">
        <v>1</v>
      </c>
      <c r="J8" s="35">
        <v>1</v>
      </c>
      <c r="K8" s="35" t="s">
        <v>64</v>
      </c>
      <c r="L8" s="35">
        <v>0.48</v>
      </c>
      <c r="M8" s="35" t="s">
        <v>53</v>
      </c>
      <c r="N8" s="35" t="s">
        <v>45</v>
      </c>
      <c r="O8" s="35" t="s">
        <v>468</v>
      </c>
      <c r="P8" s="35" t="s">
        <v>226</v>
      </c>
      <c r="Q8" s="35" t="s">
        <v>58</v>
      </c>
      <c r="R8" s="35" t="s">
        <v>52</v>
      </c>
      <c r="S8" s="35" t="s">
        <v>148</v>
      </c>
      <c r="T8" s="35" t="s">
        <v>224</v>
      </c>
      <c r="U8" s="35" t="s">
        <v>225</v>
      </c>
      <c r="V8" s="35" t="s">
        <v>53</v>
      </c>
      <c r="W8" s="35" t="s">
        <v>53</v>
      </c>
      <c r="X8" s="35" t="s">
        <v>53</v>
      </c>
      <c r="Y8" s="35" t="s">
        <v>53</v>
      </c>
      <c r="Z8" s="35" t="s">
        <v>46</v>
      </c>
      <c r="AA8" s="35" t="s">
        <v>222</v>
      </c>
      <c r="AB8" s="35" t="s">
        <v>222</v>
      </c>
      <c r="AC8" s="35" t="s">
        <v>222</v>
      </c>
      <c r="AD8" s="35" t="s">
        <v>222</v>
      </c>
      <c r="AE8" s="35" t="s">
        <v>222</v>
      </c>
      <c r="AF8" s="35"/>
      <c r="AG8" s="35" t="s">
        <v>227</v>
      </c>
      <c r="AH8" s="90"/>
    </row>
    <row r="9" spans="1:34" ht="25.5" x14ac:dyDescent="0.25">
      <c r="A9" s="35" t="s">
        <v>200</v>
      </c>
      <c r="B9" s="35" t="s">
        <v>784</v>
      </c>
      <c r="C9" s="35" t="s">
        <v>247</v>
      </c>
      <c r="D9" s="35" t="s">
        <v>153</v>
      </c>
      <c r="E9" s="35" t="s">
        <v>248</v>
      </c>
      <c r="F9" s="35" t="s">
        <v>249</v>
      </c>
      <c r="G9" s="35"/>
      <c r="H9" s="35" t="s">
        <v>250</v>
      </c>
      <c r="I9" s="35">
        <v>1</v>
      </c>
      <c r="J9" s="35">
        <v>3</v>
      </c>
      <c r="K9" s="35" t="s">
        <v>64</v>
      </c>
      <c r="L9" s="35">
        <v>0.56000000000000005</v>
      </c>
      <c r="M9" s="35" t="s">
        <v>53</v>
      </c>
      <c r="N9" s="35" t="s">
        <v>45</v>
      </c>
      <c r="O9" s="35" t="s">
        <v>240</v>
      </c>
      <c r="P9" s="35" t="s">
        <v>241</v>
      </c>
      <c r="Q9" s="35" t="s">
        <v>85</v>
      </c>
      <c r="R9" s="35" t="s">
        <v>82</v>
      </c>
      <c r="S9" s="35" t="s">
        <v>242</v>
      </c>
      <c r="T9" s="35" t="s">
        <v>243</v>
      </c>
      <c r="U9" s="35" t="s">
        <v>244</v>
      </c>
      <c r="V9" s="35" t="s">
        <v>53</v>
      </c>
      <c r="W9" s="35" t="s">
        <v>53</v>
      </c>
      <c r="X9" s="35" t="s">
        <v>53</v>
      </c>
      <c r="Y9" s="35" t="s">
        <v>53</v>
      </c>
      <c r="Z9" s="35" t="s">
        <v>245</v>
      </c>
      <c r="AA9" s="35" t="s">
        <v>47</v>
      </c>
      <c r="AB9" s="35" t="s">
        <v>222</v>
      </c>
      <c r="AC9" s="35" t="s">
        <v>222</v>
      </c>
      <c r="AD9" s="35" t="s">
        <v>222</v>
      </c>
      <c r="AE9" s="35" t="s">
        <v>246</v>
      </c>
      <c r="AF9" s="35"/>
      <c r="AG9" s="35" t="s">
        <v>292</v>
      </c>
      <c r="AH9" s="90"/>
    </row>
    <row r="10" spans="1:34" ht="25.5" x14ac:dyDescent="0.25">
      <c r="A10" s="35" t="s">
        <v>200</v>
      </c>
      <c r="B10" s="35" t="s">
        <v>784</v>
      </c>
      <c r="C10" s="35" t="s">
        <v>251</v>
      </c>
      <c r="D10" s="35" t="s">
        <v>252</v>
      </c>
      <c r="E10" s="35" t="s">
        <v>253</v>
      </c>
      <c r="F10" s="35" t="s">
        <v>254</v>
      </c>
      <c r="G10" s="35" t="s">
        <v>255</v>
      </c>
      <c r="H10" s="35" t="s">
        <v>256</v>
      </c>
      <c r="I10" s="35">
        <v>1</v>
      </c>
      <c r="J10" s="35">
        <v>3</v>
      </c>
      <c r="K10" s="35" t="s">
        <v>64</v>
      </c>
      <c r="L10" s="35">
        <v>0.56000000000000005</v>
      </c>
      <c r="M10" s="35" t="s">
        <v>53</v>
      </c>
      <c r="N10" s="35" t="s">
        <v>45</v>
      </c>
      <c r="O10" s="35" t="s">
        <v>240</v>
      </c>
      <c r="P10" s="35" t="s">
        <v>241</v>
      </c>
      <c r="Q10" s="35" t="s">
        <v>85</v>
      </c>
      <c r="R10" s="35" t="s">
        <v>82</v>
      </c>
      <c r="S10" s="35" t="s">
        <v>242</v>
      </c>
      <c r="T10" s="35" t="s">
        <v>243</v>
      </c>
      <c r="U10" s="35" t="s">
        <v>244</v>
      </c>
      <c r="V10" s="35" t="s">
        <v>53</v>
      </c>
      <c r="W10" s="35" t="s">
        <v>53</v>
      </c>
      <c r="X10" s="35" t="s">
        <v>53</v>
      </c>
      <c r="Y10" s="35" t="s">
        <v>53</v>
      </c>
      <c r="Z10" s="35" t="s">
        <v>245</v>
      </c>
      <c r="AA10" s="35" t="s">
        <v>47</v>
      </c>
      <c r="AB10" s="35" t="s">
        <v>222</v>
      </c>
      <c r="AC10" s="35" t="s">
        <v>222</v>
      </c>
      <c r="AD10" s="35" t="s">
        <v>222</v>
      </c>
      <c r="AE10" s="35" t="s">
        <v>246</v>
      </c>
      <c r="AF10" s="35"/>
      <c r="AG10" s="35" t="s">
        <v>292</v>
      </c>
      <c r="AH10" s="90"/>
    </row>
    <row r="11" spans="1:34" ht="25.5" x14ac:dyDescent="0.25">
      <c r="A11" s="35" t="s">
        <v>200</v>
      </c>
      <c r="B11" s="35" t="s">
        <v>784</v>
      </c>
      <c r="C11" s="35" t="s">
        <v>257</v>
      </c>
      <c r="D11" s="35" t="s">
        <v>185</v>
      </c>
      <c r="E11" s="35" t="s">
        <v>187</v>
      </c>
      <c r="F11" s="35" t="s">
        <v>258</v>
      </c>
      <c r="G11" s="35"/>
      <c r="H11" s="35" t="s">
        <v>259</v>
      </c>
      <c r="I11" s="35">
        <v>1</v>
      </c>
      <c r="J11" s="35">
        <v>3</v>
      </c>
      <c r="K11" s="35" t="s">
        <v>77</v>
      </c>
      <c r="L11" s="35">
        <v>0.36</v>
      </c>
      <c r="M11" s="35" t="s">
        <v>53</v>
      </c>
      <c r="N11" s="35" t="s">
        <v>45</v>
      </c>
      <c r="O11" s="35" t="s">
        <v>240</v>
      </c>
      <c r="P11" s="35" t="s">
        <v>241</v>
      </c>
      <c r="Q11" s="35" t="s">
        <v>85</v>
      </c>
      <c r="R11" s="35" t="s">
        <v>82</v>
      </c>
      <c r="S11" s="35" t="s">
        <v>242</v>
      </c>
      <c r="T11" s="35" t="s">
        <v>243</v>
      </c>
      <c r="U11" s="35" t="s">
        <v>244</v>
      </c>
      <c r="V11" s="35" t="s">
        <v>53</v>
      </c>
      <c r="W11" s="35" t="s">
        <v>53</v>
      </c>
      <c r="X11" s="35" t="s">
        <v>53</v>
      </c>
      <c r="Y11" s="35" t="s">
        <v>53</v>
      </c>
      <c r="Z11" s="35" t="s">
        <v>245</v>
      </c>
      <c r="AA11" s="35" t="s">
        <v>47</v>
      </c>
      <c r="AB11" s="35" t="s">
        <v>222</v>
      </c>
      <c r="AC11" s="35" t="s">
        <v>222</v>
      </c>
      <c r="AD11" s="35" t="s">
        <v>222</v>
      </c>
      <c r="AE11" s="35" t="s">
        <v>246</v>
      </c>
      <c r="AF11" s="35"/>
      <c r="AG11" s="35" t="s">
        <v>292</v>
      </c>
      <c r="AH11" s="90"/>
    </row>
    <row r="12" spans="1:34" ht="25.5" x14ac:dyDescent="0.25">
      <c r="A12" s="35" t="s">
        <v>200</v>
      </c>
      <c r="B12" s="35" t="s">
        <v>784</v>
      </c>
      <c r="C12" s="35" t="s">
        <v>260</v>
      </c>
      <c r="D12" s="35" t="s">
        <v>193</v>
      </c>
      <c r="E12" s="35" t="s">
        <v>261</v>
      </c>
      <c r="F12" s="35" t="s">
        <v>262</v>
      </c>
      <c r="G12" s="35"/>
      <c r="H12" s="35" t="s">
        <v>263</v>
      </c>
      <c r="I12" s="35">
        <v>2</v>
      </c>
      <c r="J12" s="35">
        <v>3</v>
      </c>
      <c r="K12" s="35" t="s">
        <v>77</v>
      </c>
      <c r="L12" s="35">
        <v>0.4</v>
      </c>
      <c r="M12" s="35" t="s">
        <v>53</v>
      </c>
      <c r="N12" s="35" t="s">
        <v>45</v>
      </c>
      <c r="O12" s="35" t="s">
        <v>240</v>
      </c>
      <c r="P12" s="35" t="s">
        <v>241</v>
      </c>
      <c r="Q12" s="35" t="s">
        <v>85</v>
      </c>
      <c r="R12" s="35" t="s">
        <v>82</v>
      </c>
      <c r="S12" s="35" t="s">
        <v>242</v>
      </c>
      <c r="T12" s="35" t="s">
        <v>243</v>
      </c>
      <c r="U12" s="35" t="s">
        <v>244</v>
      </c>
      <c r="V12" s="35" t="s">
        <v>53</v>
      </c>
      <c r="W12" s="35" t="s">
        <v>53</v>
      </c>
      <c r="X12" s="35" t="s">
        <v>53</v>
      </c>
      <c r="Y12" s="35" t="s">
        <v>53</v>
      </c>
      <c r="Z12" s="35" t="s">
        <v>245</v>
      </c>
      <c r="AA12" s="35" t="s">
        <v>47</v>
      </c>
      <c r="AB12" s="35" t="s">
        <v>222</v>
      </c>
      <c r="AC12" s="35" t="s">
        <v>222</v>
      </c>
      <c r="AD12" s="35" t="s">
        <v>222</v>
      </c>
      <c r="AE12" s="35" t="s">
        <v>246</v>
      </c>
      <c r="AF12" s="35"/>
      <c r="AG12" s="35" t="s">
        <v>292</v>
      </c>
      <c r="AH12" s="90"/>
    </row>
    <row r="13" spans="1:34" ht="25.5" x14ac:dyDescent="0.25">
      <c r="A13" s="35" t="s">
        <v>200</v>
      </c>
      <c r="B13" s="35" t="s">
        <v>784</v>
      </c>
      <c r="C13" s="35" t="s">
        <v>264</v>
      </c>
      <c r="D13" s="35" t="s">
        <v>193</v>
      </c>
      <c r="E13" s="35" t="s">
        <v>265</v>
      </c>
      <c r="F13" s="35" t="s">
        <v>266</v>
      </c>
      <c r="G13" s="35" t="s">
        <v>267</v>
      </c>
      <c r="H13" s="35" t="s">
        <v>268</v>
      </c>
      <c r="I13" s="35">
        <v>5</v>
      </c>
      <c r="J13" s="35">
        <v>5</v>
      </c>
      <c r="K13" s="35" t="s">
        <v>83</v>
      </c>
      <c r="L13" s="35">
        <v>1</v>
      </c>
      <c r="M13" s="35" t="s">
        <v>53</v>
      </c>
      <c r="N13" s="35" t="s">
        <v>45</v>
      </c>
      <c r="O13" s="35" t="s">
        <v>240</v>
      </c>
      <c r="P13" s="35" t="s">
        <v>241</v>
      </c>
      <c r="Q13" s="35" t="s">
        <v>85</v>
      </c>
      <c r="R13" s="35" t="s">
        <v>82</v>
      </c>
      <c r="S13" s="35" t="s">
        <v>242</v>
      </c>
      <c r="T13" s="35" t="s">
        <v>243</v>
      </c>
      <c r="U13" s="35" t="s">
        <v>244</v>
      </c>
      <c r="V13" s="35" t="s">
        <v>53</v>
      </c>
      <c r="W13" s="35" t="s">
        <v>53</v>
      </c>
      <c r="X13" s="35" t="s">
        <v>53</v>
      </c>
      <c r="Y13" s="35" t="s">
        <v>53</v>
      </c>
      <c r="Z13" s="35" t="s">
        <v>245</v>
      </c>
      <c r="AA13" s="35" t="s">
        <v>47</v>
      </c>
      <c r="AB13" s="35" t="s">
        <v>222</v>
      </c>
      <c r="AC13" s="35" t="s">
        <v>222</v>
      </c>
      <c r="AD13" s="35" t="s">
        <v>222</v>
      </c>
      <c r="AE13" s="35" t="s">
        <v>246</v>
      </c>
      <c r="AF13" s="35"/>
      <c r="AG13" s="35" t="s">
        <v>292</v>
      </c>
      <c r="AH13" s="90"/>
    </row>
    <row r="14" spans="1:34" ht="25.5" x14ac:dyDescent="0.25">
      <c r="A14" s="35" t="s">
        <v>200</v>
      </c>
      <c r="B14" s="35" t="s">
        <v>784</v>
      </c>
      <c r="C14" s="35" t="s">
        <v>269</v>
      </c>
      <c r="D14" s="35" t="s">
        <v>193</v>
      </c>
      <c r="E14" s="35" t="s">
        <v>270</v>
      </c>
      <c r="F14" s="35" t="s">
        <v>271</v>
      </c>
      <c r="G14" s="35"/>
      <c r="H14" s="35" t="s">
        <v>272</v>
      </c>
      <c r="I14" s="35">
        <v>1</v>
      </c>
      <c r="J14" s="35">
        <v>3</v>
      </c>
      <c r="K14" s="35" t="s">
        <v>50</v>
      </c>
      <c r="L14" s="35">
        <v>0.56000000000000005</v>
      </c>
      <c r="M14" s="35" t="s">
        <v>53</v>
      </c>
      <c r="N14" s="35" t="s">
        <v>45</v>
      </c>
      <c r="O14" s="35" t="s">
        <v>240</v>
      </c>
      <c r="P14" s="35" t="s">
        <v>241</v>
      </c>
      <c r="Q14" s="35" t="s">
        <v>85</v>
      </c>
      <c r="R14" s="35" t="s">
        <v>82</v>
      </c>
      <c r="S14" s="35" t="s">
        <v>242</v>
      </c>
      <c r="T14" s="35" t="s">
        <v>243</v>
      </c>
      <c r="U14" s="35" t="s">
        <v>244</v>
      </c>
      <c r="V14" s="35" t="s">
        <v>53</v>
      </c>
      <c r="W14" s="35" t="s">
        <v>53</v>
      </c>
      <c r="X14" s="35" t="s">
        <v>53</v>
      </c>
      <c r="Y14" s="35" t="s">
        <v>53</v>
      </c>
      <c r="Z14" s="35" t="s">
        <v>245</v>
      </c>
      <c r="AA14" s="35" t="s">
        <v>47</v>
      </c>
      <c r="AB14" s="35" t="s">
        <v>222</v>
      </c>
      <c r="AC14" s="35" t="s">
        <v>222</v>
      </c>
      <c r="AD14" s="35" t="s">
        <v>222</v>
      </c>
      <c r="AE14" s="35" t="s">
        <v>246</v>
      </c>
      <c r="AF14" s="35"/>
      <c r="AG14" s="35" t="s">
        <v>292</v>
      </c>
      <c r="AH14" s="90"/>
    </row>
    <row r="15" spans="1:34" ht="25.5" x14ac:dyDescent="0.25">
      <c r="A15" s="35" t="s">
        <v>200</v>
      </c>
      <c r="B15" s="35" t="s">
        <v>164</v>
      </c>
      <c r="C15" s="35" t="s">
        <v>273</v>
      </c>
      <c r="D15" s="35" t="s">
        <v>274</v>
      </c>
      <c r="E15" s="35" t="s">
        <v>275</v>
      </c>
      <c r="F15" s="35" t="s">
        <v>276</v>
      </c>
      <c r="G15" s="35" t="s">
        <v>277</v>
      </c>
      <c r="H15" s="35" t="s">
        <v>278</v>
      </c>
      <c r="I15" s="35">
        <v>5</v>
      </c>
      <c r="J15" s="35">
        <v>5</v>
      </c>
      <c r="K15" s="35" t="s">
        <v>83</v>
      </c>
      <c r="L15" s="35">
        <v>1</v>
      </c>
      <c r="M15" s="35" t="s">
        <v>53</v>
      </c>
      <c r="N15" s="35" t="s">
        <v>45</v>
      </c>
      <c r="O15" s="35" t="s">
        <v>240</v>
      </c>
      <c r="P15" s="35" t="s">
        <v>241</v>
      </c>
      <c r="Q15" s="35" t="s">
        <v>85</v>
      </c>
      <c r="R15" s="35" t="s">
        <v>82</v>
      </c>
      <c r="S15" s="35" t="s">
        <v>242</v>
      </c>
      <c r="T15" s="35" t="s">
        <v>243</v>
      </c>
      <c r="U15" s="35" t="s">
        <v>244</v>
      </c>
      <c r="V15" s="35" t="s">
        <v>53</v>
      </c>
      <c r="W15" s="35" t="s">
        <v>53</v>
      </c>
      <c r="X15" s="35" t="s">
        <v>53</v>
      </c>
      <c r="Y15" s="35" t="s">
        <v>53</v>
      </c>
      <c r="Z15" s="35" t="s">
        <v>245</v>
      </c>
      <c r="AA15" s="35" t="s">
        <v>47</v>
      </c>
      <c r="AB15" s="35" t="s">
        <v>222</v>
      </c>
      <c r="AC15" s="35" t="s">
        <v>222</v>
      </c>
      <c r="AD15" s="35" t="s">
        <v>222</v>
      </c>
      <c r="AE15" s="35" t="s">
        <v>246</v>
      </c>
      <c r="AF15" s="35"/>
      <c r="AG15" s="35" t="s">
        <v>292</v>
      </c>
    </row>
    <row r="16" spans="1:34" ht="25.5" x14ac:dyDescent="0.25">
      <c r="A16" s="35" t="s">
        <v>200</v>
      </c>
      <c r="B16" s="35" t="s">
        <v>164</v>
      </c>
      <c r="C16" s="35" t="s">
        <v>279</v>
      </c>
      <c r="D16" s="35" t="s">
        <v>280</v>
      </c>
      <c r="E16" s="35" t="s">
        <v>281</v>
      </c>
      <c r="F16" s="35" t="s">
        <v>282</v>
      </c>
      <c r="G16" s="35"/>
      <c r="H16" s="35" t="s">
        <v>283</v>
      </c>
      <c r="I16" s="35">
        <v>2</v>
      </c>
      <c r="J16" s="35">
        <v>3</v>
      </c>
      <c r="K16" s="35" t="s">
        <v>57</v>
      </c>
      <c r="L16" s="35">
        <v>0.2</v>
      </c>
      <c r="M16" s="35" t="s">
        <v>53</v>
      </c>
      <c r="N16" s="35" t="s">
        <v>45</v>
      </c>
      <c r="O16" s="35" t="s">
        <v>240</v>
      </c>
      <c r="P16" s="35" t="s">
        <v>241</v>
      </c>
      <c r="Q16" s="35" t="s">
        <v>85</v>
      </c>
      <c r="R16" s="35" t="s">
        <v>82</v>
      </c>
      <c r="S16" s="35" t="s">
        <v>242</v>
      </c>
      <c r="T16" s="35" t="s">
        <v>243</v>
      </c>
      <c r="U16" s="35" t="s">
        <v>244</v>
      </c>
      <c r="V16" s="35" t="s">
        <v>53</v>
      </c>
      <c r="W16" s="35" t="s">
        <v>53</v>
      </c>
      <c r="X16" s="35" t="s">
        <v>53</v>
      </c>
      <c r="Y16" s="35" t="s">
        <v>53</v>
      </c>
      <c r="Z16" s="35" t="s">
        <v>245</v>
      </c>
      <c r="AA16" s="35" t="s">
        <v>47</v>
      </c>
      <c r="AB16" s="35" t="s">
        <v>222</v>
      </c>
      <c r="AC16" s="35" t="s">
        <v>222</v>
      </c>
      <c r="AD16" s="35" t="s">
        <v>222</v>
      </c>
      <c r="AE16" s="35" t="s">
        <v>246</v>
      </c>
      <c r="AF16" s="35"/>
      <c r="AG16" s="35" t="s">
        <v>292</v>
      </c>
    </row>
    <row r="17" spans="1:33" ht="25.5" x14ac:dyDescent="0.25">
      <c r="A17" s="35" t="s">
        <v>200</v>
      </c>
      <c r="B17" s="35" t="s">
        <v>164</v>
      </c>
      <c r="C17" s="35" t="s">
        <v>284</v>
      </c>
      <c r="D17" s="35" t="s">
        <v>193</v>
      </c>
      <c r="E17" s="35" t="s">
        <v>285</v>
      </c>
      <c r="F17" s="35" t="s">
        <v>286</v>
      </c>
      <c r="G17" s="35"/>
      <c r="H17" s="35" t="s">
        <v>287</v>
      </c>
      <c r="I17" s="35">
        <v>5</v>
      </c>
      <c r="J17" s="35">
        <v>5</v>
      </c>
      <c r="K17" s="35" t="s">
        <v>83</v>
      </c>
      <c r="L17" s="35">
        <v>1</v>
      </c>
      <c r="M17" s="35" t="s">
        <v>53</v>
      </c>
      <c r="N17" s="35" t="s">
        <v>45</v>
      </c>
      <c r="O17" s="35" t="s">
        <v>240</v>
      </c>
      <c r="P17" s="35" t="s">
        <v>241</v>
      </c>
      <c r="Q17" s="35" t="s">
        <v>85</v>
      </c>
      <c r="R17" s="35" t="s">
        <v>82</v>
      </c>
      <c r="S17" s="35" t="s">
        <v>242</v>
      </c>
      <c r="T17" s="35" t="s">
        <v>243</v>
      </c>
      <c r="U17" s="35" t="s">
        <v>244</v>
      </c>
      <c r="V17" s="35" t="s">
        <v>53</v>
      </c>
      <c r="W17" s="35" t="s">
        <v>53</v>
      </c>
      <c r="X17" s="35" t="s">
        <v>53</v>
      </c>
      <c r="Y17" s="35" t="s">
        <v>53</v>
      </c>
      <c r="Z17" s="35" t="s">
        <v>245</v>
      </c>
      <c r="AA17" s="35" t="s">
        <v>47</v>
      </c>
      <c r="AB17" s="35" t="s">
        <v>222</v>
      </c>
      <c r="AC17" s="35" t="s">
        <v>222</v>
      </c>
      <c r="AD17" s="35" t="s">
        <v>222</v>
      </c>
      <c r="AE17" s="35" t="s">
        <v>246</v>
      </c>
      <c r="AF17" s="35"/>
      <c r="AG17" s="35" t="s">
        <v>292</v>
      </c>
    </row>
    <row r="18" spans="1:33" ht="51" x14ac:dyDescent="0.25">
      <c r="A18" s="35" t="s">
        <v>200</v>
      </c>
      <c r="B18" s="35" t="s">
        <v>784</v>
      </c>
      <c r="C18" s="35" t="s">
        <v>294</v>
      </c>
      <c r="D18" s="35" t="s">
        <v>295</v>
      </c>
      <c r="E18" s="35" t="s">
        <v>296</v>
      </c>
      <c r="F18" s="35" t="s">
        <v>297</v>
      </c>
      <c r="G18" s="35" t="s">
        <v>298</v>
      </c>
      <c r="H18" s="35" t="s">
        <v>299</v>
      </c>
      <c r="I18" s="35">
        <v>4</v>
      </c>
      <c r="J18" s="35">
        <v>5</v>
      </c>
      <c r="K18" s="35" t="s">
        <v>77</v>
      </c>
      <c r="L18" s="35">
        <v>0.56000000000000005</v>
      </c>
      <c r="M18" s="35" t="s">
        <v>45</v>
      </c>
      <c r="N18" s="35" t="s">
        <v>53</v>
      </c>
      <c r="O18" s="35" t="s">
        <v>288</v>
      </c>
      <c r="P18" s="35" t="s">
        <v>289</v>
      </c>
      <c r="Q18" s="35" t="s">
        <v>85</v>
      </c>
      <c r="R18" s="35" t="s">
        <v>82</v>
      </c>
      <c r="S18" s="35" t="s">
        <v>148</v>
      </c>
      <c r="T18" s="35" t="s">
        <v>290</v>
      </c>
      <c r="U18" s="35" t="s">
        <v>291</v>
      </c>
      <c r="V18" s="35" t="s">
        <v>53</v>
      </c>
      <c r="W18" s="35" t="s">
        <v>53</v>
      </c>
      <c r="X18" s="35" t="s">
        <v>53</v>
      </c>
      <c r="Y18" s="35" t="s">
        <v>53</v>
      </c>
      <c r="Z18" s="13" t="s">
        <v>46</v>
      </c>
      <c r="AA18" s="35" t="s">
        <v>61</v>
      </c>
      <c r="AB18" s="35" t="s">
        <v>222</v>
      </c>
      <c r="AC18" s="35" t="s">
        <v>222</v>
      </c>
      <c r="AD18" s="35" t="s">
        <v>222</v>
      </c>
      <c r="AE18" s="13" t="s">
        <v>222</v>
      </c>
      <c r="AF18" s="35"/>
      <c r="AG18" s="35" t="s">
        <v>293</v>
      </c>
    </row>
    <row r="19" spans="1:33" ht="51" x14ac:dyDescent="0.25">
      <c r="A19" s="35" t="s">
        <v>200</v>
      </c>
      <c r="B19" s="35" t="s">
        <v>164</v>
      </c>
      <c r="C19" s="35" t="s">
        <v>300</v>
      </c>
      <c r="D19" s="35" t="s">
        <v>189</v>
      </c>
      <c r="E19" s="35" t="s">
        <v>301</v>
      </c>
      <c r="F19" s="35" t="s">
        <v>302</v>
      </c>
      <c r="G19" s="35"/>
      <c r="H19" s="35" t="s">
        <v>303</v>
      </c>
      <c r="I19" s="35">
        <v>3</v>
      </c>
      <c r="J19" s="35">
        <v>4</v>
      </c>
      <c r="K19" s="35" t="s">
        <v>77</v>
      </c>
      <c r="L19" s="35">
        <v>0.48</v>
      </c>
      <c r="M19" s="35" t="s">
        <v>45</v>
      </c>
      <c r="N19" s="35" t="s">
        <v>53</v>
      </c>
      <c r="O19" s="35" t="s">
        <v>288</v>
      </c>
      <c r="P19" s="35" t="s">
        <v>289</v>
      </c>
      <c r="Q19" s="35" t="s">
        <v>85</v>
      </c>
      <c r="R19" s="35" t="s">
        <v>82</v>
      </c>
      <c r="S19" s="35" t="s">
        <v>148</v>
      </c>
      <c r="T19" s="35" t="s">
        <v>290</v>
      </c>
      <c r="U19" s="35" t="s">
        <v>291</v>
      </c>
      <c r="V19" s="35" t="s">
        <v>53</v>
      </c>
      <c r="W19" s="35" t="s">
        <v>53</v>
      </c>
      <c r="X19" s="35" t="s">
        <v>53</v>
      </c>
      <c r="Y19" s="35" t="s">
        <v>53</v>
      </c>
      <c r="Z19" s="13" t="s">
        <v>46</v>
      </c>
      <c r="AA19" s="35" t="s">
        <v>61</v>
      </c>
      <c r="AB19" s="35" t="s">
        <v>222</v>
      </c>
      <c r="AC19" s="35" t="s">
        <v>222</v>
      </c>
      <c r="AD19" s="35" t="s">
        <v>222</v>
      </c>
      <c r="AE19" s="13" t="s">
        <v>222</v>
      </c>
      <c r="AF19" s="35"/>
      <c r="AG19" s="35" t="s">
        <v>293</v>
      </c>
    </row>
    <row r="20" spans="1:33" ht="51" x14ac:dyDescent="0.25">
      <c r="A20" s="35" t="s">
        <v>200</v>
      </c>
      <c r="B20" s="35" t="s">
        <v>164</v>
      </c>
      <c r="C20" s="35" t="s">
        <v>304</v>
      </c>
      <c r="D20" s="35" t="s">
        <v>305</v>
      </c>
      <c r="E20" s="35" t="s">
        <v>275</v>
      </c>
      <c r="F20" s="35" t="s">
        <v>306</v>
      </c>
      <c r="G20" s="35" t="s">
        <v>307</v>
      </c>
      <c r="H20" s="35" t="s">
        <v>308</v>
      </c>
      <c r="I20" s="35">
        <v>4</v>
      </c>
      <c r="J20" s="35">
        <v>5</v>
      </c>
      <c r="K20" s="35" t="s">
        <v>77</v>
      </c>
      <c r="L20" s="35">
        <v>0.56000000000000005</v>
      </c>
      <c r="M20" s="35" t="s">
        <v>45</v>
      </c>
      <c r="N20" s="35" t="s">
        <v>53</v>
      </c>
      <c r="O20" s="35" t="s">
        <v>288</v>
      </c>
      <c r="P20" s="35" t="s">
        <v>289</v>
      </c>
      <c r="Q20" s="35" t="s">
        <v>85</v>
      </c>
      <c r="R20" s="35" t="s">
        <v>82</v>
      </c>
      <c r="S20" s="35" t="s">
        <v>148</v>
      </c>
      <c r="T20" s="35" t="s">
        <v>290</v>
      </c>
      <c r="U20" s="35" t="s">
        <v>291</v>
      </c>
      <c r="V20" s="35" t="s">
        <v>53</v>
      </c>
      <c r="W20" s="35" t="s">
        <v>53</v>
      </c>
      <c r="X20" s="35" t="s">
        <v>53</v>
      </c>
      <c r="Y20" s="35" t="s">
        <v>53</v>
      </c>
      <c r="Z20" s="13" t="s">
        <v>46</v>
      </c>
      <c r="AA20" s="35" t="s">
        <v>61</v>
      </c>
      <c r="AB20" s="35" t="s">
        <v>222</v>
      </c>
      <c r="AC20" s="35" t="s">
        <v>222</v>
      </c>
      <c r="AD20" s="35" t="s">
        <v>222</v>
      </c>
      <c r="AE20" s="13" t="s">
        <v>222</v>
      </c>
      <c r="AF20" s="35"/>
      <c r="AG20" s="35" t="s">
        <v>293</v>
      </c>
    </row>
    <row r="21" spans="1:33" ht="38.25" x14ac:dyDescent="0.25">
      <c r="A21" s="35" t="s">
        <v>200</v>
      </c>
      <c r="B21" s="35" t="s">
        <v>784</v>
      </c>
      <c r="C21" s="35" t="s">
        <v>317</v>
      </c>
      <c r="D21" s="35" t="s">
        <v>229</v>
      </c>
      <c r="E21" s="35" t="s">
        <v>318</v>
      </c>
      <c r="F21" s="35" t="s">
        <v>1722</v>
      </c>
      <c r="G21" s="35"/>
      <c r="H21" s="36" t="s">
        <v>319</v>
      </c>
      <c r="I21" s="35">
        <v>1</v>
      </c>
      <c r="J21" s="35">
        <v>1</v>
      </c>
      <c r="K21" s="35" t="s">
        <v>50</v>
      </c>
      <c r="L21" s="35">
        <v>0.48</v>
      </c>
      <c r="M21" s="35" t="s">
        <v>45</v>
      </c>
      <c r="N21" s="35" t="s">
        <v>45</v>
      </c>
      <c r="O21" s="35" t="s">
        <v>309</v>
      </c>
      <c r="P21" s="35" t="s">
        <v>310</v>
      </c>
      <c r="Q21" s="35" t="s">
        <v>72</v>
      </c>
      <c r="R21" s="35" t="s">
        <v>52</v>
      </c>
      <c r="S21" s="35" t="s">
        <v>311</v>
      </c>
      <c r="T21" s="35" t="s">
        <v>312</v>
      </c>
      <c r="U21" s="35" t="s">
        <v>313</v>
      </c>
      <c r="V21" s="35" t="s">
        <v>53</v>
      </c>
      <c r="W21" s="35" t="s">
        <v>53</v>
      </c>
      <c r="X21" s="35" t="s">
        <v>53</v>
      </c>
      <c r="Y21" s="35" t="s">
        <v>53</v>
      </c>
      <c r="Z21" s="13" t="s">
        <v>46</v>
      </c>
      <c r="AA21" s="35" t="s">
        <v>314</v>
      </c>
      <c r="AB21" s="35" t="s">
        <v>74</v>
      </c>
      <c r="AC21" s="35" t="s">
        <v>74</v>
      </c>
      <c r="AD21" s="35" t="s">
        <v>74</v>
      </c>
      <c r="AE21" s="25" t="s">
        <v>315</v>
      </c>
      <c r="AF21" s="35"/>
      <c r="AG21" s="35" t="s">
        <v>316</v>
      </c>
    </row>
    <row r="22" spans="1:33" ht="38.25" x14ac:dyDescent="0.25">
      <c r="A22" s="35" t="s">
        <v>200</v>
      </c>
      <c r="B22" s="35" t="s">
        <v>784</v>
      </c>
      <c r="C22" s="35" t="s">
        <v>320</v>
      </c>
      <c r="D22" s="35" t="s">
        <v>252</v>
      </c>
      <c r="E22" s="35" t="s">
        <v>321</v>
      </c>
      <c r="F22" s="35" t="s">
        <v>322</v>
      </c>
      <c r="G22" s="35"/>
      <c r="H22" s="35" t="s">
        <v>323</v>
      </c>
      <c r="I22" s="35">
        <v>1</v>
      </c>
      <c r="J22" s="35">
        <v>2</v>
      </c>
      <c r="K22" s="35" t="s">
        <v>71</v>
      </c>
      <c r="L22" s="35">
        <v>0.32</v>
      </c>
      <c r="M22" s="35" t="s">
        <v>45</v>
      </c>
      <c r="N22" s="35" t="s">
        <v>45</v>
      </c>
      <c r="O22" s="35" t="s">
        <v>309</v>
      </c>
      <c r="P22" s="35" t="s">
        <v>310</v>
      </c>
      <c r="Q22" s="35" t="s">
        <v>72</v>
      </c>
      <c r="R22" s="35" t="s">
        <v>52</v>
      </c>
      <c r="S22" s="35" t="s">
        <v>311</v>
      </c>
      <c r="T22" s="35" t="s">
        <v>312</v>
      </c>
      <c r="U22" s="35" t="s">
        <v>313</v>
      </c>
      <c r="V22" s="35" t="s">
        <v>53</v>
      </c>
      <c r="W22" s="35" t="s">
        <v>53</v>
      </c>
      <c r="X22" s="35" t="s">
        <v>53</v>
      </c>
      <c r="Y22" s="35" t="s">
        <v>53</v>
      </c>
      <c r="Z22" s="13" t="s">
        <v>46</v>
      </c>
      <c r="AA22" s="35" t="s">
        <v>314</v>
      </c>
      <c r="AB22" s="35" t="s">
        <v>74</v>
      </c>
      <c r="AC22" s="35" t="s">
        <v>74</v>
      </c>
      <c r="AD22" s="35" t="s">
        <v>74</v>
      </c>
      <c r="AE22" s="25" t="s">
        <v>315</v>
      </c>
      <c r="AF22" s="35"/>
      <c r="AG22" s="35" t="s">
        <v>316</v>
      </c>
    </row>
    <row r="23" spans="1:33" ht="45" x14ac:dyDescent="0.25">
      <c r="A23" s="35" t="s">
        <v>200</v>
      </c>
      <c r="B23" s="35" t="s">
        <v>784</v>
      </c>
      <c r="C23" s="35" t="s">
        <v>324</v>
      </c>
      <c r="D23" s="35" t="s">
        <v>325</v>
      </c>
      <c r="E23" s="35" t="s">
        <v>326</v>
      </c>
      <c r="F23" s="36" t="s">
        <v>1723</v>
      </c>
      <c r="G23" s="35"/>
      <c r="H23" s="36" t="s">
        <v>1724</v>
      </c>
      <c r="I23" s="35">
        <v>0</v>
      </c>
      <c r="J23" s="35">
        <v>0</v>
      </c>
      <c r="K23" s="35" t="s">
        <v>396</v>
      </c>
      <c r="L23" s="35">
        <v>0</v>
      </c>
      <c r="M23" s="35" t="s">
        <v>45</v>
      </c>
      <c r="N23" s="35" t="s">
        <v>45</v>
      </c>
      <c r="O23" s="35" t="s">
        <v>309</v>
      </c>
      <c r="P23" s="35" t="s">
        <v>310</v>
      </c>
      <c r="Q23" s="35" t="s">
        <v>72</v>
      </c>
      <c r="R23" s="35" t="s">
        <v>52</v>
      </c>
      <c r="S23" s="35" t="s">
        <v>311</v>
      </c>
      <c r="T23" s="35" t="s">
        <v>312</v>
      </c>
      <c r="U23" s="35" t="s">
        <v>313</v>
      </c>
      <c r="V23" s="35" t="s">
        <v>53</v>
      </c>
      <c r="W23" s="35" t="s">
        <v>53</v>
      </c>
      <c r="X23" s="35" t="s">
        <v>53</v>
      </c>
      <c r="Y23" s="35" t="s">
        <v>53</v>
      </c>
      <c r="Z23" s="13" t="s">
        <v>46</v>
      </c>
      <c r="AA23" s="35" t="s">
        <v>314</v>
      </c>
      <c r="AB23" s="35" t="s">
        <v>74</v>
      </c>
      <c r="AC23" s="35" t="s">
        <v>74</v>
      </c>
      <c r="AD23" s="35" t="s">
        <v>74</v>
      </c>
      <c r="AE23" s="25" t="s">
        <v>315</v>
      </c>
      <c r="AF23" s="35"/>
      <c r="AG23" s="35" t="s">
        <v>316</v>
      </c>
    </row>
    <row r="24" spans="1:33" ht="38.25" x14ac:dyDescent="0.25">
      <c r="A24" s="35" t="s">
        <v>200</v>
      </c>
      <c r="B24" s="35" t="s">
        <v>784</v>
      </c>
      <c r="C24" s="35" t="s">
        <v>327</v>
      </c>
      <c r="D24" s="35" t="s">
        <v>328</v>
      </c>
      <c r="E24" s="35" t="s">
        <v>329</v>
      </c>
      <c r="F24" s="35" t="s">
        <v>330</v>
      </c>
      <c r="G24" s="35"/>
      <c r="H24" s="35"/>
      <c r="I24" s="35">
        <v>0</v>
      </c>
      <c r="J24" s="35">
        <v>0</v>
      </c>
      <c r="K24" s="35" t="s">
        <v>396</v>
      </c>
      <c r="L24" s="35">
        <v>0</v>
      </c>
      <c r="M24" s="35" t="s">
        <v>45</v>
      </c>
      <c r="N24" s="35" t="s">
        <v>45</v>
      </c>
      <c r="O24" s="35" t="s">
        <v>309</v>
      </c>
      <c r="P24" s="35" t="s">
        <v>310</v>
      </c>
      <c r="Q24" s="35" t="s">
        <v>72</v>
      </c>
      <c r="R24" s="35" t="s">
        <v>52</v>
      </c>
      <c r="S24" s="35" t="s">
        <v>311</v>
      </c>
      <c r="T24" s="35" t="s">
        <v>312</v>
      </c>
      <c r="U24" s="35" t="s">
        <v>313</v>
      </c>
      <c r="V24" s="35" t="s">
        <v>53</v>
      </c>
      <c r="W24" s="35" t="s">
        <v>53</v>
      </c>
      <c r="X24" s="35" t="s">
        <v>53</v>
      </c>
      <c r="Y24" s="35" t="s">
        <v>53</v>
      </c>
      <c r="Z24" s="13" t="s">
        <v>46</v>
      </c>
      <c r="AA24" s="35" t="s">
        <v>314</v>
      </c>
      <c r="AB24" s="35" t="s">
        <v>74</v>
      </c>
      <c r="AC24" s="35" t="s">
        <v>74</v>
      </c>
      <c r="AD24" s="35" t="s">
        <v>74</v>
      </c>
      <c r="AE24" s="25" t="s">
        <v>315</v>
      </c>
      <c r="AF24" s="35"/>
      <c r="AG24" s="35" t="s">
        <v>316</v>
      </c>
    </row>
    <row r="25" spans="1:33" ht="38.25" x14ac:dyDescent="0.25">
      <c r="A25" s="35" t="s">
        <v>200</v>
      </c>
      <c r="B25" s="35" t="s">
        <v>784</v>
      </c>
      <c r="C25" s="35" t="s">
        <v>331</v>
      </c>
      <c r="D25" s="35" t="s">
        <v>332</v>
      </c>
      <c r="E25" s="35" t="s">
        <v>333</v>
      </c>
      <c r="F25" s="35" t="s">
        <v>334</v>
      </c>
      <c r="G25" s="35"/>
      <c r="H25" s="35" t="s">
        <v>335</v>
      </c>
      <c r="I25" s="35">
        <v>2</v>
      </c>
      <c r="J25" s="35">
        <v>2</v>
      </c>
      <c r="K25" s="35" t="s">
        <v>77</v>
      </c>
      <c r="L25" s="35">
        <v>0.36</v>
      </c>
      <c r="M25" s="35" t="s">
        <v>45</v>
      </c>
      <c r="N25" s="35" t="s">
        <v>45</v>
      </c>
      <c r="O25" s="35" t="s">
        <v>309</v>
      </c>
      <c r="P25" s="35" t="s">
        <v>310</v>
      </c>
      <c r="Q25" s="35" t="s">
        <v>72</v>
      </c>
      <c r="R25" s="35" t="s">
        <v>52</v>
      </c>
      <c r="S25" s="35" t="s">
        <v>311</v>
      </c>
      <c r="T25" s="35" t="s">
        <v>312</v>
      </c>
      <c r="U25" s="35" t="s">
        <v>313</v>
      </c>
      <c r="V25" s="35" t="s">
        <v>53</v>
      </c>
      <c r="W25" s="35" t="s">
        <v>53</v>
      </c>
      <c r="X25" s="35" t="s">
        <v>53</v>
      </c>
      <c r="Y25" s="35" t="s">
        <v>53</v>
      </c>
      <c r="Z25" s="13" t="s">
        <v>46</v>
      </c>
      <c r="AA25" s="35" t="s">
        <v>314</v>
      </c>
      <c r="AB25" s="35" t="s">
        <v>74</v>
      </c>
      <c r="AC25" s="35" t="s">
        <v>74</v>
      </c>
      <c r="AD25" s="35" t="s">
        <v>74</v>
      </c>
      <c r="AE25" s="25" t="s">
        <v>315</v>
      </c>
      <c r="AF25" s="35"/>
      <c r="AG25" s="35" t="s">
        <v>316</v>
      </c>
    </row>
    <row r="26" spans="1:33" ht="38.25" x14ac:dyDescent="0.25">
      <c r="A26" s="35" t="s">
        <v>200</v>
      </c>
      <c r="B26" s="35" t="s">
        <v>164</v>
      </c>
      <c r="C26" s="35" t="s">
        <v>336</v>
      </c>
      <c r="D26" s="35" t="s">
        <v>332</v>
      </c>
      <c r="E26" s="35" t="s">
        <v>337</v>
      </c>
      <c r="F26" s="35" t="s">
        <v>338</v>
      </c>
      <c r="G26" s="35"/>
      <c r="H26" s="35"/>
      <c r="I26" s="35">
        <v>5</v>
      </c>
      <c r="J26" s="35">
        <v>5</v>
      </c>
      <c r="K26" s="35" t="s">
        <v>77</v>
      </c>
      <c r="L26" s="35">
        <v>0.6</v>
      </c>
      <c r="M26" s="35" t="s">
        <v>45</v>
      </c>
      <c r="N26" s="35" t="s">
        <v>45</v>
      </c>
      <c r="O26" s="35" t="s">
        <v>309</v>
      </c>
      <c r="P26" s="35" t="s">
        <v>310</v>
      </c>
      <c r="Q26" s="35" t="s">
        <v>72</v>
      </c>
      <c r="R26" s="35" t="s">
        <v>52</v>
      </c>
      <c r="S26" s="35" t="s">
        <v>311</v>
      </c>
      <c r="T26" s="35" t="s">
        <v>312</v>
      </c>
      <c r="U26" s="35" t="s">
        <v>313</v>
      </c>
      <c r="V26" s="35" t="s">
        <v>53</v>
      </c>
      <c r="W26" s="35" t="s">
        <v>53</v>
      </c>
      <c r="X26" s="35" t="s">
        <v>53</v>
      </c>
      <c r="Y26" s="35" t="s">
        <v>53</v>
      </c>
      <c r="Z26" s="13" t="s">
        <v>46</v>
      </c>
      <c r="AA26" s="35" t="s">
        <v>314</v>
      </c>
      <c r="AB26" s="35" t="s">
        <v>74</v>
      </c>
      <c r="AC26" s="35" t="s">
        <v>74</v>
      </c>
      <c r="AD26" s="35" t="s">
        <v>74</v>
      </c>
      <c r="AE26" s="25" t="s">
        <v>315</v>
      </c>
      <c r="AF26" s="35"/>
      <c r="AG26" s="35" t="s">
        <v>316</v>
      </c>
    </row>
    <row r="27" spans="1:33" ht="38.25" x14ac:dyDescent="0.25">
      <c r="A27" s="35" t="s">
        <v>200</v>
      </c>
      <c r="B27" s="35" t="s">
        <v>164</v>
      </c>
      <c r="C27" s="35" t="s">
        <v>339</v>
      </c>
      <c r="D27" s="35" t="s">
        <v>193</v>
      </c>
      <c r="E27" s="35" t="s">
        <v>340</v>
      </c>
      <c r="F27" s="35" t="s">
        <v>341</v>
      </c>
      <c r="G27" s="35" t="s">
        <v>342</v>
      </c>
      <c r="H27" s="35" t="s">
        <v>343</v>
      </c>
      <c r="I27" s="35">
        <v>5</v>
      </c>
      <c r="J27" s="35">
        <v>5</v>
      </c>
      <c r="K27" s="35" t="s">
        <v>83</v>
      </c>
      <c r="L27" s="35">
        <v>1</v>
      </c>
      <c r="M27" s="35" t="s">
        <v>45</v>
      </c>
      <c r="N27" s="35" t="s">
        <v>45</v>
      </c>
      <c r="O27" s="35" t="s">
        <v>309</v>
      </c>
      <c r="P27" s="35" t="s">
        <v>310</v>
      </c>
      <c r="Q27" s="35" t="s">
        <v>72</v>
      </c>
      <c r="R27" s="35" t="s">
        <v>52</v>
      </c>
      <c r="S27" s="35" t="s">
        <v>311</v>
      </c>
      <c r="T27" s="35" t="s">
        <v>312</v>
      </c>
      <c r="U27" s="35" t="s">
        <v>313</v>
      </c>
      <c r="V27" s="35" t="s">
        <v>53</v>
      </c>
      <c r="W27" s="35" t="s">
        <v>53</v>
      </c>
      <c r="X27" s="35" t="s">
        <v>53</v>
      </c>
      <c r="Y27" s="35" t="s">
        <v>53</v>
      </c>
      <c r="Z27" s="35" t="s">
        <v>46</v>
      </c>
      <c r="AA27" s="35" t="s">
        <v>314</v>
      </c>
      <c r="AB27" s="35" t="s">
        <v>74</v>
      </c>
      <c r="AC27" s="35" t="s">
        <v>74</v>
      </c>
      <c r="AD27" s="35" t="s">
        <v>74</v>
      </c>
      <c r="AE27" s="89" t="s">
        <v>315</v>
      </c>
      <c r="AF27" s="35"/>
      <c r="AG27" s="35" t="s">
        <v>316</v>
      </c>
    </row>
    <row r="28" spans="1:33" ht="38.25" x14ac:dyDescent="0.25">
      <c r="A28" s="35" t="s">
        <v>200</v>
      </c>
      <c r="B28" s="35" t="s">
        <v>164</v>
      </c>
      <c r="C28" s="35" t="s">
        <v>344</v>
      </c>
      <c r="D28" s="35" t="s">
        <v>345</v>
      </c>
      <c r="E28" s="35" t="s">
        <v>346</v>
      </c>
      <c r="F28" s="35" t="s">
        <v>347</v>
      </c>
      <c r="G28" s="35" t="s">
        <v>348</v>
      </c>
      <c r="H28" s="35"/>
      <c r="I28" s="35">
        <v>5</v>
      </c>
      <c r="J28" s="35">
        <v>5</v>
      </c>
      <c r="K28" s="35" t="s">
        <v>71</v>
      </c>
      <c r="L28" s="35">
        <v>0.6</v>
      </c>
      <c r="M28" s="35" t="s">
        <v>45</v>
      </c>
      <c r="N28" s="35" t="s">
        <v>45</v>
      </c>
      <c r="O28" s="35" t="s">
        <v>309</v>
      </c>
      <c r="P28" s="35" t="s">
        <v>310</v>
      </c>
      <c r="Q28" s="35" t="s">
        <v>72</v>
      </c>
      <c r="R28" s="35" t="s">
        <v>52</v>
      </c>
      <c r="S28" s="35" t="s">
        <v>311</v>
      </c>
      <c r="T28" s="35" t="s">
        <v>312</v>
      </c>
      <c r="U28" s="35" t="s">
        <v>313</v>
      </c>
      <c r="V28" s="35" t="s">
        <v>53</v>
      </c>
      <c r="W28" s="35" t="s">
        <v>53</v>
      </c>
      <c r="X28" s="35" t="s">
        <v>53</v>
      </c>
      <c r="Y28" s="35" t="s">
        <v>53</v>
      </c>
      <c r="Z28" s="35" t="s">
        <v>46</v>
      </c>
      <c r="AA28" s="35" t="s">
        <v>314</v>
      </c>
      <c r="AB28" s="35" t="s">
        <v>74</v>
      </c>
      <c r="AC28" s="35" t="s">
        <v>74</v>
      </c>
      <c r="AD28" s="35" t="s">
        <v>74</v>
      </c>
      <c r="AE28" s="89" t="s">
        <v>315</v>
      </c>
      <c r="AF28" s="35"/>
      <c r="AG28" s="35" t="s">
        <v>316</v>
      </c>
    </row>
    <row r="29" spans="1:33" ht="45" x14ac:dyDescent="0.25">
      <c r="A29" s="35" t="s">
        <v>142</v>
      </c>
      <c r="B29" s="35" t="s">
        <v>784</v>
      </c>
      <c r="C29" s="35" t="s">
        <v>143</v>
      </c>
      <c r="D29" s="35" t="s">
        <v>144</v>
      </c>
      <c r="E29" s="35" t="s">
        <v>27</v>
      </c>
      <c r="F29" s="35" t="s">
        <v>145</v>
      </c>
      <c r="G29" s="35"/>
      <c r="H29" s="36" t="s">
        <v>656</v>
      </c>
      <c r="I29" s="35">
        <v>1</v>
      </c>
      <c r="J29" s="35">
        <v>1</v>
      </c>
      <c r="K29" s="35" t="s">
        <v>64</v>
      </c>
      <c r="L29" s="35">
        <v>0.48</v>
      </c>
      <c r="M29" s="35" t="s">
        <v>53</v>
      </c>
      <c r="N29" s="35" t="s">
        <v>53</v>
      </c>
      <c r="O29" s="35" t="s">
        <v>146</v>
      </c>
      <c r="P29" s="35" t="s">
        <v>147</v>
      </c>
      <c r="Q29" s="35" t="s">
        <v>78</v>
      </c>
      <c r="R29" s="35" t="s">
        <v>66</v>
      </c>
      <c r="S29" s="35" t="s">
        <v>148</v>
      </c>
      <c r="T29" s="35" t="s">
        <v>149</v>
      </c>
      <c r="U29" s="35" t="s">
        <v>150</v>
      </c>
      <c r="V29" s="35" t="s">
        <v>45</v>
      </c>
      <c r="W29" s="92" t="s">
        <v>151</v>
      </c>
      <c r="X29" s="35" t="s">
        <v>45</v>
      </c>
      <c r="Y29" s="92" t="s">
        <v>151</v>
      </c>
      <c r="Z29" s="35" t="s">
        <v>152</v>
      </c>
      <c r="AA29" s="35" t="s">
        <v>222</v>
      </c>
      <c r="AB29" s="35" t="s">
        <v>222</v>
      </c>
      <c r="AC29" s="35" t="s">
        <v>222</v>
      </c>
      <c r="AD29" s="35" t="s">
        <v>222</v>
      </c>
      <c r="AE29" s="89" t="s">
        <v>655</v>
      </c>
      <c r="AF29" s="35"/>
      <c r="AG29" s="35" t="s">
        <v>172</v>
      </c>
    </row>
    <row r="30" spans="1:33" ht="45" x14ac:dyDescent="0.25">
      <c r="A30" s="35" t="s">
        <v>142</v>
      </c>
      <c r="B30" s="35" t="s">
        <v>784</v>
      </c>
      <c r="C30" s="35" t="s">
        <v>154</v>
      </c>
      <c r="D30" s="35" t="s">
        <v>155</v>
      </c>
      <c r="E30" s="35" t="s">
        <v>156</v>
      </c>
      <c r="F30" s="35" t="s">
        <v>157</v>
      </c>
      <c r="G30" s="35"/>
      <c r="H30" s="36" t="s">
        <v>657</v>
      </c>
      <c r="I30" s="35">
        <v>1</v>
      </c>
      <c r="J30" s="35">
        <v>1</v>
      </c>
      <c r="K30" s="35" t="s">
        <v>71</v>
      </c>
      <c r="L30" s="35">
        <v>0.28000000000000003</v>
      </c>
      <c r="M30" s="35" t="s">
        <v>53</v>
      </c>
      <c r="N30" s="35" t="s">
        <v>53</v>
      </c>
      <c r="O30" s="35" t="s">
        <v>146</v>
      </c>
      <c r="P30" s="35" t="s">
        <v>147</v>
      </c>
      <c r="Q30" s="35" t="s">
        <v>78</v>
      </c>
      <c r="R30" s="35" t="s">
        <v>66</v>
      </c>
      <c r="S30" s="35" t="s">
        <v>148</v>
      </c>
      <c r="T30" s="35" t="s">
        <v>149</v>
      </c>
      <c r="U30" s="35" t="s">
        <v>150</v>
      </c>
      <c r="V30" s="35" t="s">
        <v>45</v>
      </c>
      <c r="W30" s="92" t="s">
        <v>151</v>
      </c>
      <c r="X30" s="35" t="s">
        <v>45</v>
      </c>
      <c r="Y30" s="92" t="s">
        <v>151</v>
      </c>
      <c r="Z30" s="35" t="s">
        <v>152</v>
      </c>
      <c r="AA30" s="35" t="s">
        <v>222</v>
      </c>
      <c r="AB30" s="35" t="s">
        <v>222</v>
      </c>
      <c r="AC30" s="35" t="s">
        <v>222</v>
      </c>
      <c r="AD30" s="35" t="s">
        <v>222</v>
      </c>
      <c r="AE30" s="25" t="s">
        <v>655</v>
      </c>
      <c r="AF30" s="35"/>
      <c r="AG30" s="35" t="s">
        <v>172</v>
      </c>
    </row>
    <row r="31" spans="1:33" ht="30" x14ac:dyDescent="0.25">
      <c r="A31" s="35" t="s">
        <v>142</v>
      </c>
      <c r="B31" s="35" t="s">
        <v>784</v>
      </c>
      <c r="C31" s="35" t="s">
        <v>158</v>
      </c>
      <c r="D31" s="35" t="s">
        <v>159</v>
      </c>
      <c r="E31" s="35" t="s">
        <v>156</v>
      </c>
      <c r="F31" s="35" t="s">
        <v>160</v>
      </c>
      <c r="G31" s="35"/>
      <c r="H31" s="36" t="s">
        <v>658</v>
      </c>
      <c r="I31" s="35">
        <v>1</v>
      </c>
      <c r="J31" s="35">
        <v>1</v>
      </c>
      <c r="K31" s="35" t="s">
        <v>71</v>
      </c>
      <c r="L31" s="35">
        <v>28</v>
      </c>
      <c r="M31" s="35" t="s">
        <v>53</v>
      </c>
      <c r="N31" s="35" t="s">
        <v>53</v>
      </c>
      <c r="O31" s="35" t="s">
        <v>146</v>
      </c>
      <c r="P31" s="35" t="s">
        <v>147</v>
      </c>
      <c r="Q31" s="35" t="s">
        <v>78</v>
      </c>
      <c r="R31" s="35" t="s">
        <v>66</v>
      </c>
      <c r="S31" s="35" t="s">
        <v>148</v>
      </c>
      <c r="T31" s="35" t="s">
        <v>149</v>
      </c>
      <c r="U31" s="35" t="s">
        <v>150</v>
      </c>
      <c r="V31" s="35" t="s">
        <v>45</v>
      </c>
      <c r="W31" s="92" t="s">
        <v>151</v>
      </c>
      <c r="X31" s="35" t="s">
        <v>45</v>
      </c>
      <c r="Y31" s="92" t="s">
        <v>151</v>
      </c>
      <c r="Z31" s="35" t="s">
        <v>152</v>
      </c>
      <c r="AA31" s="35" t="s">
        <v>222</v>
      </c>
      <c r="AB31" s="35" t="s">
        <v>222</v>
      </c>
      <c r="AC31" s="35" t="s">
        <v>222</v>
      </c>
      <c r="AD31" s="35" t="s">
        <v>222</v>
      </c>
      <c r="AE31" s="25" t="s">
        <v>655</v>
      </c>
      <c r="AF31" s="35"/>
      <c r="AG31" s="35" t="s">
        <v>172</v>
      </c>
    </row>
    <row r="32" spans="1:33" ht="25.5" x14ac:dyDescent="0.25">
      <c r="A32" s="35" t="s">
        <v>142</v>
      </c>
      <c r="B32" s="35" t="s">
        <v>784</v>
      </c>
      <c r="C32" s="35" t="s">
        <v>161</v>
      </c>
      <c r="D32" s="35" t="s">
        <v>171</v>
      </c>
      <c r="E32" s="35" t="s">
        <v>162</v>
      </c>
      <c r="F32" s="35" t="s">
        <v>163</v>
      </c>
      <c r="G32" s="35"/>
      <c r="H32" s="35"/>
      <c r="I32" s="35">
        <v>4</v>
      </c>
      <c r="J32" s="35">
        <v>3</v>
      </c>
      <c r="K32" s="35" t="s">
        <v>64</v>
      </c>
      <c r="L32" s="35">
        <v>0.68</v>
      </c>
      <c r="M32" s="35" t="s">
        <v>53</v>
      </c>
      <c r="N32" s="35" t="s">
        <v>53</v>
      </c>
      <c r="O32" s="35" t="s">
        <v>146</v>
      </c>
      <c r="P32" s="35" t="s">
        <v>147</v>
      </c>
      <c r="Q32" s="35" t="s">
        <v>78</v>
      </c>
      <c r="R32" s="35" t="s">
        <v>66</v>
      </c>
      <c r="S32" s="35" t="s">
        <v>148</v>
      </c>
      <c r="T32" s="35" t="s">
        <v>149</v>
      </c>
      <c r="U32" s="35" t="s">
        <v>150</v>
      </c>
      <c r="V32" s="35" t="s">
        <v>45</v>
      </c>
      <c r="W32" s="92" t="s">
        <v>151</v>
      </c>
      <c r="X32" s="35" t="s">
        <v>45</v>
      </c>
      <c r="Y32" s="92" t="s">
        <v>151</v>
      </c>
      <c r="Z32" s="35" t="s">
        <v>152</v>
      </c>
      <c r="AA32" s="35" t="s">
        <v>222</v>
      </c>
      <c r="AB32" s="35" t="s">
        <v>222</v>
      </c>
      <c r="AC32" s="35" t="s">
        <v>222</v>
      </c>
      <c r="AD32" s="35" t="s">
        <v>222</v>
      </c>
      <c r="AE32" s="25" t="s">
        <v>655</v>
      </c>
      <c r="AF32" s="35"/>
      <c r="AG32" s="35" t="s">
        <v>172</v>
      </c>
    </row>
    <row r="33" spans="1:34" ht="25.5" x14ac:dyDescent="0.25">
      <c r="A33" s="35" t="s">
        <v>142</v>
      </c>
      <c r="B33" s="35" t="s">
        <v>164</v>
      </c>
      <c r="C33" s="35" t="s">
        <v>165</v>
      </c>
      <c r="D33" s="35" t="s">
        <v>170</v>
      </c>
      <c r="E33" s="35" t="s">
        <v>169</v>
      </c>
      <c r="F33" s="35" t="s">
        <v>166</v>
      </c>
      <c r="G33" s="35" t="s">
        <v>167</v>
      </c>
      <c r="H33" s="35" t="s">
        <v>168</v>
      </c>
      <c r="I33" s="35">
        <v>5</v>
      </c>
      <c r="J33" s="35">
        <v>5</v>
      </c>
      <c r="K33" s="35" t="s">
        <v>83</v>
      </c>
      <c r="L33" s="35">
        <v>1</v>
      </c>
      <c r="M33" s="35" t="s">
        <v>53</v>
      </c>
      <c r="N33" s="35" t="s">
        <v>53</v>
      </c>
      <c r="O33" s="35" t="s">
        <v>146</v>
      </c>
      <c r="P33" s="35" t="s">
        <v>147</v>
      </c>
      <c r="Q33" s="35" t="s">
        <v>78</v>
      </c>
      <c r="R33" s="35" t="s">
        <v>66</v>
      </c>
      <c r="S33" s="35" t="s">
        <v>148</v>
      </c>
      <c r="T33" s="35" t="s">
        <v>149</v>
      </c>
      <c r="U33" s="35" t="s">
        <v>150</v>
      </c>
      <c r="V33" s="35" t="s">
        <v>45</v>
      </c>
      <c r="W33" s="92" t="s">
        <v>151</v>
      </c>
      <c r="X33" s="35" t="s">
        <v>45</v>
      </c>
      <c r="Y33" s="92" t="s">
        <v>151</v>
      </c>
      <c r="Z33" s="35" t="s">
        <v>152</v>
      </c>
      <c r="AA33" s="35" t="s">
        <v>222</v>
      </c>
      <c r="AB33" s="35" t="s">
        <v>222</v>
      </c>
      <c r="AC33" s="35" t="s">
        <v>222</v>
      </c>
      <c r="AD33" s="35" t="s">
        <v>222</v>
      </c>
      <c r="AE33" s="25" t="s">
        <v>655</v>
      </c>
      <c r="AF33" s="35"/>
      <c r="AG33" s="35" t="s">
        <v>172</v>
      </c>
    </row>
    <row r="34" spans="1:34" ht="25.5" x14ac:dyDescent="0.25">
      <c r="A34" s="35" t="s">
        <v>142</v>
      </c>
      <c r="B34" s="35" t="s">
        <v>784</v>
      </c>
      <c r="C34" s="35" t="s">
        <v>182</v>
      </c>
      <c r="D34" s="35" t="s">
        <v>153</v>
      </c>
      <c r="E34" s="35" t="s">
        <v>27</v>
      </c>
      <c r="F34" s="35" t="s">
        <v>183</v>
      </c>
      <c r="G34" s="35"/>
      <c r="H34" s="35"/>
      <c r="I34" s="35">
        <v>1</v>
      </c>
      <c r="J34" s="35">
        <v>1</v>
      </c>
      <c r="K34" s="35" t="s">
        <v>64</v>
      </c>
      <c r="L34" s="35">
        <v>0.48</v>
      </c>
      <c r="M34" s="35" t="s">
        <v>45</v>
      </c>
      <c r="N34" s="35" t="s">
        <v>53</v>
      </c>
      <c r="O34" s="35" t="s">
        <v>174</v>
      </c>
      <c r="P34" s="35" t="s">
        <v>175</v>
      </c>
      <c r="Q34" s="35" t="s">
        <v>81</v>
      </c>
      <c r="R34" s="35" t="s">
        <v>79</v>
      </c>
      <c r="S34" s="35" t="s">
        <v>176</v>
      </c>
      <c r="T34" s="35" t="s">
        <v>177</v>
      </c>
      <c r="U34" s="35" t="s">
        <v>178</v>
      </c>
      <c r="V34" s="35" t="s">
        <v>45</v>
      </c>
      <c r="W34" s="35" t="s">
        <v>179</v>
      </c>
      <c r="X34" s="35" t="s">
        <v>53</v>
      </c>
      <c r="Y34" s="35" t="s">
        <v>53</v>
      </c>
      <c r="Z34" s="35" t="s">
        <v>46</v>
      </c>
      <c r="AA34" s="35" t="s">
        <v>222</v>
      </c>
      <c r="AB34" s="35" t="s">
        <v>222</v>
      </c>
      <c r="AC34" s="35" t="s">
        <v>222</v>
      </c>
      <c r="AD34" s="35" t="s">
        <v>222</v>
      </c>
      <c r="AE34" s="13" t="s">
        <v>181</v>
      </c>
      <c r="AF34" s="35"/>
      <c r="AG34" s="35" t="s">
        <v>223</v>
      </c>
      <c r="AH34" s="91"/>
    </row>
    <row r="35" spans="1:34" ht="25.5" x14ac:dyDescent="0.25">
      <c r="A35" s="35" t="s">
        <v>142</v>
      </c>
      <c r="B35" s="35" t="s">
        <v>784</v>
      </c>
      <c r="C35" s="35" t="s">
        <v>184</v>
      </c>
      <c r="D35" s="35" t="s">
        <v>185</v>
      </c>
      <c r="E35" s="35" t="s">
        <v>187</v>
      </c>
      <c r="F35" s="35" t="s">
        <v>186</v>
      </c>
      <c r="G35" s="35"/>
      <c r="H35" s="35"/>
      <c r="I35" s="35">
        <v>2</v>
      </c>
      <c r="J35" s="35">
        <v>2</v>
      </c>
      <c r="K35" s="35" t="s">
        <v>50</v>
      </c>
      <c r="L35" s="35">
        <v>0.56000000000000005</v>
      </c>
      <c r="M35" s="35" t="s">
        <v>45</v>
      </c>
      <c r="N35" s="35" t="s">
        <v>53</v>
      </c>
      <c r="O35" s="35" t="s">
        <v>174</v>
      </c>
      <c r="P35" s="35" t="s">
        <v>175</v>
      </c>
      <c r="Q35" s="35" t="s">
        <v>81</v>
      </c>
      <c r="R35" s="35" t="s">
        <v>79</v>
      </c>
      <c r="S35" s="35" t="s">
        <v>176</v>
      </c>
      <c r="T35" s="35" t="s">
        <v>177</v>
      </c>
      <c r="U35" s="35" t="s">
        <v>178</v>
      </c>
      <c r="V35" s="35" t="s">
        <v>45</v>
      </c>
      <c r="W35" s="35" t="s">
        <v>179</v>
      </c>
      <c r="X35" s="35" t="s">
        <v>53</v>
      </c>
      <c r="Y35" s="35" t="s">
        <v>53</v>
      </c>
      <c r="Z35" s="35" t="s">
        <v>46</v>
      </c>
      <c r="AA35" s="35" t="s">
        <v>222</v>
      </c>
      <c r="AB35" s="35" t="s">
        <v>222</v>
      </c>
      <c r="AC35" s="35" t="s">
        <v>222</v>
      </c>
      <c r="AD35" s="35" t="s">
        <v>222</v>
      </c>
      <c r="AE35" s="13" t="s">
        <v>181</v>
      </c>
      <c r="AF35" s="35"/>
      <c r="AG35" s="35" t="s">
        <v>223</v>
      </c>
      <c r="AH35" s="91"/>
    </row>
    <row r="36" spans="1:34" ht="25.5" x14ac:dyDescent="0.25">
      <c r="A36" s="35" t="s">
        <v>142</v>
      </c>
      <c r="B36" s="35" t="s">
        <v>784</v>
      </c>
      <c r="C36" s="35" t="s">
        <v>188</v>
      </c>
      <c r="D36" s="35" t="s">
        <v>189</v>
      </c>
      <c r="E36" s="35" t="s">
        <v>191</v>
      </c>
      <c r="F36" s="35" t="s">
        <v>190</v>
      </c>
      <c r="G36" s="35"/>
      <c r="H36" s="35"/>
      <c r="I36" s="35">
        <v>2</v>
      </c>
      <c r="J36" s="35">
        <v>2</v>
      </c>
      <c r="K36" s="35" t="s">
        <v>50</v>
      </c>
      <c r="L36" s="35">
        <v>0.56000000000000005</v>
      </c>
      <c r="M36" s="35" t="s">
        <v>45</v>
      </c>
      <c r="N36" s="35" t="s">
        <v>53</v>
      </c>
      <c r="O36" s="35" t="s">
        <v>174</v>
      </c>
      <c r="P36" s="35" t="s">
        <v>175</v>
      </c>
      <c r="Q36" s="35" t="s">
        <v>81</v>
      </c>
      <c r="R36" s="35" t="s">
        <v>79</v>
      </c>
      <c r="S36" s="35" t="s">
        <v>176</v>
      </c>
      <c r="T36" s="35" t="s">
        <v>177</v>
      </c>
      <c r="U36" s="35" t="s">
        <v>178</v>
      </c>
      <c r="V36" s="35" t="s">
        <v>45</v>
      </c>
      <c r="W36" s="35" t="s">
        <v>179</v>
      </c>
      <c r="X36" s="35" t="s">
        <v>53</v>
      </c>
      <c r="Y36" s="35" t="s">
        <v>53</v>
      </c>
      <c r="Z36" s="35" t="s">
        <v>46</v>
      </c>
      <c r="AA36" s="35" t="s">
        <v>222</v>
      </c>
      <c r="AB36" s="35" t="s">
        <v>222</v>
      </c>
      <c r="AC36" s="35" t="s">
        <v>222</v>
      </c>
      <c r="AD36" s="35" t="s">
        <v>222</v>
      </c>
      <c r="AE36" s="13" t="s">
        <v>181</v>
      </c>
      <c r="AF36" s="35"/>
      <c r="AG36" s="35" t="s">
        <v>223</v>
      </c>
      <c r="AH36" s="91"/>
    </row>
    <row r="37" spans="1:34" ht="25.5" x14ac:dyDescent="0.25">
      <c r="A37" s="35" t="s">
        <v>142</v>
      </c>
      <c r="B37" s="35" t="s">
        <v>784</v>
      </c>
      <c r="C37" s="35" t="s">
        <v>192</v>
      </c>
      <c r="D37" s="35" t="s">
        <v>193</v>
      </c>
      <c r="E37" s="35" t="s">
        <v>195</v>
      </c>
      <c r="F37" s="35" t="s">
        <v>194</v>
      </c>
      <c r="G37" s="35"/>
      <c r="H37" s="35"/>
      <c r="I37" s="35">
        <v>5</v>
      </c>
      <c r="J37" s="35">
        <v>5</v>
      </c>
      <c r="K37" s="35" t="s">
        <v>77</v>
      </c>
      <c r="L37" s="35">
        <v>0.6</v>
      </c>
      <c r="M37" s="35" t="s">
        <v>45</v>
      </c>
      <c r="N37" s="35" t="s">
        <v>53</v>
      </c>
      <c r="O37" s="35" t="s">
        <v>174</v>
      </c>
      <c r="P37" s="35" t="s">
        <v>175</v>
      </c>
      <c r="Q37" s="35" t="s">
        <v>81</v>
      </c>
      <c r="R37" s="35" t="s">
        <v>79</v>
      </c>
      <c r="S37" s="35" t="s">
        <v>176</v>
      </c>
      <c r="T37" s="35" t="s">
        <v>177</v>
      </c>
      <c r="U37" s="35" t="s">
        <v>178</v>
      </c>
      <c r="V37" s="35" t="s">
        <v>45</v>
      </c>
      <c r="W37" s="35" t="s">
        <v>179</v>
      </c>
      <c r="X37" s="35" t="s">
        <v>53</v>
      </c>
      <c r="Y37" s="35" t="s">
        <v>53</v>
      </c>
      <c r="Z37" s="35" t="s">
        <v>46</v>
      </c>
      <c r="AA37" s="35" t="s">
        <v>222</v>
      </c>
      <c r="AB37" s="35" t="s">
        <v>222</v>
      </c>
      <c r="AC37" s="35" t="s">
        <v>222</v>
      </c>
      <c r="AD37" s="35" t="s">
        <v>222</v>
      </c>
      <c r="AE37" s="13" t="s">
        <v>181</v>
      </c>
      <c r="AF37" s="35"/>
      <c r="AG37" s="35" t="s">
        <v>223</v>
      </c>
      <c r="AH37" s="91"/>
    </row>
    <row r="38" spans="1:34" ht="25.5" x14ac:dyDescent="0.25">
      <c r="A38" s="35" t="s">
        <v>142</v>
      </c>
      <c r="B38" s="35" t="s">
        <v>784</v>
      </c>
      <c r="C38" s="35" t="s">
        <v>653</v>
      </c>
      <c r="D38" s="35" t="s">
        <v>332</v>
      </c>
      <c r="E38" s="35" t="s">
        <v>38</v>
      </c>
      <c r="F38" s="35" t="s">
        <v>654</v>
      </c>
      <c r="G38" s="35"/>
      <c r="H38" s="35"/>
      <c r="I38" s="35">
        <v>2</v>
      </c>
      <c r="J38" s="35">
        <v>2</v>
      </c>
      <c r="K38" s="35" t="s">
        <v>50</v>
      </c>
      <c r="L38" s="35">
        <v>0.56000000000000005</v>
      </c>
      <c r="M38" s="35" t="s">
        <v>45</v>
      </c>
      <c r="N38" s="35" t="s">
        <v>53</v>
      </c>
      <c r="O38" s="35" t="s">
        <v>174</v>
      </c>
      <c r="P38" s="35" t="s">
        <v>175</v>
      </c>
      <c r="Q38" s="35" t="s">
        <v>81</v>
      </c>
      <c r="R38" s="35" t="s">
        <v>79</v>
      </c>
      <c r="S38" s="35" t="s">
        <v>176</v>
      </c>
      <c r="T38" s="35" t="s">
        <v>177</v>
      </c>
      <c r="U38" s="35" t="s">
        <v>178</v>
      </c>
      <c r="V38" s="35" t="s">
        <v>45</v>
      </c>
      <c r="W38" s="13" t="s">
        <v>179</v>
      </c>
      <c r="X38" s="35" t="s">
        <v>53</v>
      </c>
      <c r="Y38" s="35" t="s">
        <v>53</v>
      </c>
      <c r="Z38" s="35" t="s">
        <v>46</v>
      </c>
      <c r="AA38" s="35" t="s">
        <v>222</v>
      </c>
      <c r="AB38" s="35" t="s">
        <v>222</v>
      </c>
      <c r="AC38" s="35" t="s">
        <v>222</v>
      </c>
      <c r="AD38" s="35" t="s">
        <v>222</v>
      </c>
      <c r="AE38" s="13" t="s">
        <v>181</v>
      </c>
      <c r="AF38" s="35"/>
      <c r="AG38" s="35" t="s">
        <v>223</v>
      </c>
    </row>
    <row r="39" spans="1:34" ht="25.5" x14ac:dyDescent="0.25">
      <c r="A39" s="35" t="s">
        <v>142</v>
      </c>
      <c r="B39" s="35" t="s">
        <v>784</v>
      </c>
      <c r="C39" s="35" t="s">
        <v>665</v>
      </c>
      <c r="D39" s="35" t="s">
        <v>153</v>
      </c>
      <c r="E39" s="35" t="s">
        <v>27</v>
      </c>
      <c r="F39" s="35" t="s">
        <v>666</v>
      </c>
      <c r="G39" s="35"/>
      <c r="H39" s="35" t="s">
        <v>667</v>
      </c>
      <c r="I39" s="35">
        <v>1</v>
      </c>
      <c r="J39" s="35">
        <v>1</v>
      </c>
      <c r="K39" s="35" t="s">
        <v>64</v>
      </c>
      <c r="L39" s="35">
        <v>0.48</v>
      </c>
      <c r="M39" s="35" t="s">
        <v>45</v>
      </c>
      <c r="N39" s="35" t="s">
        <v>53</v>
      </c>
      <c r="O39" s="35" t="s">
        <v>659</v>
      </c>
      <c r="P39" s="35" t="s">
        <v>660</v>
      </c>
      <c r="Q39" s="35" t="s">
        <v>84</v>
      </c>
      <c r="R39" s="35" t="s">
        <v>73</v>
      </c>
      <c r="S39" s="35" t="s">
        <v>148</v>
      </c>
      <c r="T39" s="35" t="s">
        <v>661</v>
      </c>
      <c r="U39" s="35" t="s">
        <v>662</v>
      </c>
      <c r="V39" s="35" t="s">
        <v>45</v>
      </c>
      <c r="W39" s="13" t="s">
        <v>663</v>
      </c>
      <c r="X39" s="35" t="s">
        <v>53</v>
      </c>
      <c r="Y39" s="35" t="s">
        <v>53</v>
      </c>
      <c r="Z39" s="35" t="s">
        <v>60</v>
      </c>
      <c r="AA39" s="35" t="s">
        <v>664</v>
      </c>
      <c r="AB39" s="35" t="s">
        <v>69</v>
      </c>
      <c r="AC39" s="35" t="s">
        <v>74</v>
      </c>
      <c r="AD39" s="35" t="s">
        <v>45</v>
      </c>
      <c r="AE39" s="13" t="s">
        <v>655</v>
      </c>
      <c r="AF39" s="35"/>
      <c r="AG39" s="90" t="s">
        <v>686</v>
      </c>
    </row>
    <row r="40" spans="1:34" ht="30" x14ac:dyDescent="0.25">
      <c r="A40" s="35" t="s">
        <v>142</v>
      </c>
      <c r="B40" s="35" t="s">
        <v>784</v>
      </c>
      <c r="C40" s="35" t="s">
        <v>668</v>
      </c>
      <c r="D40" s="35" t="s">
        <v>252</v>
      </c>
      <c r="E40" s="35" t="s">
        <v>669</v>
      </c>
      <c r="F40" s="35" t="s">
        <v>1722</v>
      </c>
      <c r="G40" s="35"/>
      <c r="H40" s="36" t="s">
        <v>670</v>
      </c>
      <c r="I40" s="35">
        <v>1</v>
      </c>
      <c r="J40" s="35">
        <v>1</v>
      </c>
      <c r="K40" s="35" t="s">
        <v>50</v>
      </c>
      <c r="L40" s="35">
        <v>0.48</v>
      </c>
      <c r="M40" s="35" t="s">
        <v>45</v>
      </c>
      <c r="N40" s="35" t="s">
        <v>53</v>
      </c>
      <c r="O40" s="35" t="s">
        <v>659</v>
      </c>
      <c r="P40" s="35" t="s">
        <v>660</v>
      </c>
      <c r="Q40" s="35" t="s">
        <v>84</v>
      </c>
      <c r="R40" s="35" t="s">
        <v>73</v>
      </c>
      <c r="S40" s="35" t="s">
        <v>148</v>
      </c>
      <c r="T40" s="35" t="s">
        <v>661</v>
      </c>
      <c r="U40" s="35" t="s">
        <v>662</v>
      </c>
      <c r="V40" s="35" t="s">
        <v>45</v>
      </c>
      <c r="W40" s="13" t="s">
        <v>663</v>
      </c>
      <c r="X40" s="35" t="s">
        <v>53</v>
      </c>
      <c r="Y40" s="35" t="s">
        <v>53</v>
      </c>
      <c r="Z40" s="35" t="s">
        <v>60</v>
      </c>
      <c r="AA40" s="35" t="s">
        <v>664</v>
      </c>
      <c r="AB40" s="35" t="s">
        <v>69</v>
      </c>
      <c r="AC40" s="35" t="s">
        <v>74</v>
      </c>
      <c r="AD40" s="35" t="s">
        <v>45</v>
      </c>
      <c r="AE40" s="13" t="s">
        <v>655</v>
      </c>
      <c r="AF40" s="35"/>
      <c r="AG40" s="90" t="s">
        <v>686</v>
      </c>
    </row>
    <row r="41" spans="1:34" ht="38.25" x14ac:dyDescent="0.25">
      <c r="A41" s="35" t="s">
        <v>142</v>
      </c>
      <c r="B41" s="35" t="s">
        <v>784</v>
      </c>
      <c r="C41" s="35" t="s">
        <v>671</v>
      </c>
      <c r="D41" s="35" t="s">
        <v>185</v>
      </c>
      <c r="E41" s="35" t="s">
        <v>669</v>
      </c>
      <c r="F41" s="35" t="s">
        <v>672</v>
      </c>
      <c r="G41" s="35"/>
      <c r="H41" s="35" t="s">
        <v>673</v>
      </c>
      <c r="I41" s="35">
        <v>0</v>
      </c>
      <c r="J41" s="35">
        <v>0</v>
      </c>
      <c r="K41" s="35" t="s">
        <v>396</v>
      </c>
      <c r="L41" s="35">
        <v>0</v>
      </c>
      <c r="M41" s="35" t="s">
        <v>45</v>
      </c>
      <c r="N41" s="35" t="s">
        <v>53</v>
      </c>
      <c r="O41" s="35" t="s">
        <v>659</v>
      </c>
      <c r="P41" s="35" t="s">
        <v>660</v>
      </c>
      <c r="Q41" s="35" t="s">
        <v>84</v>
      </c>
      <c r="R41" s="35" t="s">
        <v>73</v>
      </c>
      <c r="S41" s="35" t="s">
        <v>148</v>
      </c>
      <c r="T41" s="35" t="s">
        <v>661</v>
      </c>
      <c r="U41" s="35" t="s">
        <v>662</v>
      </c>
      <c r="V41" s="35" t="s">
        <v>45</v>
      </c>
      <c r="W41" s="13" t="s">
        <v>663</v>
      </c>
      <c r="X41" s="35" t="s">
        <v>53</v>
      </c>
      <c r="Y41" s="35" t="s">
        <v>53</v>
      </c>
      <c r="Z41" s="35" t="s">
        <v>60</v>
      </c>
      <c r="AA41" s="35" t="s">
        <v>664</v>
      </c>
      <c r="AB41" s="35" t="s">
        <v>69</v>
      </c>
      <c r="AC41" s="35" t="s">
        <v>74</v>
      </c>
      <c r="AD41" s="35" t="s">
        <v>45</v>
      </c>
      <c r="AE41" s="13" t="s">
        <v>655</v>
      </c>
      <c r="AF41" s="35"/>
      <c r="AG41" s="90" t="s">
        <v>686</v>
      </c>
    </row>
    <row r="42" spans="1:34" ht="38.25" x14ac:dyDescent="0.25">
      <c r="A42" s="35" t="s">
        <v>142</v>
      </c>
      <c r="B42" s="35" t="s">
        <v>784</v>
      </c>
      <c r="C42" s="35" t="s">
        <v>674</v>
      </c>
      <c r="D42" s="35" t="s">
        <v>33</v>
      </c>
      <c r="E42" s="35" t="s">
        <v>669</v>
      </c>
      <c r="F42" s="35" t="s">
        <v>675</v>
      </c>
      <c r="G42" s="35"/>
      <c r="H42" s="35" t="s">
        <v>676</v>
      </c>
      <c r="I42" s="35">
        <v>0</v>
      </c>
      <c r="J42" s="35">
        <v>0</v>
      </c>
      <c r="K42" s="35" t="s">
        <v>396</v>
      </c>
      <c r="L42" s="35">
        <v>0</v>
      </c>
      <c r="M42" s="35" t="s">
        <v>45</v>
      </c>
      <c r="N42" s="35" t="s">
        <v>53</v>
      </c>
      <c r="O42" s="35" t="s">
        <v>659</v>
      </c>
      <c r="P42" s="35" t="s">
        <v>660</v>
      </c>
      <c r="Q42" s="35" t="s">
        <v>84</v>
      </c>
      <c r="R42" s="35" t="s">
        <v>73</v>
      </c>
      <c r="S42" s="35" t="s">
        <v>148</v>
      </c>
      <c r="T42" s="35" t="s">
        <v>661</v>
      </c>
      <c r="U42" s="35" t="s">
        <v>662</v>
      </c>
      <c r="V42" s="35" t="s">
        <v>45</v>
      </c>
      <c r="W42" s="13" t="s">
        <v>663</v>
      </c>
      <c r="X42" s="35" t="s">
        <v>53</v>
      </c>
      <c r="Y42" s="35" t="s">
        <v>53</v>
      </c>
      <c r="Z42" s="35" t="s">
        <v>60</v>
      </c>
      <c r="AA42" s="35" t="s">
        <v>664</v>
      </c>
      <c r="AB42" s="35" t="s">
        <v>69</v>
      </c>
      <c r="AC42" s="35" t="s">
        <v>74</v>
      </c>
      <c r="AD42" s="35" t="s">
        <v>45</v>
      </c>
      <c r="AE42" s="13" t="s">
        <v>655</v>
      </c>
      <c r="AF42" s="35"/>
      <c r="AG42" s="90" t="s">
        <v>686</v>
      </c>
    </row>
    <row r="43" spans="1:34" ht="25.5" x14ac:dyDescent="0.25">
      <c r="A43" s="35" t="s">
        <v>142</v>
      </c>
      <c r="B43" s="35" t="s">
        <v>784</v>
      </c>
      <c r="C43" s="35" t="s">
        <v>677</v>
      </c>
      <c r="D43" s="35" t="s">
        <v>193</v>
      </c>
      <c r="E43" s="35" t="s">
        <v>678</v>
      </c>
      <c r="F43" s="35" t="s">
        <v>679</v>
      </c>
      <c r="G43" s="35"/>
      <c r="H43" s="35" t="s">
        <v>680</v>
      </c>
      <c r="I43" s="35">
        <v>5</v>
      </c>
      <c r="J43" s="35">
        <v>5</v>
      </c>
      <c r="K43" s="35" t="s">
        <v>83</v>
      </c>
      <c r="L43" s="35">
        <v>1</v>
      </c>
      <c r="M43" s="35" t="s">
        <v>45</v>
      </c>
      <c r="N43" s="35" t="s">
        <v>53</v>
      </c>
      <c r="O43" s="35" t="s">
        <v>659</v>
      </c>
      <c r="P43" s="35" t="s">
        <v>660</v>
      </c>
      <c r="Q43" s="35" t="s">
        <v>84</v>
      </c>
      <c r="R43" s="35" t="s">
        <v>73</v>
      </c>
      <c r="S43" s="35" t="s">
        <v>148</v>
      </c>
      <c r="T43" s="35" t="s">
        <v>661</v>
      </c>
      <c r="U43" s="35" t="s">
        <v>662</v>
      </c>
      <c r="V43" s="35" t="s">
        <v>45</v>
      </c>
      <c r="W43" s="13" t="s">
        <v>663</v>
      </c>
      <c r="X43" s="35" t="s">
        <v>53</v>
      </c>
      <c r="Y43" s="35" t="s">
        <v>53</v>
      </c>
      <c r="Z43" s="35" t="s">
        <v>60</v>
      </c>
      <c r="AA43" s="35" t="s">
        <v>664</v>
      </c>
      <c r="AB43" s="35" t="s">
        <v>69</v>
      </c>
      <c r="AC43" s="35" t="s">
        <v>74</v>
      </c>
      <c r="AD43" s="35" t="s">
        <v>45</v>
      </c>
      <c r="AE43" s="13" t="s">
        <v>655</v>
      </c>
      <c r="AF43" s="35"/>
      <c r="AG43" s="90" t="s">
        <v>686</v>
      </c>
    </row>
    <row r="44" spans="1:34" ht="25.5" x14ac:dyDescent="0.25">
      <c r="A44" s="35" t="s">
        <v>142</v>
      </c>
      <c r="B44" s="35" t="s">
        <v>784</v>
      </c>
      <c r="C44" s="35" t="s">
        <v>681</v>
      </c>
      <c r="D44" s="35" t="s">
        <v>193</v>
      </c>
      <c r="E44" s="35" t="s">
        <v>365</v>
      </c>
      <c r="F44" s="35" t="s">
        <v>682</v>
      </c>
      <c r="G44" s="35"/>
      <c r="H44" s="35"/>
      <c r="I44" s="35">
        <v>2</v>
      </c>
      <c r="J44" s="35">
        <v>2</v>
      </c>
      <c r="K44" s="35" t="s">
        <v>50</v>
      </c>
      <c r="L44" s="35">
        <v>0.56000000000000005</v>
      </c>
      <c r="M44" s="35" t="s">
        <v>45</v>
      </c>
      <c r="N44" s="35" t="s">
        <v>53</v>
      </c>
      <c r="O44" s="35" t="s">
        <v>659</v>
      </c>
      <c r="P44" s="35" t="s">
        <v>660</v>
      </c>
      <c r="Q44" s="35" t="s">
        <v>84</v>
      </c>
      <c r="R44" s="35" t="s">
        <v>73</v>
      </c>
      <c r="S44" s="35" t="s">
        <v>148</v>
      </c>
      <c r="T44" s="35" t="s">
        <v>661</v>
      </c>
      <c r="U44" s="35" t="s">
        <v>662</v>
      </c>
      <c r="V44" s="35" t="s">
        <v>45</v>
      </c>
      <c r="W44" s="13" t="s">
        <v>663</v>
      </c>
      <c r="X44" s="35" t="s">
        <v>53</v>
      </c>
      <c r="Y44" s="35" t="s">
        <v>53</v>
      </c>
      <c r="Z44" s="35" t="s">
        <v>60</v>
      </c>
      <c r="AA44" s="35" t="s">
        <v>664</v>
      </c>
      <c r="AB44" s="35" t="s">
        <v>69</v>
      </c>
      <c r="AC44" s="35" t="s">
        <v>74</v>
      </c>
      <c r="AD44" s="35" t="s">
        <v>45</v>
      </c>
      <c r="AE44" s="13" t="s">
        <v>655</v>
      </c>
      <c r="AF44" s="35"/>
      <c r="AG44" s="90" t="s">
        <v>686</v>
      </c>
    </row>
    <row r="45" spans="1:34" ht="38.25" x14ac:dyDescent="0.25">
      <c r="A45" s="35" t="s">
        <v>142</v>
      </c>
      <c r="B45" s="35" t="s">
        <v>784</v>
      </c>
      <c r="C45" s="35" t="s">
        <v>683</v>
      </c>
      <c r="D45" s="35" t="s">
        <v>332</v>
      </c>
      <c r="E45" s="35" t="s">
        <v>669</v>
      </c>
      <c r="F45" s="35" t="s">
        <v>684</v>
      </c>
      <c r="G45" s="35"/>
      <c r="H45" s="35" t="s">
        <v>685</v>
      </c>
      <c r="I45" s="35">
        <v>0</v>
      </c>
      <c r="J45" s="35">
        <v>0</v>
      </c>
      <c r="K45" s="35" t="s">
        <v>396</v>
      </c>
      <c r="L45" s="35">
        <v>0</v>
      </c>
      <c r="M45" s="35" t="s">
        <v>45</v>
      </c>
      <c r="N45" s="35" t="s">
        <v>53</v>
      </c>
      <c r="O45" s="35" t="s">
        <v>659</v>
      </c>
      <c r="P45" s="35" t="s">
        <v>660</v>
      </c>
      <c r="Q45" s="35" t="s">
        <v>84</v>
      </c>
      <c r="R45" s="35" t="s">
        <v>73</v>
      </c>
      <c r="S45" s="35" t="s">
        <v>148</v>
      </c>
      <c r="T45" s="35" t="s">
        <v>661</v>
      </c>
      <c r="U45" s="35" t="s">
        <v>662</v>
      </c>
      <c r="V45" s="35" t="s">
        <v>45</v>
      </c>
      <c r="W45" s="13" t="s">
        <v>663</v>
      </c>
      <c r="X45" s="35" t="s">
        <v>53</v>
      </c>
      <c r="Y45" s="35" t="s">
        <v>53</v>
      </c>
      <c r="Z45" s="35" t="s">
        <v>60</v>
      </c>
      <c r="AA45" s="35" t="s">
        <v>664</v>
      </c>
      <c r="AB45" s="35" t="s">
        <v>69</v>
      </c>
      <c r="AC45" s="35" t="s">
        <v>74</v>
      </c>
      <c r="AD45" s="35" t="s">
        <v>45</v>
      </c>
      <c r="AE45" s="13" t="s">
        <v>655</v>
      </c>
      <c r="AF45" s="35"/>
      <c r="AG45" s="90" t="s">
        <v>686</v>
      </c>
    </row>
    <row r="46" spans="1:34" ht="25.5" x14ac:dyDescent="0.25">
      <c r="A46" s="35" t="s">
        <v>142</v>
      </c>
      <c r="B46" s="35" t="s">
        <v>784</v>
      </c>
      <c r="C46" s="35" t="s">
        <v>696</v>
      </c>
      <c r="D46" s="35" t="s">
        <v>153</v>
      </c>
      <c r="E46" s="35" t="s">
        <v>697</v>
      </c>
      <c r="F46" s="35" t="s">
        <v>698</v>
      </c>
      <c r="G46" s="35"/>
      <c r="H46" s="35" t="s">
        <v>699</v>
      </c>
      <c r="I46" s="35">
        <v>1</v>
      </c>
      <c r="J46" s="35">
        <v>1</v>
      </c>
      <c r="K46" s="35" t="s">
        <v>64</v>
      </c>
      <c r="L46" s="35">
        <v>0.48</v>
      </c>
      <c r="M46" s="35" t="s">
        <v>45</v>
      </c>
      <c r="N46" s="35" t="s">
        <v>53</v>
      </c>
      <c r="O46" s="35" t="s">
        <v>687</v>
      </c>
      <c r="P46" s="35" t="s">
        <v>688</v>
      </c>
      <c r="Q46" s="35" t="s">
        <v>78</v>
      </c>
      <c r="R46" s="35" t="s">
        <v>66</v>
      </c>
      <c r="S46" s="35" t="s">
        <v>148</v>
      </c>
      <c r="T46" s="35" t="s">
        <v>689</v>
      </c>
      <c r="U46" s="35" t="s">
        <v>690</v>
      </c>
      <c r="V46" s="35" t="s">
        <v>53</v>
      </c>
      <c r="W46" s="13" t="s">
        <v>53</v>
      </c>
      <c r="X46" s="35" t="s">
        <v>53</v>
      </c>
      <c r="Y46" s="35" t="s">
        <v>53</v>
      </c>
      <c r="Z46" s="35" t="s">
        <v>691</v>
      </c>
      <c r="AA46" s="35" t="s">
        <v>61</v>
      </c>
      <c r="AB46" s="35" t="s">
        <v>74</v>
      </c>
      <c r="AC46" s="35" t="s">
        <v>692</v>
      </c>
      <c r="AD46" s="35" t="s">
        <v>693</v>
      </c>
      <c r="AE46" s="13" t="s">
        <v>694</v>
      </c>
      <c r="AF46" s="35"/>
      <c r="AG46" s="35" t="s">
        <v>695</v>
      </c>
    </row>
    <row r="47" spans="1:34" ht="25.5" x14ac:dyDescent="0.25">
      <c r="A47" s="35" t="s">
        <v>142</v>
      </c>
      <c r="B47" s="35" t="s">
        <v>784</v>
      </c>
      <c r="C47" s="35" t="s">
        <v>700</v>
      </c>
      <c r="D47" s="35" t="s">
        <v>252</v>
      </c>
      <c r="E47" s="35" t="s">
        <v>669</v>
      </c>
      <c r="F47" s="35" t="s">
        <v>701</v>
      </c>
      <c r="G47" s="35"/>
      <c r="H47" s="35" t="s">
        <v>702</v>
      </c>
      <c r="I47" s="35">
        <v>2</v>
      </c>
      <c r="J47" s="35">
        <v>2</v>
      </c>
      <c r="K47" s="35" t="s">
        <v>64</v>
      </c>
      <c r="L47" s="35">
        <v>0.56000000000000005</v>
      </c>
      <c r="M47" s="35" t="s">
        <v>45</v>
      </c>
      <c r="N47" s="35" t="s">
        <v>53</v>
      </c>
      <c r="O47" s="35" t="s">
        <v>687</v>
      </c>
      <c r="P47" s="35" t="s">
        <v>688</v>
      </c>
      <c r="Q47" s="35" t="s">
        <v>78</v>
      </c>
      <c r="R47" s="35" t="s">
        <v>66</v>
      </c>
      <c r="S47" s="35" t="s">
        <v>148</v>
      </c>
      <c r="T47" s="35" t="s">
        <v>689</v>
      </c>
      <c r="U47" s="35" t="s">
        <v>690</v>
      </c>
      <c r="V47" s="35" t="s">
        <v>53</v>
      </c>
      <c r="W47" s="13" t="s">
        <v>53</v>
      </c>
      <c r="X47" s="35" t="s">
        <v>53</v>
      </c>
      <c r="Y47" s="35" t="s">
        <v>53</v>
      </c>
      <c r="Z47" s="35" t="s">
        <v>691</v>
      </c>
      <c r="AA47" s="35" t="s">
        <v>61</v>
      </c>
      <c r="AB47" s="35" t="s">
        <v>74</v>
      </c>
      <c r="AC47" s="35" t="s">
        <v>692</v>
      </c>
      <c r="AD47" s="35" t="s">
        <v>693</v>
      </c>
      <c r="AE47" s="13" t="s">
        <v>694</v>
      </c>
      <c r="AF47" s="35"/>
      <c r="AG47" s="35" t="s">
        <v>695</v>
      </c>
    </row>
    <row r="48" spans="1:34" ht="30" x14ac:dyDescent="0.25">
      <c r="A48" s="35" t="s">
        <v>142</v>
      </c>
      <c r="B48" s="35" t="s">
        <v>784</v>
      </c>
      <c r="C48" s="35" t="s">
        <v>703</v>
      </c>
      <c r="D48" s="35" t="s">
        <v>189</v>
      </c>
      <c r="E48" s="35" t="s">
        <v>156</v>
      </c>
      <c r="F48" s="35" t="s">
        <v>1722</v>
      </c>
      <c r="G48" s="35" t="s">
        <v>1726</v>
      </c>
      <c r="H48" s="36" t="s">
        <v>704</v>
      </c>
      <c r="I48" s="35">
        <v>1</v>
      </c>
      <c r="J48" s="35">
        <v>2</v>
      </c>
      <c r="K48" s="35" t="s">
        <v>77</v>
      </c>
      <c r="L48" s="35">
        <v>0.32</v>
      </c>
      <c r="M48" s="35" t="s">
        <v>45</v>
      </c>
      <c r="N48" s="35" t="s">
        <v>53</v>
      </c>
      <c r="O48" s="35" t="s">
        <v>687</v>
      </c>
      <c r="P48" s="35" t="s">
        <v>688</v>
      </c>
      <c r="Q48" s="35" t="s">
        <v>78</v>
      </c>
      <c r="R48" s="35" t="s">
        <v>66</v>
      </c>
      <c r="S48" s="35" t="s">
        <v>148</v>
      </c>
      <c r="T48" s="35" t="s">
        <v>689</v>
      </c>
      <c r="U48" s="35" t="s">
        <v>690</v>
      </c>
      <c r="V48" s="35" t="s">
        <v>53</v>
      </c>
      <c r="W48" s="13" t="s">
        <v>53</v>
      </c>
      <c r="X48" s="35" t="s">
        <v>53</v>
      </c>
      <c r="Y48" s="35" t="s">
        <v>53</v>
      </c>
      <c r="Z48" s="35" t="s">
        <v>691</v>
      </c>
      <c r="AA48" s="35" t="s">
        <v>61</v>
      </c>
      <c r="AB48" s="35" t="s">
        <v>74</v>
      </c>
      <c r="AC48" s="35" t="s">
        <v>692</v>
      </c>
      <c r="AD48" s="35" t="s">
        <v>693</v>
      </c>
      <c r="AE48" s="13" t="s">
        <v>694</v>
      </c>
      <c r="AF48" s="35"/>
      <c r="AG48" s="35" t="s">
        <v>695</v>
      </c>
    </row>
    <row r="49" spans="1:33" ht="25.5" x14ac:dyDescent="0.25">
      <c r="A49" s="35" t="s">
        <v>142</v>
      </c>
      <c r="B49" s="35" t="s">
        <v>784</v>
      </c>
      <c r="C49" s="35" t="s">
        <v>705</v>
      </c>
      <c r="D49" s="35" t="s">
        <v>33</v>
      </c>
      <c r="E49" s="35" t="s">
        <v>706</v>
      </c>
      <c r="F49" s="35" t="s">
        <v>707</v>
      </c>
      <c r="G49" s="35"/>
      <c r="H49" s="35" t="s">
        <v>708</v>
      </c>
      <c r="I49" s="35">
        <v>1</v>
      </c>
      <c r="J49" s="35">
        <v>2</v>
      </c>
      <c r="K49" s="35" t="s">
        <v>77</v>
      </c>
      <c r="L49" s="35">
        <v>0.32</v>
      </c>
      <c r="M49" s="35" t="s">
        <v>45</v>
      </c>
      <c r="N49" s="35" t="s">
        <v>53</v>
      </c>
      <c r="O49" s="35" t="s">
        <v>687</v>
      </c>
      <c r="P49" s="35" t="s">
        <v>688</v>
      </c>
      <c r="Q49" s="35" t="s">
        <v>78</v>
      </c>
      <c r="R49" s="35" t="s">
        <v>66</v>
      </c>
      <c r="S49" s="35" t="s">
        <v>148</v>
      </c>
      <c r="T49" s="35" t="s">
        <v>689</v>
      </c>
      <c r="U49" s="35" t="s">
        <v>690</v>
      </c>
      <c r="V49" s="35" t="s">
        <v>53</v>
      </c>
      <c r="W49" s="35" t="s">
        <v>53</v>
      </c>
      <c r="X49" s="35" t="s">
        <v>53</v>
      </c>
      <c r="Y49" s="35" t="s">
        <v>53</v>
      </c>
      <c r="Z49" s="35" t="s">
        <v>691</v>
      </c>
      <c r="AA49" s="35" t="s">
        <v>61</v>
      </c>
      <c r="AB49" s="35" t="s">
        <v>74</v>
      </c>
      <c r="AC49" s="35" t="s">
        <v>692</v>
      </c>
      <c r="AD49" s="35" t="s">
        <v>693</v>
      </c>
      <c r="AE49" s="35" t="s">
        <v>694</v>
      </c>
      <c r="AF49" s="35"/>
      <c r="AG49" s="35" t="s">
        <v>695</v>
      </c>
    </row>
    <row r="50" spans="1:33" ht="25.5" x14ac:dyDescent="0.25">
      <c r="A50" s="35" t="s">
        <v>142</v>
      </c>
      <c r="B50" s="35" t="s">
        <v>784</v>
      </c>
      <c r="C50" s="35" t="s">
        <v>709</v>
      </c>
      <c r="D50" s="35" t="s">
        <v>193</v>
      </c>
      <c r="E50" s="35" t="s">
        <v>789</v>
      </c>
      <c r="F50" s="35" t="s">
        <v>710</v>
      </c>
      <c r="G50" s="35"/>
      <c r="H50" s="35" t="s">
        <v>711</v>
      </c>
      <c r="I50" s="35">
        <v>4</v>
      </c>
      <c r="J50" s="35">
        <v>1</v>
      </c>
      <c r="K50" s="35" t="s">
        <v>64</v>
      </c>
      <c r="L50" s="35">
        <v>0.6</v>
      </c>
      <c r="M50" s="35" t="s">
        <v>45</v>
      </c>
      <c r="N50" s="35" t="s">
        <v>53</v>
      </c>
      <c r="O50" s="35" t="s">
        <v>687</v>
      </c>
      <c r="P50" s="35" t="s">
        <v>688</v>
      </c>
      <c r="Q50" s="35" t="s">
        <v>78</v>
      </c>
      <c r="R50" s="35" t="s">
        <v>66</v>
      </c>
      <c r="S50" s="35" t="s">
        <v>148</v>
      </c>
      <c r="T50" s="35" t="s">
        <v>689</v>
      </c>
      <c r="U50" s="35" t="s">
        <v>690</v>
      </c>
      <c r="V50" s="35" t="s">
        <v>53</v>
      </c>
      <c r="W50" s="35" t="s">
        <v>53</v>
      </c>
      <c r="X50" s="35" t="s">
        <v>53</v>
      </c>
      <c r="Y50" s="35" t="s">
        <v>53</v>
      </c>
      <c r="Z50" s="35" t="s">
        <v>691</v>
      </c>
      <c r="AA50" s="35" t="s">
        <v>61</v>
      </c>
      <c r="AB50" s="35" t="s">
        <v>74</v>
      </c>
      <c r="AC50" s="35" t="s">
        <v>692</v>
      </c>
      <c r="AD50" s="35" t="s">
        <v>693</v>
      </c>
      <c r="AE50" s="35" t="s">
        <v>694</v>
      </c>
      <c r="AF50" s="35"/>
      <c r="AG50" s="35" t="s">
        <v>695</v>
      </c>
    </row>
    <row r="51" spans="1:33" ht="25.5" x14ac:dyDescent="0.25">
      <c r="A51" s="35" t="s">
        <v>142</v>
      </c>
      <c r="B51" s="35" t="s">
        <v>784</v>
      </c>
      <c r="C51" s="35" t="s">
        <v>712</v>
      </c>
      <c r="D51" s="35" t="s">
        <v>193</v>
      </c>
      <c r="E51" s="35" t="s">
        <v>169</v>
      </c>
      <c r="F51" s="35" t="s">
        <v>713</v>
      </c>
      <c r="G51" s="35"/>
      <c r="H51" s="35" t="s">
        <v>714</v>
      </c>
      <c r="I51" s="35">
        <v>5</v>
      </c>
      <c r="J51" s="35">
        <v>1</v>
      </c>
      <c r="K51" s="35" t="s">
        <v>77</v>
      </c>
      <c r="L51" s="35">
        <v>0.44</v>
      </c>
      <c r="M51" s="35" t="s">
        <v>45</v>
      </c>
      <c r="N51" s="35" t="s">
        <v>53</v>
      </c>
      <c r="O51" s="35" t="s">
        <v>687</v>
      </c>
      <c r="P51" s="35" t="s">
        <v>688</v>
      </c>
      <c r="Q51" s="35" t="s">
        <v>78</v>
      </c>
      <c r="R51" s="35" t="s">
        <v>66</v>
      </c>
      <c r="S51" s="35" t="s">
        <v>148</v>
      </c>
      <c r="T51" s="35" t="s">
        <v>689</v>
      </c>
      <c r="U51" s="35" t="s">
        <v>690</v>
      </c>
      <c r="V51" s="35" t="s">
        <v>53</v>
      </c>
      <c r="X51" s="35" t="s">
        <v>53</v>
      </c>
      <c r="Y51" s="35" t="s">
        <v>53</v>
      </c>
      <c r="Z51" s="35" t="s">
        <v>691</v>
      </c>
      <c r="AA51" s="35" t="s">
        <v>61</v>
      </c>
      <c r="AB51" s="35" t="s">
        <v>74</v>
      </c>
      <c r="AC51" s="35" t="s">
        <v>692</v>
      </c>
      <c r="AD51" s="35" t="s">
        <v>693</v>
      </c>
      <c r="AE51" s="35" t="s">
        <v>694</v>
      </c>
      <c r="AF51" s="35"/>
      <c r="AG51" s="35" t="s">
        <v>695</v>
      </c>
    </row>
    <row r="52" spans="1:33" ht="25.5" x14ac:dyDescent="0.25">
      <c r="A52" s="35" t="s">
        <v>142</v>
      </c>
      <c r="B52" s="35" t="s">
        <v>164</v>
      </c>
      <c r="C52" s="35" t="s">
        <v>715</v>
      </c>
      <c r="D52" s="35" t="s">
        <v>193</v>
      </c>
      <c r="E52" s="35" t="s">
        <v>716</v>
      </c>
      <c r="F52" s="35" t="s">
        <v>717</v>
      </c>
      <c r="G52" s="35"/>
      <c r="H52" s="35" t="s">
        <v>718</v>
      </c>
      <c r="I52" s="35">
        <v>5</v>
      </c>
      <c r="J52" s="35">
        <v>3</v>
      </c>
      <c r="K52" s="35" t="s">
        <v>77</v>
      </c>
      <c r="L52" s="35">
        <v>0.52</v>
      </c>
      <c r="M52" s="35" t="s">
        <v>45</v>
      </c>
      <c r="N52" s="35" t="s">
        <v>53</v>
      </c>
      <c r="O52" s="35" t="s">
        <v>687</v>
      </c>
      <c r="P52" s="35" t="s">
        <v>688</v>
      </c>
      <c r="Q52" s="35" t="s">
        <v>78</v>
      </c>
      <c r="R52" s="35" t="s">
        <v>66</v>
      </c>
      <c r="S52" s="35" t="s">
        <v>148</v>
      </c>
      <c r="T52" s="35" t="s">
        <v>689</v>
      </c>
      <c r="U52" s="35" t="s">
        <v>690</v>
      </c>
      <c r="V52" s="35" t="s">
        <v>53</v>
      </c>
      <c r="W52" s="35" t="s">
        <v>53</v>
      </c>
      <c r="X52" s="35" t="s">
        <v>53</v>
      </c>
      <c r="Y52" s="35" t="s">
        <v>53</v>
      </c>
      <c r="Z52" s="35" t="s">
        <v>691</v>
      </c>
      <c r="AA52" s="35" t="s">
        <v>61</v>
      </c>
      <c r="AB52" s="35" t="s">
        <v>74</v>
      </c>
      <c r="AC52" s="35" t="s">
        <v>692</v>
      </c>
      <c r="AD52" s="35" t="s">
        <v>693</v>
      </c>
      <c r="AE52" s="35" t="s">
        <v>694</v>
      </c>
      <c r="AF52" s="35"/>
      <c r="AG52" s="35" t="s">
        <v>695</v>
      </c>
    </row>
    <row r="53" spans="1:33" ht="51" x14ac:dyDescent="0.25">
      <c r="A53" s="35" t="s">
        <v>142</v>
      </c>
      <c r="B53" s="35" t="s">
        <v>784</v>
      </c>
      <c r="C53" s="35" t="s">
        <v>727</v>
      </c>
      <c r="D53" s="35" t="s">
        <v>252</v>
      </c>
      <c r="E53" s="35" t="s">
        <v>669</v>
      </c>
      <c r="F53" s="35" t="s">
        <v>728</v>
      </c>
      <c r="G53" s="35"/>
      <c r="H53" s="35" t="s">
        <v>729</v>
      </c>
      <c r="I53" s="35">
        <v>1</v>
      </c>
      <c r="J53" s="35">
        <v>1</v>
      </c>
      <c r="K53" s="35" t="s">
        <v>50</v>
      </c>
      <c r="L53" s="35">
        <v>0.44</v>
      </c>
      <c r="M53" s="35" t="s">
        <v>45</v>
      </c>
      <c r="N53" s="35" t="s">
        <v>45</v>
      </c>
      <c r="O53" s="35" t="s">
        <v>721</v>
      </c>
      <c r="P53" s="35" t="s">
        <v>722</v>
      </c>
      <c r="Q53" s="35" t="s">
        <v>81</v>
      </c>
      <c r="R53" s="35" t="s">
        <v>82</v>
      </c>
      <c r="S53" s="35" t="s">
        <v>723</v>
      </c>
      <c r="T53" s="35" t="s">
        <v>724</v>
      </c>
      <c r="U53" s="35" t="s">
        <v>725</v>
      </c>
      <c r="V53" s="35" t="s">
        <v>45</v>
      </c>
      <c r="W53" s="35" t="s">
        <v>726</v>
      </c>
      <c r="X53" s="35" t="s">
        <v>53</v>
      </c>
      <c r="Y53" s="35" t="s">
        <v>53</v>
      </c>
      <c r="Z53" s="35" t="s">
        <v>46</v>
      </c>
      <c r="AA53" s="35" t="s">
        <v>74</v>
      </c>
      <c r="AB53" s="35" t="s">
        <v>74</v>
      </c>
      <c r="AC53" s="35" t="s">
        <v>74</v>
      </c>
      <c r="AD53" s="35" t="s">
        <v>53</v>
      </c>
      <c r="AE53" s="35" t="s">
        <v>181</v>
      </c>
      <c r="AF53" s="35"/>
      <c r="AG53" s="90"/>
    </row>
    <row r="54" spans="1:33" ht="51" x14ac:dyDescent="0.25">
      <c r="A54" s="35" t="s">
        <v>142</v>
      </c>
      <c r="B54" s="35" t="s">
        <v>784</v>
      </c>
      <c r="C54" s="35" t="s">
        <v>730</v>
      </c>
      <c r="D54" s="35" t="s">
        <v>185</v>
      </c>
      <c r="E54" s="35" t="s">
        <v>669</v>
      </c>
      <c r="F54" s="35" t="s">
        <v>731</v>
      </c>
      <c r="G54" s="35"/>
      <c r="H54" s="35" t="s">
        <v>732</v>
      </c>
      <c r="I54" s="35">
        <v>1</v>
      </c>
      <c r="J54" s="35">
        <v>1</v>
      </c>
      <c r="K54" s="35" t="s">
        <v>50</v>
      </c>
      <c r="L54" s="35">
        <v>0.48</v>
      </c>
      <c r="M54" s="35" t="s">
        <v>45</v>
      </c>
      <c r="N54" s="35" t="s">
        <v>45</v>
      </c>
      <c r="O54" s="35" t="s">
        <v>721</v>
      </c>
      <c r="P54" s="35" t="s">
        <v>722</v>
      </c>
      <c r="Q54" s="35" t="s">
        <v>81</v>
      </c>
      <c r="R54" s="35" t="s">
        <v>82</v>
      </c>
      <c r="S54" s="35" t="s">
        <v>723</v>
      </c>
      <c r="T54" s="35" t="s">
        <v>724</v>
      </c>
      <c r="U54" s="35" t="s">
        <v>725</v>
      </c>
      <c r="V54" s="35" t="s">
        <v>45</v>
      </c>
      <c r="W54" s="35" t="s">
        <v>726</v>
      </c>
      <c r="X54" s="35" t="s">
        <v>53</v>
      </c>
      <c r="Y54" s="35" t="s">
        <v>53</v>
      </c>
      <c r="Z54" s="35" t="s">
        <v>46</v>
      </c>
      <c r="AA54" s="35" t="s">
        <v>74</v>
      </c>
      <c r="AB54" s="35" t="s">
        <v>74</v>
      </c>
      <c r="AC54" s="35" t="s">
        <v>74</v>
      </c>
      <c r="AD54" s="35" t="s">
        <v>53</v>
      </c>
      <c r="AE54" s="35" t="s">
        <v>181</v>
      </c>
      <c r="AF54" s="35"/>
      <c r="AG54" s="90"/>
    </row>
    <row r="55" spans="1:33" ht="51" x14ac:dyDescent="0.25">
      <c r="A55" s="35" t="s">
        <v>142</v>
      </c>
      <c r="B55" s="35" t="s">
        <v>784</v>
      </c>
      <c r="C55" s="35" t="s">
        <v>733</v>
      </c>
      <c r="D55" s="35" t="s">
        <v>734</v>
      </c>
      <c r="E55" s="35" t="s">
        <v>669</v>
      </c>
      <c r="F55" s="36" t="s">
        <v>1711</v>
      </c>
      <c r="G55" s="35"/>
      <c r="H55" s="35" t="s">
        <v>735</v>
      </c>
      <c r="I55" s="35">
        <v>1</v>
      </c>
      <c r="J55" s="35">
        <v>1</v>
      </c>
      <c r="K55" s="35" t="s">
        <v>50</v>
      </c>
      <c r="L55" s="35">
        <v>0.48</v>
      </c>
      <c r="M55" s="35" t="s">
        <v>45</v>
      </c>
      <c r="N55" s="35" t="s">
        <v>45</v>
      </c>
      <c r="O55" s="35" t="s">
        <v>721</v>
      </c>
      <c r="P55" s="35" t="s">
        <v>722</v>
      </c>
      <c r="Q55" s="35" t="s">
        <v>81</v>
      </c>
      <c r="R55" s="35" t="s">
        <v>82</v>
      </c>
      <c r="S55" s="35" t="s">
        <v>723</v>
      </c>
      <c r="T55" s="35" t="s">
        <v>724</v>
      </c>
      <c r="U55" s="35" t="s">
        <v>725</v>
      </c>
      <c r="V55" s="35" t="s">
        <v>45</v>
      </c>
      <c r="W55" s="35" t="s">
        <v>726</v>
      </c>
      <c r="X55" s="35" t="s">
        <v>53</v>
      </c>
      <c r="Y55" s="35" t="s">
        <v>53</v>
      </c>
      <c r="Z55" s="35" t="s">
        <v>46</v>
      </c>
      <c r="AA55" s="35" t="s">
        <v>74</v>
      </c>
      <c r="AB55" s="35" t="s">
        <v>74</v>
      </c>
      <c r="AC55" s="35" t="s">
        <v>74</v>
      </c>
      <c r="AD55" s="35" t="s">
        <v>53</v>
      </c>
      <c r="AE55" s="35" t="s">
        <v>181</v>
      </c>
      <c r="AF55" s="35"/>
      <c r="AG55" s="90"/>
    </row>
    <row r="56" spans="1:33" ht="51" x14ac:dyDescent="0.25">
      <c r="A56" s="35" t="s">
        <v>142</v>
      </c>
      <c r="B56" s="35" t="s">
        <v>784</v>
      </c>
      <c r="C56" s="35" t="s">
        <v>736</v>
      </c>
      <c r="D56" s="35" t="s">
        <v>193</v>
      </c>
      <c r="E56" s="35" t="s">
        <v>669</v>
      </c>
      <c r="F56" s="36" t="s">
        <v>737</v>
      </c>
      <c r="G56" s="35"/>
      <c r="H56" s="35" t="s">
        <v>738</v>
      </c>
      <c r="I56" s="35">
        <v>2</v>
      </c>
      <c r="J56" s="35">
        <v>2</v>
      </c>
      <c r="K56" s="35" t="s">
        <v>64</v>
      </c>
      <c r="L56" s="35">
        <v>0.56000000000000005</v>
      </c>
      <c r="M56" s="35" t="s">
        <v>45</v>
      </c>
      <c r="N56" s="35" t="s">
        <v>45</v>
      </c>
      <c r="O56" s="35" t="s">
        <v>721</v>
      </c>
      <c r="P56" s="35" t="s">
        <v>722</v>
      </c>
      <c r="Q56" s="35" t="s">
        <v>81</v>
      </c>
      <c r="R56" s="35" t="s">
        <v>82</v>
      </c>
      <c r="S56" s="35" t="s">
        <v>723</v>
      </c>
      <c r="T56" s="35" t="s">
        <v>724</v>
      </c>
      <c r="U56" s="35" t="s">
        <v>725</v>
      </c>
      <c r="V56" s="35" t="s">
        <v>45</v>
      </c>
      <c r="W56" s="35" t="s">
        <v>726</v>
      </c>
      <c r="X56" s="35" t="s">
        <v>53</v>
      </c>
      <c r="Y56" s="35" t="s">
        <v>53</v>
      </c>
      <c r="Z56" s="35" t="s">
        <v>46</v>
      </c>
      <c r="AA56" s="35" t="s">
        <v>74</v>
      </c>
      <c r="AB56" s="35" t="s">
        <v>74</v>
      </c>
      <c r="AC56" s="35" t="s">
        <v>74</v>
      </c>
      <c r="AD56" s="35" t="s">
        <v>53</v>
      </c>
      <c r="AE56" s="35" t="s">
        <v>181</v>
      </c>
      <c r="AF56" s="35"/>
      <c r="AG56" s="90"/>
    </row>
    <row r="57" spans="1:33" ht="51" x14ac:dyDescent="0.25">
      <c r="A57" s="35" t="s">
        <v>142</v>
      </c>
      <c r="B57" s="35" t="s">
        <v>784</v>
      </c>
      <c r="C57" s="35" t="s">
        <v>739</v>
      </c>
      <c r="D57" s="35" t="s">
        <v>567</v>
      </c>
      <c r="E57" s="35" t="s">
        <v>669</v>
      </c>
      <c r="F57" s="35" t="s">
        <v>740</v>
      </c>
      <c r="G57" s="35"/>
      <c r="H57" s="35" t="s">
        <v>741</v>
      </c>
      <c r="I57" s="35">
        <v>2</v>
      </c>
      <c r="J57" s="35">
        <v>2</v>
      </c>
      <c r="K57" s="35" t="s">
        <v>64</v>
      </c>
      <c r="L57" s="35">
        <v>0.56000000000000005</v>
      </c>
      <c r="M57" s="35" t="s">
        <v>45</v>
      </c>
      <c r="N57" s="35" t="s">
        <v>45</v>
      </c>
      <c r="O57" s="35" t="s">
        <v>721</v>
      </c>
      <c r="P57" s="35" t="s">
        <v>722</v>
      </c>
      <c r="Q57" s="35" t="s">
        <v>81</v>
      </c>
      <c r="R57" s="35" t="s">
        <v>82</v>
      </c>
      <c r="S57" s="35" t="s">
        <v>723</v>
      </c>
      <c r="T57" s="35" t="s">
        <v>724</v>
      </c>
      <c r="U57" s="35" t="s">
        <v>725</v>
      </c>
      <c r="V57" s="35" t="s">
        <v>45</v>
      </c>
      <c r="W57" s="35" t="s">
        <v>726</v>
      </c>
      <c r="X57" s="35" t="s">
        <v>53</v>
      </c>
      <c r="Y57" s="35" t="s">
        <v>53</v>
      </c>
      <c r="Z57" s="35" t="s">
        <v>46</v>
      </c>
      <c r="AA57" s="35" t="s">
        <v>74</v>
      </c>
      <c r="AB57" s="35" t="s">
        <v>74</v>
      </c>
      <c r="AC57" s="35" t="s">
        <v>74</v>
      </c>
      <c r="AD57" s="35" t="s">
        <v>53</v>
      </c>
      <c r="AE57" s="35" t="s">
        <v>181</v>
      </c>
      <c r="AF57" s="35"/>
      <c r="AG57" s="90"/>
    </row>
    <row r="58" spans="1:33" ht="51" x14ac:dyDescent="0.25">
      <c r="A58" s="35" t="s">
        <v>142</v>
      </c>
      <c r="B58" s="35" t="s">
        <v>784</v>
      </c>
      <c r="C58" s="35" t="s">
        <v>742</v>
      </c>
      <c r="D58" s="35" t="s">
        <v>332</v>
      </c>
      <c r="E58" s="35" t="s">
        <v>669</v>
      </c>
      <c r="F58" s="35" t="s">
        <v>743</v>
      </c>
      <c r="G58" s="35"/>
      <c r="H58" s="35" t="s">
        <v>744</v>
      </c>
      <c r="I58" s="35">
        <v>1</v>
      </c>
      <c r="J58" s="35">
        <v>1</v>
      </c>
      <c r="K58" s="35" t="s">
        <v>50</v>
      </c>
      <c r="L58" s="35">
        <v>0.48</v>
      </c>
      <c r="M58" s="35" t="s">
        <v>45</v>
      </c>
      <c r="N58" s="35" t="s">
        <v>45</v>
      </c>
      <c r="O58" s="35" t="s">
        <v>721</v>
      </c>
      <c r="P58" s="35" t="s">
        <v>722</v>
      </c>
      <c r="Q58" s="35" t="s">
        <v>81</v>
      </c>
      <c r="R58" s="35" t="s">
        <v>82</v>
      </c>
      <c r="S58" s="35" t="s">
        <v>723</v>
      </c>
      <c r="T58" s="35" t="s">
        <v>724</v>
      </c>
      <c r="U58" s="35" t="s">
        <v>725</v>
      </c>
      <c r="V58" s="35" t="s">
        <v>45</v>
      </c>
      <c r="W58" s="35" t="s">
        <v>726</v>
      </c>
      <c r="X58" s="35" t="s">
        <v>53</v>
      </c>
      <c r="Y58" s="35" t="s">
        <v>53</v>
      </c>
      <c r="Z58" s="35" t="s">
        <v>46</v>
      </c>
      <c r="AA58" s="35" t="s">
        <v>74</v>
      </c>
      <c r="AB58" s="35" t="s">
        <v>74</v>
      </c>
      <c r="AC58" s="35" t="s">
        <v>74</v>
      </c>
      <c r="AD58" s="35" t="s">
        <v>53</v>
      </c>
      <c r="AE58" s="35" t="s">
        <v>181</v>
      </c>
      <c r="AF58" s="35"/>
      <c r="AG58" s="90"/>
    </row>
    <row r="59" spans="1:33" ht="51" x14ac:dyDescent="0.25">
      <c r="A59" s="35" t="s">
        <v>142</v>
      </c>
      <c r="B59" s="35" t="s">
        <v>164</v>
      </c>
      <c r="C59" s="35" t="s">
        <v>745</v>
      </c>
      <c r="D59" s="35" t="s">
        <v>170</v>
      </c>
      <c r="E59" s="35" t="s">
        <v>169</v>
      </c>
      <c r="F59" s="35" t="s">
        <v>746</v>
      </c>
      <c r="G59" s="35"/>
      <c r="H59" s="35"/>
      <c r="I59" s="35">
        <v>5</v>
      </c>
      <c r="J59" s="35">
        <v>5</v>
      </c>
      <c r="K59" s="35" t="s">
        <v>77</v>
      </c>
      <c r="L59" s="35">
        <v>0.6</v>
      </c>
      <c r="M59" s="35" t="s">
        <v>45</v>
      </c>
      <c r="N59" s="35" t="s">
        <v>45</v>
      </c>
      <c r="O59" s="35" t="s">
        <v>721</v>
      </c>
      <c r="P59" s="35" t="s">
        <v>722</v>
      </c>
      <c r="Q59" s="35" t="s">
        <v>81</v>
      </c>
      <c r="R59" s="35" t="s">
        <v>82</v>
      </c>
      <c r="S59" s="35" t="s">
        <v>723</v>
      </c>
      <c r="T59" s="35" t="s">
        <v>724</v>
      </c>
      <c r="U59" s="35" t="s">
        <v>725</v>
      </c>
      <c r="V59" s="35" t="s">
        <v>45</v>
      </c>
      <c r="W59" s="35" t="s">
        <v>726</v>
      </c>
      <c r="X59" s="35" t="s">
        <v>53</v>
      </c>
      <c r="Y59" s="35" t="s">
        <v>53</v>
      </c>
      <c r="Z59" s="35" t="s">
        <v>46</v>
      </c>
      <c r="AA59" s="35" t="s">
        <v>74</v>
      </c>
      <c r="AB59" s="35" t="s">
        <v>74</v>
      </c>
      <c r="AC59" s="35" t="s">
        <v>74</v>
      </c>
      <c r="AD59" s="35" t="s">
        <v>53</v>
      </c>
      <c r="AE59" s="35" t="s">
        <v>181</v>
      </c>
      <c r="AF59" s="35"/>
      <c r="AG59" s="90"/>
    </row>
    <row r="60" spans="1:33" ht="51" x14ac:dyDescent="0.25">
      <c r="A60" s="35" t="s">
        <v>142</v>
      </c>
      <c r="B60" s="35" t="s">
        <v>164</v>
      </c>
      <c r="C60" s="35" t="s">
        <v>747</v>
      </c>
      <c r="D60" s="35" t="s">
        <v>170</v>
      </c>
      <c r="E60" s="35" t="s">
        <v>748</v>
      </c>
      <c r="F60" s="35" t="s">
        <v>749</v>
      </c>
      <c r="G60" s="35"/>
      <c r="H60" s="35"/>
      <c r="I60" s="35">
        <v>5</v>
      </c>
      <c r="J60" s="35">
        <v>5</v>
      </c>
      <c r="K60" s="35" t="s">
        <v>77</v>
      </c>
      <c r="L60" s="35">
        <v>0.6</v>
      </c>
      <c r="M60" s="35" t="s">
        <v>45</v>
      </c>
      <c r="N60" s="35" t="s">
        <v>45</v>
      </c>
      <c r="O60" s="35" t="s">
        <v>721</v>
      </c>
      <c r="P60" s="35" t="s">
        <v>722</v>
      </c>
      <c r="Q60" s="35" t="s">
        <v>81</v>
      </c>
      <c r="R60" s="35" t="s">
        <v>82</v>
      </c>
      <c r="S60" s="35" t="s">
        <v>723</v>
      </c>
      <c r="T60" s="35" t="s">
        <v>724</v>
      </c>
      <c r="U60" s="35" t="s">
        <v>725</v>
      </c>
      <c r="V60" s="35" t="s">
        <v>45</v>
      </c>
      <c r="W60" s="35" t="s">
        <v>726</v>
      </c>
      <c r="X60" s="35" t="s">
        <v>53</v>
      </c>
      <c r="Y60" s="35" t="s">
        <v>53</v>
      </c>
      <c r="Z60" s="35" t="s">
        <v>46</v>
      </c>
      <c r="AA60" s="35" t="s">
        <v>74</v>
      </c>
      <c r="AB60" s="35" t="s">
        <v>74</v>
      </c>
      <c r="AC60" s="35" t="s">
        <v>74</v>
      </c>
      <c r="AD60" s="35" t="s">
        <v>53</v>
      </c>
      <c r="AE60" s="35" t="s">
        <v>181</v>
      </c>
      <c r="AF60" s="35"/>
      <c r="AG60" s="90"/>
    </row>
    <row r="61" spans="1:33" ht="51" x14ac:dyDescent="0.25">
      <c r="A61" s="35" t="s">
        <v>142</v>
      </c>
      <c r="B61" s="35" t="s">
        <v>164</v>
      </c>
      <c r="C61" s="35" t="s">
        <v>750</v>
      </c>
      <c r="D61" s="35" t="s">
        <v>193</v>
      </c>
      <c r="E61" s="35" t="s">
        <v>169</v>
      </c>
      <c r="F61" s="35" t="s">
        <v>751</v>
      </c>
      <c r="G61" s="35"/>
      <c r="H61" s="35"/>
      <c r="I61" s="35">
        <v>5</v>
      </c>
      <c r="J61" s="35">
        <v>5</v>
      </c>
      <c r="K61" s="35" t="s">
        <v>64</v>
      </c>
      <c r="L61" s="35">
        <v>0.8</v>
      </c>
      <c r="M61" s="35" t="s">
        <v>45</v>
      </c>
      <c r="N61" s="35" t="s">
        <v>45</v>
      </c>
      <c r="O61" s="35" t="s">
        <v>721</v>
      </c>
      <c r="P61" s="35" t="s">
        <v>722</v>
      </c>
      <c r="Q61" s="35" t="s">
        <v>81</v>
      </c>
      <c r="R61" s="35" t="s">
        <v>82</v>
      </c>
      <c r="S61" s="35" t="s">
        <v>723</v>
      </c>
      <c r="T61" s="35" t="s">
        <v>724</v>
      </c>
      <c r="U61" s="35" t="s">
        <v>725</v>
      </c>
      <c r="V61" s="35" t="s">
        <v>45</v>
      </c>
      <c r="W61" s="35" t="s">
        <v>726</v>
      </c>
      <c r="X61" s="35" t="s">
        <v>53</v>
      </c>
      <c r="Y61" s="35" t="s">
        <v>53</v>
      </c>
      <c r="Z61" s="35" t="s">
        <v>46</v>
      </c>
      <c r="AA61" s="35" t="s">
        <v>74</v>
      </c>
      <c r="AB61" s="35" t="s">
        <v>74</v>
      </c>
      <c r="AC61" s="35" t="s">
        <v>74</v>
      </c>
      <c r="AD61" s="35" t="s">
        <v>53</v>
      </c>
      <c r="AE61" s="35" t="s">
        <v>181</v>
      </c>
      <c r="AF61" s="35"/>
      <c r="AG61" s="90"/>
    </row>
    <row r="62" spans="1:33" ht="51" x14ac:dyDescent="0.25">
      <c r="A62" s="35" t="s">
        <v>142</v>
      </c>
      <c r="B62" s="35" t="s">
        <v>164</v>
      </c>
      <c r="C62" s="35" t="s">
        <v>752</v>
      </c>
      <c r="D62" s="35" t="s">
        <v>753</v>
      </c>
      <c r="E62" s="35" t="s">
        <v>169</v>
      </c>
      <c r="F62" s="35" t="s">
        <v>754</v>
      </c>
      <c r="G62" s="35"/>
      <c r="H62" s="35"/>
      <c r="I62" s="35">
        <v>4</v>
      </c>
      <c r="J62" s="35">
        <v>3</v>
      </c>
      <c r="K62" s="35" t="s">
        <v>50</v>
      </c>
      <c r="L62" s="35">
        <v>0.68</v>
      </c>
      <c r="M62" s="35" t="s">
        <v>45</v>
      </c>
      <c r="N62" s="35" t="s">
        <v>45</v>
      </c>
      <c r="O62" s="35" t="s">
        <v>721</v>
      </c>
      <c r="P62" s="35" t="s">
        <v>722</v>
      </c>
      <c r="Q62" s="35" t="s">
        <v>81</v>
      </c>
      <c r="R62" s="35" t="s">
        <v>82</v>
      </c>
      <c r="S62" s="35" t="s">
        <v>723</v>
      </c>
      <c r="T62" s="35" t="s">
        <v>724</v>
      </c>
      <c r="U62" s="35" t="s">
        <v>725</v>
      </c>
      <c r="V62" s="35" t="s">
        <v>45</v>
      </c>
      <c r="W62" s="35" t="s">
        <v>726</v>
      </c>
      <c r="X62" s="35" t="s">
        <v>53</v>
      </c>
      <c r="Y62" s="35" t="s">
        <v>53</v>
      </c>
      <c r="Z62" s="35" t="s">
        <v>46</v>
      </c>
      <c r="AA62" s="35" t="s">
        <v>74</v>
      </c>
      <c r="AB62" s="35" t="s">
        <v>74</v>
      </c>
      <c r="AC62" s="35" t="s">
        <v>74</v>
      </c>
      <c r="AD62" s="35" t="s">
        <v>53</v>
      </c>
      <c r="AE62" s="35" t="s">
        <v>181</v>
      </c>
      <c r="AF62" s="35"/>
      <c r="AG62" s="90"/>
    </row>
    <row r="63" spans="1:33" ht="25.5" x14ac:dyDescent="0.25">
      <c r="A63" s="35" t="s">
        <v>142</v>
      </c>
      <c r="B63" s="35" t="s">
        <v>784</v>
      </c>
      <c r="C63" s="35" t="s">
        <v>761</v>
      </c>
      <c r="D63" s="35" t="s">
        <v>153</v>
      </c>
      <c r="E63" s="35" t="s">
        <v>27</v>
      </c>
      <c r="F63" s="35" t="s">
        <v>762</v>
      </c>
      <c r="G63" s="35"/>
      <c r="H63" s="35" t="s">
        <v>763</v>
      </c>
      <c r="I63" s="35">
        <v>1</v>
      </c>
      <c r="J63" s="35">
        <v>5</v>
      </c>
      <c r="K63" s="35" t="s">
        <v>64</v>
      </c>
      <c r="L63" s="35">
        <v>0.64</v>
      </c>
      <c r="M63" s="35" t="s">
        <v>45</v>
      </c>
      <c r="N63" s="35" t="s">
        <v>45</v>
      </c>
      <c r="O63" s="35" t="s">
        <v>755</v>
      </c>
      <c r="P63" s="35" t="s">
        <v>175</v>
      </c>
      <c r="Q63" s="35" t="s">
        <v>72</v>
      </c>
      <c r="R63" s="35" t="s">
        <v>66</v>
      </c>
      <c r="S63" s="35" t="s">
        <v>756</v>
      </c>
      <c r="T63" s="35" t="s">
        <v>757</v>
      </c>
      <c r="U63" s="35" t="s">
        <v>758</v>
      </c>
      <c r="V63" s="35" t="s">
        <v>45</v>
      </c>
      <c r="W63" s="35" t="s">
        <v>252</v>
      </c>
      <c r="X63" s="35" t="s">
        <v>53</v>
      </c>
      <c r="Y63" s="35" t="s">
        <v>53</v>
      </c>
      <c r="Z63" s="35" t="s">
        <v>46</v>
      </c>
      <c r="AA63" s="35" t="s">
        <v>74</v>
      </c>
      <c r="AB63" s="35" t="s">
        <v>74</v>
      </c>
      <c r="AC63" s="35" t="s">
        <v>74</v>
      </c>
      <c r="AD63" s="35" t="s">
        <v>53</v>
      </c>
      <c r="AE63" s="35" t="s">
        <v>759</v>
      </c>
      <c r="AF63" s="35"/>
      <c r="AG63" s="90" t="s">
        <v>760</v>
      </c>
    </row>
    <row r="64" spans="1:33" ht="25.5" x14ac:dyDescent="0.25">
      <c r="A64" s="35" t="s">
        <v>142</v>
      </c>
      <c r="B64" s="35" t="s">
        <v>784</v>
      </c>
      <c r="C64" s="35" t="s">
        <v>764</v>
      </c>
      <c r="D64" s="35" t="s">
        <v>252</v>
      </c>
      <c r="E64" s="91" t="s">
        <v>169</v>
      </c>
      <c r="F64" s="35" t="s">
        <v>765</v>
      </c>
      <c r="G64" s="35"/>
      <c r="H64" s="35" t="s">
        <v>766</v>
      </c>
      <c r="I64" s="35">
        <v>1</v>
      </c>
      <c r="J64" s="35">
        <v>5</v>
      </c>
      <c r="K64" s="35" t="s">
        <v>50</v>
      </c>
      <c r="L64" s="35">
        <v>0.64</v>
      </c>
      <c r="M64" s="35" t="s">
        <v>45</v>
      </c>
      <c r="N64" s="35" t="s">
        <v>45</v>
      </c>
      <c r="O64" s="35" t="s">
        <v>755</v>
      </c>
      <c r="P64" s="35" t="s">
        <v>175</v>
      </c>
      <c r="Q64" s="35" t="s">
        <v>72</v>
      </c>
      <c r="R64" s="35" t="s">
        <v>66</v>
      </c>
      <c r="S64" s="35" t="s">
        <v>756</v>
      </c>
      <c r="T64" s="35" t="s">
        <v>757</v>
      </c>
      <c r="U64" s="35" t="s">
        <v>758</v>
      </c>
      <c r="V64" s="35" t="s">
        <v>45</v>
      </c>
      <c r="W64" s="35" t="s">
        <v>252</v>
      </c>
      <c r="X64" s="35" t="s">
        <v>53</v>
      </c>
      <c r="Y64" s="35" t="s">
        <v>53</v>
      </c>
      <c r="Z64" s="35" t="s">
        <v>46</v>
      </c>
      <c r="AA64" s="35" t="s">
        <v>74</v>
      </c>
      <c r="AB64" s="35" t="s">
        <v>74</v>
      </c>
      <c r="AC64" s="35" t="s">
        <v>74</v>
      </c>
      <c r="AD64" s="35" t="s">
        <v>53</v>
      </c>
      <c r="AE64" s="35" t="s">
        <v>759</v>
      </c>
      <c r="AF64" s="35"/>
      <c r="AG64" s="90"/>
    </row>
    <row r="65" spans="1:33" ht="25.5" x14ac:dyDescent="0.25">
      <c r="A65" s="35" t="s">
        <v>142</v>
      </c>
      <c r="B65" s="35" t="s">
        <v>784</v>
      </c>
      <c r="C65" s="35" t="s">
        <v>767</v>
      </c>
      <c r="D65" s="35" t="s">
        <v>33</v>
      </c>
      <c r="E65" s="35" t="s">
        <v>768</v>
      </c>
      <c r="F65" s="35" t="s">
        <v>769</v>
      </c>
      <c r="G65" s="35"/>
      <c r="H65" s="35" t="s">
        <v>770</v>
      </c>
      <c r="I65" s="35">
        <v>1</v>
      </c>
      <c r="J65" s="35">
        <v>5</v>
      </c>
      <c r="K65" s="35" t="s">
        <v>50</v>
      </c>
      <c r="L65" s="35">
        <v>0.64</v>
      </c>
      <c r="M65" s="35" t="s">
        <v>45</v>
      </c>
      <c r="N65" s="35" t="s">
        <v>45</v>
      </c>
      <c r="O65" s="35" t="s">
        <v>755</v>
      </c>
      <c r="P65" s="35" t="s">
        <v>175</v>
      </c>
      <c r="Q65" s="35" t="s">
        <v>72</v>
      </c>
      <c r="R65" s="35" t="s">
        <v>66</v>
      </c>
      <c r="S65" s="35" t="s">
        <v>756</v>
      </c>
      <c r="T65" s="35" t="s">
        <v>757</v>
      </c>
      <c r="U65" s="35" t="s">
        <v>758</v>
      </c>
      <c r="V65" s="35" t="s">
        <v>45</v>
      </c>
      <c r="W65" s="35" t="s">
        <v>252</v>
      </c>
      <c r="X65" s="35" t="s">
        <v>53</v>
      </c>
      <c r="Y65" s="35" t="s">
        <v>53</v>
      </c>
      <c r="Z65" s="35" t="s">
        <v>46</v>
      </c>
      <c r="AA65" s="35" t="s">
        <v>74</v>
      </c>
      <c r="AB65" s="35" t="s">
        <v>74</v>
      </c>
      <c r="AC65" s="35" t="s">
        <v>74</v>
      </c>
      <c r="AD65" s="35" t="s">
        <v>53</v>
      </c>
      <c r="AE65" s="35" t="s">
        <v>759</v>
      </c>
      <c r="AF65" s="35"/>
      <c r="AG65" s="90"/>
    </row>
    <row r="66" spans="1:33" ht="25.5" x14ac:dyDescent="0.25">
      <c r="A66" s="35" t="s">
        <v>142</v>
      </c>
      <c r="B66" s="35" t="s">
        <v>784</v>
      </c>
      <c r="C66" s="35" t="s">
        <v>771</v>
      </c>
      <c r="D66" s="35" t="s">
        <v>193</v>
      </c>
      <c r="E66" s="35" t="s">
        <v>748</v>
      </c>
      <c r="F66" s="35" t="s">
        <v>772</v>
      </c>
      <c r="G66" s="35"/>
      <c r="H66" s="35" t="s">
        <v>773</v>
      </c>
      <c r="I66" s="35">
        <v>5</v>
      </c>
      <c r="J66" s="35">
        <v>1</v>
      </c>
      <c r="K66" s="35" t="s">
        <v>77</v>
      </c>
      <c r="L66" s="35">
        <v>0.44</v>
      </c>
      <c r="M66" s="35" t="s">
        <v>45</v>
      </c>
      <c r="N66" s="35" t="s">
        <v>45</v>
      </c>
      <c r="O66" s="35" t="s">
        <v>755</v>
      </c>
      <c r="P66" s="35" t="s">
        <v>175</v>
      </c>
      <c r="Q66" s="35" t="s">
        <v>72</v>
      </c>
      <c r="R66" s="35" t="s">
        <v>66</v>
      </c>
      <c r="S66" s="35" t="s">
        <v>756</v>
      </c>
      <c r="T66" s="35" t="s">
        <v>757</v>
      </c>
      <c r="U66" s="35" t="s">
        <v>758</v>
      </c>
      <c r="V66" s="35" t="s">
        <v>45</v>
      </c>
      <c r="W66" s="35" t="s">
        <v>252</v>
      </c>
      <c r="X66" s="35" t="s">
        <v>53</v>
      </c>
      <c r="Y66" s="35" t="s">
        <v>53</v>
      </c>
      <c r="Z66" s="35" t="s">
        <v>46</v>
      </c>
      <c r="AA66" s="35" t="s">
        <v>74</v>
      </c>
      <c r="AB66" s="35" t="s">
        <v>74</v>
      </c>
      <c r="AC66" s="35" t="s">
        <v>74</v>
      </c>
      <c r="AD66" s="35" t="s">
        <v>53</v>
      </c>
      <c r="AE66" s="35" t="s">
        <v>759</v>
      </c>
      <c r="AF66" s="35"/>
      <c r="AG66" s="90"/>
    </row>
    <row r="67" spans="1:33" ht="30" x14ac:dyDescent="0.25">
      <c r="A67" s="35" t="s">
        <v>142</v>
      </c>
      <c r="B67" s="35" t="s">
        <v>784</v>
      </c>
      <c r="C67" s="35" t="s">
        <v>774</v>
      </c>
      <c r="D67" s="35" t="s">
        <v>193</v>
      </c>
      <c r="E67" s="35" t="s">
        <v>169</v>
      </c>
      <c r="F67" s="35" t="s">
        <v>1725</v>
      </c>
      <c r="G67" s="35"/>
      <c r="H67" s="36" t="s">
        <v>775</v>
      </c>
      <c r="I67" s="35">
        <v>5</v>
      </c>
      <c r="J67" s="35">
        <v>1</v>
      </c>
      <c r="K67" s="35" t="s">
        <v>77</v>
      </c>
      <c r="L67" s="35">
        <v>0.44</v>
      </c>
      <c r="M67" s="35" t="s">
        <v>45</v>
      </c>
      <c r="N67" s="35" t="s">
        <v>45</v>
      </c>
      <c r="O67" s="35" t="s">
        <v>755</v>
      </c>
      <c r="P67" s="35" t="s">
        <v>175</v>
      </c>
      <c r="Q67" s="35" t="s">
        <v>72</v>
      </c>
      <c r="R67" s="35" t="s">
        <v>66</v>
      </c>
      <c r="S67" s="35" t="s">
        <v>756</v>
      </c>
      <c r="T67" s="35" t="s">
        <v>757</v>
      </c>
      <c r="U67" s="35" t="s">
        <v>758</v>
      </c>
      <c r="V67" s="35" t="s">
        <v>45</v>
      </c>
      <c r="W67" s="35" t="s">
        <v>252</v>
      </c>
      <c r="X67" s="35" t="s">
        <v>53</v>
      </c>
      <c r="Y67" s="35" t="s">
        <v>53</v>
      </c>
      <c r="Z67" s="35" t="s">
        <v>46</v>
      </c>
      <c r="AA67" s="35" t="s">
        <v>74</v>
      </c>
      <c r="AB67" s="35" t="s">
        <v>74</v>
      </c>
      <c r="AC67" s="35" t="s">
        <v>74</v>
      </c>
      <c r="AD67" s="35" t="s">
        <v>53</v>
      </c>
      <c r="AE67" s="35" t="s">
        <v>759</v>
      </c>
      <c r="AF67" s="35"/>
      <c r="AG67" s="90"/>
    </row>
    <row r="68" spans="1:33" ht="38.25" x14ac:dyDescent="0.25">
      <c r="A68" s="35" t="s">
        <v>142</v>
      </c>
      <c r="B68" s="35" t="s">
        <v>784</v>
      </c>
      <c r="C68" s="35" t="s">
        <v>776</v>
      </c>
      <c r="D68" s="35" t="s">
        <v>332</v>
      </c>
      <c r="E68" s="35" t="s">
        <v>169</v>
      </c>
      <c r="F68" s="35" t="s">
        <v>777</v>
      </c>
      <c r="G68" s="35"/>
      <c r="H68" s="35" t="s">
        <v>778</v>
      </c>
      <c r="I68" s="35">
        <v>0</v>
      </c>
      <c r="J68" s="35">
        <v>0</v>
      </c>
      <c r="K68" s="35" t="s">
        <v>396</v>
      </c>
      <c r="L68" s="35">
        <v>0</v>
      </c>
      <c r="M68" s="35" t="s">
        <v>45</v>
      </c>
      <c r="N68" s="35" t="s">
        <v>45</v>
      </c>
      <c r="O68" s="35" t="s">
        <v>755</v>
      </c>
      <c r="P68" s="35" t="s">
        <v>175</v>
      </c>
      <c r="Q68" s="35" t="s">
        <v>72</v>
      </c>
      <c r="R68" s="35" t="s">
        <v>66</v>
      </c>
      <c r="S68" s="35" t="s">
        <v>756</v>
      </c>
      <c r="T68" s="35" t="s">
        <v>757</v>
      </c>
      <c r="U68" s="35" t="s">
        <v>758</v>
      </c>
      <c r="V68" s="35" t="s">
        <v>45</v>
      </c>
      <c r="W68" s="35" t="s">
        <v>252</v>
      </c>
      <c r="X68" s="35" t="s">
        <v>53</v>
      </c>
      <c r="Y68" s="35" t="s">
        <v>53</v>
      </c>
      <c r="Z68" s="35" t="s">
        <v>46</v>
      </c>
      <c r="AA68" s="35" t="s">
        <v>74</v>
      </c>
      <c r="AB68" s="35" t="s">
        <v>74</v>
      </c>
      <c r="AC68" s="35" t="s">
        <v>74</v>
      </c>
      <c r="AD68" s="35" t="s">
        <v>53</v>
      </c>
      <c r="AE68" s="35" t="s">
        <v>759</v>
      </c>
      <c r="AF68" s="35"/>
      <c r="AG68" s="90"/>
    </row>
    <row r="69" spans="1:33" ht="51" x14ac:dyDescent="0.25">
      <c r="A69" s="35" t="s">
        <v>142</v>
      </c>
      <c r="B69" s="35" t="s">
        <v>164</v>
      </c>
      <c r="C69" s="35" t="s">
        <v>779</v>
      </c>
      <c r="D69" s="35" t="s">
        <v>202</v>
      </c>
      <c r="E69" s="35" t="s">
        <v>780</v>
      </c>
      <c r="F69" s="35" t="s">
        <v>781</v>
      </c>
      <c r="G69" s="35"/>
      <c r="H69" s="35" t="s">
        <v>782</v>
      </c>
      <c r="I69" s="35">
        <v>5</v>
      </c>
      <c r="J69" s="35">
        <v>1</v>
      </c>
      <c r="K69" s="35" t="s">
        <v>64</v>
      </c>
      <c r="L69" s="35">
        <v>0.64</v>
      </c>
      <c r="M69" s="35" t="s">
        <v>45</v>
      </c>
      <c r="N69" s="35" t="s">
        <v>45</v>
      </c>
      <c r="O69" s="35" t="s">
        <v>755</v>
      </c>
      <c r="P69" s="35" t="s">
        <v>175</v>
      </c>
      <c r="Q69" s="35" t="s">
        <v>72</v>
      </c>
      <c r="R69" s="35" t="s">
        <v>66</v>
      </c>
      <c r="S69" s="35" t="s">
        <v>756</v>
      </c>
      <c r="T69" s="35" t="s">
        <v>757</v>
      </c>
      <c r="U69" s="35" t="s">
        <v>758</v>
      </c>
      <c r="V69" s="35" t="s">
        <v>45</v>
      </c>
      <c r="W69" s="35" t="s">
        <v>252</v>
      </c>
      <c r="X69" s="35" t="s">
        <v>53</v>
      </c>
      <c r="Y69" s="35" t="s">
        <v>53</v>
      </c>
      <c r="Z69" s="35" t="s">
        <v>46</v>
      </c>
      <c r="AA69" s="35" t="s">
        <v>74</v>
      </c>
      <c r="AB69" s="35" t="s">
        <v>74</v>
      </c>
      <c r="AC69" s="35" t="s">
        <v>74</v>
      </c>
      <c r="AD69" s="35" t="s">
        <v>53</v>
      </c>
      <c r="AE69" s="35" t="s">
        <v>759</v>
      </c>
      <c r="AF69" s="35"/>
      <c r="AG69" s="90"/>
    </row>
    <row r="70" spans="1:33" ht="45" x14ac:dyDescent="0.25">
      <c r="A70" s="35" t="s">
        <v>570</v>
      </c>
      <c r="B70" s="35" t="s">
        <v>784</v>
      </c>
      <c r="C70" s="35" t="s">
        <v>553</v>
      </c>
      <c r="D70" s="35" t="s">
        <v>229</v>
      </c>
      <c r="E70" s="35" t="s">
        <v>554</v>
      </c>
      <c r="F70" s="35" t="s">
        <v>1712</v>
      </c>
      <c r="G70" s="35"/>
      <c r="H70" s="36" t="s">
        <v>555</v>
      </c>
      <c r="I70" s="35">
        <v>1</v>
      </c>
      <c r="J70" s="35">
        <v>1</v>
      </c>
      <c r="K70" s="35" t="s">
        <v>64</v>
      </c>
      <c r="L70" s="35">
        <v>0.48</v>
      </c>
      <c r="M70" s="35" t="s">
        <v>53</v>
      </c>
      <c r="N70" s="35" t="s">
        <v>45</v>
      </c>
      <c r="O70" s="35" t="s">
        <v>548</v>
      </c>
      <c r="P70" s="35" t="s">
        <v>549</v>
      </c>
      <c r="Q70" s="35" t="s">
        <v>81</v>
      </c>
      <c r="R70" s="35" t="s">
        <v>79</v>
      </c>
      <c r="S70" s="35" t="s">
        <v>148</v>
      </c>
      <c r="T70" s="35" t="s">
        <v>550</v>
      </c>
      <c r="U70" s="35" t="s">
        <v>551</v>
      </c>
      <c r="V70" s="35" t="s">
        <v>53</v>
      </c>
      <c r="W70" s="35" t="s">
        <v>552</v>
      </c>
      <c r="X70" s="35" t="s">
        <v>53</v>
      </c>
      <c r="Y70" s="35" t="s">
        <v>53</v>
      </c>
      <c r="Z70" s="35" t="s">
        <v>60</v>
      </c>
      <c r="AA70" s="35" t="s">
        <v>47</v>
      </c>
      <c r="AB70" s="35" t="s">
        <v>69</v>
      </c>
      <c r="AC70" s="35" t="s">
        <v>49</v>
      </c>
      <c r="AD70" s="35" t="s">
        <v>222</v>
      </c>
      <c r="AE70" s="35" t="s">
        <v>222</v>
      </c>
      <c r="AF70" s="35"/>
      <c r="AG70" s="90"/>
    </row>
    <row r="71" spans="1:33" ht="30" x14ac:dyDescent="0.25">
      <c r="A71" s="35" t="s">
        <v>570</v>
      </c>
      <c r="B71" s="35" t="s">
        <v>784</v>
      </c>
      <c r="C71" s="35" t="s">
        <v>556</v>
      </c>
      <c r="D71" s="35" t="s">
        <v>33</v>
      </c>
      <c r="E71" s="35" t="s">
        <v>557</v>
      </c>
      <c r="F71" s="36" t="s">
        <v>1713</v>
      </c>
      <c r="G71" s="35"/>
      <c r="H71" s="36" t="s">
        <v>558</v>
      </c>
      <c r="I71" s="35">
        <v>2</v>
      </c>
      <c r="J71" s="35">
        <v>2</v>
      </c>
      <c r="K71" s="35" t="s">
        <v>64</v>
      </c>
      <c r="L71" s="35">
        <v>0.56000000000000005</v>
      </c>
      <c r="M71" s="35" t="s">
        <v>53</v>
      </c>
      <c r="N71" s="35" t="s">
        <v>45</v>
      </c>
      <c r="O71" s="35" t="s">
        <v>548</v>
      </c>
      <c r="P71" s="35" t="s">
        <v>549</v>
      </c>
      <c r="Q71" s="35" t="s">
        <v>81</v>
      </c>
      <c r="R71" s="35" t="s">
        <v>79</v>
      </c>
      <c r="S71" s="35" t="s">
        <v>148</v>
      </c>
      <c r="T71" s="35" t="s">
        <v>550</v>
      </c>
      <c r="U71" s="35" t="s">
        <v>551</v>
      </c>
      <c r="V71" s="35" t="s">
        <v>53</v>
      </c>
      <c r="W71" s="35" t="s">
        <v>552</v>
      </c>
      <c r="X71" s="35" t="s">
        <v>53</v>
      </c>
      <c r="Y71" s="35" t="s">
        <v>53</v>
      </c>
      <c r="Z71" s="35" t="s">
        <v>60</v>
      </c>
      <c r="AA71" s="35" t="s">
        <v>47</v>
      </c>
      <c r="AB71" s="35" t="s">
        <v>69</v>
      </c>
      <c r="AC71" s="35" t="s">
        <v>49</v>
      </c>
      <c r="AD71" s="35" t="s">
        <v>222</v>
      </c>
      <c r="AE71" s="35" t="s">
        <v>222</v>
      </c>
      <c r="AF71" s="35"/>
      <c r="AG71" s="90"/>
    </row>
    <row r="72" spans="1:33" ht="30" x14ac:dyDescent="0.25">
      <c r="A72" s="35" t="s">
        <v>570</v>
      </c>
      <c r="B72" s="35" t="s">
        <v>784</v>
      </c>
      <c r="C72" s="35" t="s">
        <v>559</v>
      </c>
      <c r="D72" s="35" t="s">
        <v>193</v>
      </c>
      <c r="E72" s="35" t="s">
        <v>560</v>
      </c>
      <c r="F72" s="36" t="s">
        <v>1714</v>
      </c>
      <c r="G72" s="35"/>
      <c r="H72" s="36" t="s">
        <v>561</v>
      </c>
      <c r="I72" s="35">
        <v>4</v>
      </c>
      <c r="J72" s="35">
        <v>3</v>
      </c>
      <c r="K72" s="35" t="s">
        <v>64</v>
      </c>
      <c r="L72" s="35">
        <v>0.68</v>
      </c>
      <c r="M72" s="35" t="s">
        <v>53</v>
      </c>
      <c r="N72" s="35" t="s">
        <v>45</v>
      </c>
      <c r="O72" s="35" t="s">
        <v>548</v>
      </c>
      <c r="P72" s="35" t="s">
        <v>549</v>
      </c>
      <c r="Q72" s="35" t="s">
        <v>81</v>
      </c>
      <c r="R72" s="35" t="s">
        <v>79</v>
      </c>
      <c r="S72" s="35" t="s">
        <v>148</v>
      </c>
      <c r="T72" s="35" t="s">
        <v>550</v>
      </c>
      <c r="U72" s="35" t="s">
        <v>551</v>
      </c>
      <c r="V72" s="35" t="s">
        <v>53</v>
      </c>
      <c r="W72" s="35" t="s">
        <v>552</v>
      </c>
      <c r="X72" s="35" t="s">
        <v>53</v>
      </c>
      <c r="Y72" s="35" t="s">
        <v>53</v>
      </c>
      <c r="Z72" s="35" t="s">
        <v>60</v>
      </c>
      <c r="AA72" s="35" t="s">
        <v>47</v>
      </c>
      <c r="AB72" s="35" t="s">
        <v>69</v>
      </c>
      <c r="AC72" s="35" t="s">
        <v>49</v>
      </c>
      <c r="AD72" s="35" t="s">
        <v>222</v>
      </c>
      <c r="AE72" s="35" t="s">
        <v>222</v>
      </c>
      <c r="AF72" s="35"/>
      <c r="AG72" s="90"/>
    </row>
    <row r="73" spans="1:33" ht="30" x14ac:dyDescent="0.25">
      <c r="A73" s="35" t="s">
        <v>570</v>
      </c>
      <c r="B73" s="35" t="s">
        <v>784</v>
      </c>
      <c r="C73" s="35" t="s">
        <v>562</v>
      </c>
      <c r="D73" s="35" t="s">
        <v>563</v>
      </c>
      <c r="E73" s="35" t="s">
        <v>564</v>
      </c>
      <c r="F73" s="36" t="s">
        <v>1716</v>
      </c>
      <c r="G73" s="35"/>
      <c r="H73" s="36" t="s">
        <v>565</v>
      </c>
      <c r="I73" s="35">
        <v>5</v>
      </c>
      <c r="J73" s="35">
        <v>5</v>
      </c>
      <c r="K73" s="35" t="s">
        <v>64</v>
      </c>
      <c r="L73" s="35">
        <v>0.8</v>
      </c>
      <c r="M73" s="35" t="s">
        <v>53</v>
      </c>
      <c r="N73" s="35" t="s">
        <v>45</v>
      </c>
      <c r="O73" s="35" t="s">
        <v>548</v>
      </c>
      <c r="P73" s="35" t="s">
        <v>549</v>
      </c>
      <c r="Q73" s="35" t="s">
        <v>81</v>
      </c>
      <c r="R73" s="35" t="s">
        <v>79</v>
      </c>
      <c r="S73" s="35" t="s">
        <v>148</v>
      </c>
      <c r="T73" s="35" t="s">
        <v>550</v>
      </c>
      <c r="U73" s="35" t="s">
        <v>551</v>
      </c>
      <c r="V73" s="35" t="s">
        <v>53</v>
      </c>
      <c r="W73" s="35" t="s">
        <v>552</v>
      </c>
      <c r="X73" s="35" t="s">
        <v>53</v>
      </c>
      <c r="Y73" s="35" t="s">
        <v>53</v>
      </c>
      <c r="Z73" s="35" t="s">
        <v>60</v>
      </c>
      <c r="AA73" s="35" t="s">
        <v>47</v>
      </c>
      <c r="AB73" s="35" t="s">
        <v>69</v>
      </c>
      <c r="AC73" s="35" t="s">
        <v>49</v>
      </c>
      <c r="AD73" s="35" t="s">
        <v>222</v>
      </c>
      <c r="AE73" s="35" t="s">
        <v>222</v>
      </c>
      <c r="AF73" s="35"/>
      <c r="AG73" s="90"/>
    </row>
    <row r="74" spans="1:33" ht="30" x14ac:dyDescent="0.25">
      <c r="A74" s="35" t="s">
        <v>570</v>
      </c>
      <c r="B74" s="35" t="s">
        <v>784</v>
      </c>
      <c r="C74" s="35" t="s">
        <v>566</v>
      </c>
      <c r="D74" s="35" t="s">
        <v>567</v>
      </c>
      <c r="E74" s="35" t="s">
        <v>568</v>
      </c>
      <c r="F74" s="36" t="s">
        <v>1717</v>
      </c>
      <c r="G74" s="35"/>
      <c r="H74" s="36" t="s">
        <v>569</v>
      </c>
      <c r="I74" s="35">
        <v>5</v>
      </c>
      <c r="J74" s="35">
        <v>5</v>
      </c>
      <c r="K74" s="35" t="s">
        <v>77</v>
      </c>
      <c r="L74" s="35">
        <v>0.6</v>
      </c>
      <c r="M74" s="35" t="s">
        <v>53</v>
      </c>
      <c r="N74" s="35" t="s">
        <v>45</v>
      </c>
      <c r="O74" s="35" t="s">
        <v>548</v>
      </c>
      <c r="P74" s="35" t="s">
        <v>549</v>
      </c>
      <c r="Q74" s="35" t="s">
        <v>81</v>
      </c>
      <c r="R74" s="35" t="s">
        <v>79</v>
      </c>
      <c r="S74" s="35" t="s">
        <v>148</v>
      </c>
      <c r="T74" s="35" t="s">
        <v>550</v>
      </c>
      <c r="U74" s="35" t="s">
        <v>551</v>
      </c>
      <c r="V74" s="35" t="s">
        <v>53</v>
      </c>
      <c r="W74" s="35" t="s">
        <v>552</v>
      </c>
      <c r="X74" s="35" t="s">
        <v>53</v>
      </c>
      <c r="Y74" s="35" t="s">
        <v>53</v>
      </c>
      <c r="Z74" s="35" t="s">
        <v>60</v>
      </c>
      <c r="AA74" s="35" t="s">
        <v>47</v>
      </c>
      <c r="AB74" s="35" t="s">
        <v>69</v>
      </c>
      <c r="AC74" s="35" t="s">
        <v>49</v>
      </c>
      <c r="AD74" s="35" t="s">
        <v>222</v>
      </c>
      <c r="AE74" s="35" t="s">
        <v>222</v>
      </c>
      <c r="AF74" s="35"/>
      <c r="AG74" s="90"/>
    </row>
    <row r="75" spans="1:33" ht="30" x14ac:dyDescent="0.25">
      <c r="A75" s="35" t="s">
        <v>570</v>
      </c>
      <c r="B75" s="35" t="s">
        <v>164</v>
      </c>
      <c r="C75" s="35" t="s">
        <v>571</v>
      </c>
      <c r="D75" s="35" t="s">
        <v>33</v>
      </c>
      <c r="E75" s="35" t="s">
        <v>785</v>
      </c>
      <c r="F75" s="36" t="s">
        <v>1715</v>
      </c>
      <c r="G75" s="35"/>
      <c r="H75" s="36" t="s">
        <v>572</v>
      </c>
      <c r="I75" s="35">
        <v>2</v>
      </c>
      <c r="J75" s="35">
        <v>2</v>
      </c>
      <c r="K75" s="35" t="s">
        <v>77</v>
      </c>
      <c r="L75" s="35">
        <v>0.36</v>
      </c>
      <c r="M75" s="35" t="s">
        <v>53</v>
      </c>
      <c r="N75" s="35" t="s">
        <v>45</v>
      </c>
      <c r="O75" s="35" t="s">
        <v>548</v>
      </c>
      <c r="P75" s="35" t="s">
        <v>549</v>
      </c>
      <c r="Q75" s="35" t="s">
        <v>81</v>
      </c>
      <c r="R75" s="35" t="s">
        <v>79</v>
      </c>
      <c r="S75" s="35" t="s">
        <v>148</v>
      </c>
      <c r="T75" s="35" t="s">
        <v>550</v>
      </c>
      <c r="U75" s="35" t="s">
        <v>551</v>
      </c>
      <c r="V75" s="35" t="s">
        <v>53</v>
      </c>
      <c r="W75" s="35" t="s">
        <v>552</v>
      </c>
      <c r="X75" s="35" t="s">
        <v>53</v>
      </c>
      <c r="Y75" s="35" t="s">
        <v>53</v>
      </c>
      <c r="Z75" s="35" t="s">
        <v>60</v>
      </c>
      <c r="AA75" s="35" t="s">
        <v>47</v>
      </c>
      <c r="AB75" s="35" t="s">
        <v>69</v>
      </c>
      <c r="AC75" s="35" t="s">
        <v>49</v>
      </c>
      <c r="AD75" s="35" t="s">
        <v>222</v>
      </c>
      <c r="AE75" s="35" t="s">
        <v>222</v>
      </c>
      <c r="AF75" s="35"/>
      <c r="AG75" s="90"/>
    </row>
    <row r="76" spans="1:33" ht="45" x14ac:dyDescent="0.25">
      <c r="A76" s="35" t="s">
        <v>570</v>
      </c>
      <c r="B76" s="35" t="s">
        <v>164</v>
      </c>
      <c r="C76" s="35" t="s">
        <v>573</v>
      </c>
      <c r="D76" s="35" t="s">
        <v>193</v>
      </c>
      <c r="E76" s="35" t="s">
        <v>574</v>
      </c>
      <c r="F76" s="36" t="s">
        <v>1719</v>
      </c>
      <c r="G76" s="35"/>
      <c r="H76" s="36" t="s">
        <v>575</v>
      </c>
      <c r="I76" s="35">
        <v>5</v>
      </c>
      <c r="J76" s="35">
        <v>5</v>
      </c>
      <c r="K76" s="35" t="s">
        <v>77</v>
      </c>
      <c r="L76" s="35">
        <v>0.6</v>
      </c>
      <c r="M76" s="35" t="s">
        <v>53</v>
      </c>
      <c r="N76" s="35" t="s">
        <v>45</v>
      </c>
      <c r="O76" s="35" t="s">
        <v>548</v>
      </c>
      <c r="P76" s="35" t="s">
        <v>549</v>
      </c>
      <c r="Q76" s="35" t="s">
        <v>81</v>
      </c>
      <c r="R76" s="35" t="s">
        <v>79</v>
      </c>
      <c r="S76" s="35" t="s">
        <v>148</v>
      </c>
      <c r="T76" s="35" t="s">
        <v>550</v>
      </c>
      <c r="U76" s="35" t="s">
        <v>551</v>
      </c>
      <c r="V76" s="35" t="s">
        <v>53</v>
      </c>
      <c r="W76" s="35" t="s">
        <v>552</v>
      </c>
      <c r="X76" s="35" t="s">
        <v>53</v>
      </c>
      <c r="Y76" s="35" t="s">
        <v>53</v>
      </c>
      <c r="Z76" s="35" t="s">
        <v>60</v>
      </c>
      <c r="AA76" s="35" t="s">
        <v>47</v>
      </c>
      <c r="AB76" s="35" t="s">
        <v>69</v>
      </c>
      <c r="AC76" s="35" t="s">
        <v>49</v>
      </c>
      <c r="AD76" s="35" t="s">
        <v>222</v>
      </c>
      <c r="AE76" s="35" t="s">
        <v>222</v>
      </c>
      <c r="AF76" s="35"/>
      <c r="AG76" s="90"/>
    </row>
    <row r="77" spans="1:33" ht="30" x14ac:dyDescent="0.25">
      <c r="A77" s="35" t="s">
        <v>570</v>
      </c>
      <c r="B77" s="35" t="s">
        <v>784</v>
      </c>
      <c r="C77" s="35" t="s">
        <v>580</v>
      </c>
      <c r="D77" s="35" t="s">
        <v>229</v>
      </c>
      <c r="E77" s="35" t="s">
        <v>27</v>
      </c>
      <c r="F77" s="36" t="s">
        <v>1720</v>
      </c>
      <c r="G77" s="35"/>
      <c r="H77" s="36" t="s">
        <v>581</v>
      </c>
      <c r="I77" s="35">
        <v>1</v>
      </c>
      <c r="J77" s="35">
        <v>1</v>
      </c>
      <c r="K77" s="35" t="s">
        <v>64</v>
      </c>
      <c r="L77" s="35">
        <v>0.48</v>
      </c>
      <c r="M77" s="35" t="s">
        <v>53</v>
      </c>
      <c r="N77" s="35" t="s">
        <v>45</v>
      </c>
      <c r="O77" s="35" t="s">
        <v>576</v>
      </c>
      <c r="P77" s="35" t="s">
        <v>549</v>
      </c>
      <c r="Q77" s="35" t="s">
        <v>81</v>
      </c>
      <c r="R77" s="35" t="s">
        <v>79</v>
      </c>
      <c r="S77" s="35" t="s">
        <v>148</v>
      </c>
      <c r="T77" s="35" t="s">
        <v>577</v>
      </c>
      <c r="U77" s="35" t="s">
        <v>578</v>
      </c>
      <c r="V77" s="35" t="s">
        <v>45</v>
      </c>
      <c r="W77" s="35" t="s">
        <v>579</v>
      </c>
      <c r="X77" s="35" t="s">
        <v>53</v>
      </c>
      <c r="Y77" s="35" t="s">
        <v>53</v>
      </c>
      <c r="Z77" s="35" t="s">
        <v>60</v>
      </c>
      <c r="AA77" s="35" t="s">
        <v>47</v>
      </c>
      <c r="AB77" s="35" t="s">
        <v>69</v>
      </c>
      <c r="AC77" s="35" t="s">
        <v>222</v>
      </c>
      <c r="AD77" s="35" t="s">
        <v>222</v>
      </c>
      <c r="AE77" s="35" t="s">
        <v>222</v>
      </c>
      <c r="AF77" s="35"/>
      <c r="AG77" s="90"/>
    </row>
    <row r="78" spans="1:33" ht="30" x14ac:dyDescent="0.25">
      <c r="A78" s="35" t="s">
        <v>570</v>
      </c>
      <c r="B78" s="35" t="s">
        <v>784</v>
      </c>
      <c r="C78" s="35" t="s">
        <v>582</v>
      </c>
      <c r="D78" s="35" t="s">
        <v>252</v>
      </c>
      <c r="E78" s="35" t="s">
        <v>583</v>
      </c>
      <c r="F78" s="36" t="s">
        <v>1721</v>
      </c>
      <c r="G78" s="35"/>
      <c r="H78" s="36" t="s">
        <v>584</v>
      </c>
      <c r="I78" s="35">
        <v>1</v>
      </c>
      <c r="J78" s="35">
        <v>1</v>
      </c>
      <c r="K78" s="35" t="s">
        <v>64</v>
      </c>
      <c r="L78" s="35">
        <v>0.48</v>
      </c>
      <c r="M78" s="35" t="s">
        <v>53</v>
      </c>
      <c r="N78" s="35" t="s">
        <v>45</v>
      </c>
      <c r="O78" s="35" t="s">
        <v>576</v>
      </c>
      <c r="P78" s="35" t="s">
        <v>549</v>
      </c>
      <c r="Q78" s="35" t="s">
        <v>81</v>
      </c>
      <c r="R78" s="35" t="s">
        <v>79</v>
      </c>
      <c r="S78" s="35" t="s">
        <v>148</v>
      </c>
      <c r="T78" s="35" t="s">
        <v>577</v>
      </c>
      <c r="U78" s="35" t="s">
        <v>578</v>
      </c>
      <c r="V78" s="35" t="s">
        <v>45</v>
      </c>
      <c r="W78" s="35" t="s">
        <v>579</v>
      </c>
      <c r="X78" s="35" t="s">
        <v>53</v>
      </c>
      <c r="Y78" s="35" t="s">
        <v>53</v>
      </c>
      <c r="Z78" s="35" t="s">
        <v>60</v>
      </c>
      <c r="AA78" s="35" t="s">
        <v>47</v>
      </c>
      <c r="AB78" s="35" t="s">
        <v>69</v>
      </c>
      <c r="AC78" s="35" t="s">
        <v>222</v>
      </c>
      <c r="AD78" s="35" t="s">
        <v>222</v>
      </c>
      <c r="AE78" s="35" t="s">
        <v>222</v>
      </c>
      <c r="AF78" s="35"/>
      <c r="AG78" s="90"/>
    </row>
    <row r="79" spans="1:33" ht="30" x14ac:dyDescent="0.25">
      <c r="A79" s="35" t="s">
        <v>570</v>
      </c>
      <c r="B79" s="35" t="s">
        <v>784</v>
      </c>
      <c r="C79" s="35" t="s">
        <v>585</v>
      </c>
      <c r="D79" s="35" t="s">
        <v>189</v>
      </c>
      <c r="E79" s="35" t="s">
        <v>586</v>
      </c>
      <c r="F79" s="36" t="s">
        <v>1727</v>
      </c>
      <c r="H79" s="36" t="s">
        <v>587</v>
      </c>
      <c r="I79" s="35">
        <v>1</v>
      </c>
      <c r="J79" s="35">
        <v>1</v>
      </c>
      <c r="K79" s="35" t="s">
        <v>64</v>
      </c>
      <c r="L79" s="35">
        <v>0.48</v>
      </c>
      <c r="M79" s="35" t="s">
        <v>53</v>
      </c>
      <c r="N79" s="35" t="s">
        <v>45</v>
      </c>
      <c r="O79" s="35" t="s">
        <v>576</v>
      </c>
      <c r="P79" s="35" t="s">
        <v>549</v>
      </c>
      <c r="Q79" s="35" t="s">
        <v>81</v>
      </c>
      <c r="R79" s="35" t="s">
        <v>79</v>
      </c>
      <c r="S79" s="35" t="s">
        <v>148</v>
      </c>
      <c r="T79" s="35" t="s">
        <v>577</v>
      </c>
      <c r="U79" s="35" t="s">
        <v>578</v>
      </c>
      <c r="V79" s="35" t="s">
        <v>45</v>
      </c>
      <c r="W79" s="35" t="s">
        <v>579</v>
      </c>
      <c r="X79" s="35" t="s">
        <v>53</v>
      </c>
      <c r="Y79" s="35" t="s">
        <v>53</v>
      </c>
      <c r="Z79" s="35" t="s">
        <v>60</v>
      </c>
      <c r="AA79" s="35" t="s">
        <v>47</v>
      </c>
      <c r="AB79" s="35" t="s">
        <v>69</v>
      </c>
      <c r="AC79" s="35" t="s">
        <v>222</v>
      </c>
      <c r="AD79" s="35" t="s">
        <v>222</v>
      </c>
      <c r="AE79" s="35" t="s">
        <v>222</v>
      </c>
      <c r="AF79" s="35"/>
      <c r="AG79" s="90"/>
    </row>
    <row r="80" spans="1:33" ht="30" x14ac:dyDescent="0.25">
      <c r="A80" s="35" t="s">
        <v>570</v>
      </c>
      <c r="B80" s="35" t="s">
        <v>784</v>
      </c>
      <c r="C80" s="35" t="s">
        <v>588</v>
      </c>
      <c r="D80" s="35" t="s">
        <v>193</v>
      </c>
      <c r="E80" s="35" t="s">
        <v>365</v>
      </c>
      <c r="F80" s="36" t="s">
        <v>1728</v>
      </c>
      <c r="G80" s="35"/>
      <c r="H80" s="36" t="s">
        <v>589</v>
      </c>
      <c r="I80" s="35">
        <v>2</v>
      </c>
      <c r="J80" s="35">
        <v>2</v>
      </c>
      <c r="K80" s="35" t="s">
        <v>64</v>
      </c>
      <c r="L80" s="35">
        <v>0.56000000000000005</v>
      </c>
      <c r="M80" s="35" t="s">
        <v>53</v>
      </c>
      <c r="N80" s="35" t="s">
        <v>45</v>
      </c>
      <c r="O80" s="35" t="s">
        <v>576</v>
      </c>
      <c r="P80" s="35" t="s">
        <v>549</v>
      </c>
      <c r="Q80" s="35" t="s">
        <v>81</v>
      </c>
      <c r="R80" s="35" t="s">
        <v>79</v>
      </c>
      <c r="S80" s="35" t="s">
        <v>148</v>
      </c>
      <c r="T80" s="35" t="s">
        <v>577</v>
      </c>
      <c r="U80" s="35" t="s">
        <v>578</v>
      </c>
      <c r="V80" s="35" t="s">
        <v>45</v>
      </c>
      <c r="W80" s="35" t="s">
        <v>579</v>
      </c>
      <c r="X80" s="35" t="s">
        <v>53</v>
      </c>
      <c r="Y80" s="35" t="s">
        <v>53</v>
      </c>
      <c r="Z80" s="35" t="s">
        <v>60</v>
      </c>
      <c r="AA80" s="35" t="s">
        <v>47</v>
      </c>
      <c r="AB80" s="35" t="s">
        <v>69</v>
      </c>
      <c r="AC80" s="35" t="s">
        <v>222</v>
      </c>
      <c r="AD80" s="35" t="s">
        <v>222</v>
      </c>
      <c r="AE80" s="35" t="s">
        <v>222</v>
      </c>
      <c r="AF80" s="35"/>
      <c r="AG80" s="90"/>
    </row>
    <row r="81" spans="1:33" ht="45" x14ac:dyDescent="0.25">
      <c r="A81" s="35" t="s">
        <v>570</v>
      </c>
      <c r="B81" s="35" t="s">
        <v>784</v>
      </c>
      <c r="C81" s="35" t="s">
        <v>590</v>
      </c>
      <c r="D81" s="35" t="s">
        <v>563</v>
      </c>
      <c r="E81" s="35" t="s">
        <v>591</v>
      </c>
      <c r="F81" s="36" t="s">
        <v>1729</v>
      </c>
      <c r="G81" s="35"/>
      <c r="H81" s="36" t="s">
        <v>592</v>
      </c>
      <c r="I81" s="35">
        <v>5</v>
      </c>
      <c r="J81" s="35">
        <v>5</v>
      </c>
      <c r="K81" s="35" t="s">
        <v>64</v>
      </c>
      <c r="L81" s="35">
        <v>0.8</v>
      </c>
      <c r="M81" s="35" t="s">
        <v>53</v>
      </c>
      <c r="N81" s="35" t="s">
        <v>45</v>
      </c>
      <c r="O81" s="35" t="s">
        <v>576</v>
      </c>
      <c r="P81" s="35" t="s">
        <v>549</v>
      </c>
      <c r="Q81" s="35" t="s">
        <v>81</v>
      </c>
      <c r="R81" s="35" t="s">
        <v>79</v>
      </c>
      <c r="S81" s="35" t="s">
        <v>148</v>
      </c>
      <c r="T81" s="35" t="s">
        <v>577</v>
      </c>
      <c r="U81" s="35" t="s">
        <v>578</v>
      </c>
      <c r="V81" s="35" t="s">
        <v>45</v>
      </c>
      <c r="W81" s="35" t="s">
        <v>579</v>
      </c>
      <c r="X81" s="35" t="s">
        <v>53</v>
      </c>
      <c r="Y81" s="35" t="s">
        <v>53</v>
      </c>
      <c r="Z81" s="35" t="s">
        <v>60</v>
      </c>
      <c r="AA81" s="35" t="s">
        <v>47</v>
      </c>
      <c r="AB81" s="35" t="s">
        <v>69</v>
      </c>
      <c r="AC81" s="35" t="s">
        <v>222</v>
      </c>
      <c r="AD81" s="35" t="s">
        <v>222</v>
      </c>
      <c r="AE81" s="35" t="s">
        <v>222</v>
      </c>
      <c r="AF81" s="35"/>
      <c r="AG81" s="90"/>
    </row>
    <row r="82" spans="1:33" ht="30" x14ac:dyDescent="0.25">
      <c r="A82" s="35" t="s">
        <v>570</v>
      </c>
      <c r="B82" s="35" t="s">
        <v>164</v>
      </c>
      <c r="C82" s="35" t="s">
        <v>593</v>
      </c>
      <c r="D82" s="35" t="s">
        <v>179</v>
      </c>
      <c r="E82" s="35" t="s">
        <v>594</v>
      </c>
      <c r="F82" s="36" t="s">
        <v>1730</v>
      </c>
      <c r="G82" s="35"/>
      <c r="H82" s="36" t="s">
        <v>595</v>
      </c>
      <c r="I82" s="35">
        <v>1</v>
      </c>
      <c r="J82" s="35">
        <v>1</v>
      </c>
      <c r="K82" s="35" t="s">
        <v>64</v>
      </c>
      <c r="L82" s="35">
        <v>0.48</v>
      </c>
      <c r="M82" s="35" t="s">
        <v>53</v>
      </c>
      <c r="N82" s="35" t="s">
        <v>45</v>
      </c>
      <c r="O82" s="35" t="s">
        <v>576</v>
      </c>
      <c r="P82" s="35" t="s">
        <v>549</v>
      </c>
      <c r="Q82" s="35" t="s">
        <v>81</v>
      </c>
      <c r="R82" s="35" t="s">
        <v>79</v>
      </c>
      <c r="S82" s="35" t="s">
        <v>148</v>
      </c>
      <c r="T82" s="35" t="s">
        <v>577</v>
      </c>
      <c r="U82" s="35" t="s">
        <v>578</v>
      </c>
      <c r="V82" s="35" t="s">
        <v>45</v>
      </c>
      <c r="W82" s="35" t="s">
        <v>579</v>
      </c>
      <c r="X82" s="35" t="s">
        <v>53</v>
      </c>
      <c r="Y82" s="35" t="s">
        <v>53</v>
      </c>
      <c r="Z82" s="35" t="s">
        <v>60</v>
      </c>
      <c r="AA82" s="35" t="s">
        <v>47</v>
      </c>
      <c r="AB82" s="35" t="s">
        <v>69</v>
      </c>
      <c r="AC82" s="35" t="s">
        <v>222</v>
      </c>
      <c r="AD82" s="35" t="s">
        <v>222</v>
      </c>
      <c r="AE82" s="35" t="s">
        <v>222</v>
      </c>
      <c r="AF82" s="35"/>
      <c r="AG82" s="90"/>
    </row>
    <row r="83" spans="1:33" ht="45" x14ac:dyDescent="0.25">
      <c r="A83" s="35" t="s">
        <v>570</v>
      </c>
      <c r="B83" s="35" t="s">
        <v>784</v>
      </c>
      <c r="C83" s="35" t="s">
        <v>601</v>
      </c>
      <c r="D83" s="35" t="s">
        <v>252</v>
      </c>
      <c r="E83" s="35" t="s">
        <v>786</v>
      </c>
      <c r="F83" s="36" t="s">
        <v>1731</v>
      </c>
      <c r="G83" s="114" t="s">
        <v>1732</v>
      </c>
      <c r="H83" s="36" t="s">
        <v>602</v>
      </c>
      <c r="I83" s="35">
        <v>1</v>
      </c>
      <c r="J83" s="35">
        <v>1</v>
      </c>
      <c r="K83" s="35" t="s">
        <v>64</v>
      </c>
      <c r="L83" s="35">
        <v>0.48</v>
      </c>
      <c r="M83" s="35" t="s">
        <v>45</v>
      </c>
      <c r="N83" s="35" t="s">
        <v>45</v>
      </c>
      <c r="O83" s="35" t="s">
        <v>596</v>
      </c>
      <c r="P83" s="35" t="s">
        <v>597</v>
      </c>
      <c r="Q83" s="35" t="s">
        <v>81</v>
      </c>
      <c r="R83" s="35" t="s">
        <v>79</v>
      </c>
      <c r="S83" s="35" t="s">
        <v>598</v>
      </c>
      <c r="T83" s="36" t="s">
        <v>599</v>
      </c>
      <c r="U83" s="35" t="s">
        <v>600</v>
      </c>
      <c r="V83" s="35" t="s">
        <v>45</v>
      </c>
      <c r="W83" s="35" t="s">
        <v>98</v>
      </c>
      <c r="X83" s="35" t="s">
        <v>53</v>
      </c>
      <c r="Y83" s="35" t="s">
        <v>53</v>
      </c>
      <c r="Z83" s="35" t="s">
        <v>46</v>
      </c>
      <c r="AA83" s="35" t="s">
        <v>222</v>
      </c>
      <c r="AB83" s="35" t="s">
        <v>48</v>
      </c>
      <c r="AC83" s="35" t="s">
        <v>222</v>
      </c>
      <c r="AD83" s="35" t="s">
        <v>222</v>
      </c>
      <c r="AE83" s="35" t="s">
        <v>222</v>
      </c>
      <c r="AF83" s="35"/>
      <c r="AG83" s="90"/>
    </row>
    <row r="84" spans="1:33" ht="30" x14ac:dyDescent="0.25">
      <c r="A84" s="35" t="s">
        <v>570</v>
      </c>
      <c r="B84" s="35" t="s">
        <v>784</v>
      </c>
      <c r="C84" s="35" t="s">
        <v>603</v>
      </c>
      <c r="D84" s="35" t="s">
        <v>193</v>
      </c>
      <c r="E84" s="35" t="s">
        <v>787</v>
      </c>
      <c r="F84" s="36" t="s">
        <v>1733</v>
      </c>
      <c r="G84" s="35"/>
      <c r="H84" s="36" t="s">
        <v>604</v>
      </c>
      <c r="I84" s="35">
        <v>5</v>
      </c>
      <c r="J84" s="35">
        <v>5</v>
      </c>
      <c r="K84" s="35" t="s">
        <v>64</v>
      </c>
      <c r="L84" s="35">
        <v>0.8</v>
      </c>
      <c r="M84" s="35" t="s">
        <v>45</v>
      </c>
      <c r="N84" s="35" t="s">
        <v>45</v>
      </c>
      <c r="O84" s="35" t="s">
        <v>596</v>
      </c>
      <c r="P84" s="35" t="s">
        <v>597</v>
      </c>
      <c r="Q84" s="35" t="s">
        <v>81</v>
      </c>
      <c r="R84" s="35" t="s">
        <v>79</v>
      </c>
      <c r="S84" s="35" t="s">
        <v>598</v>
      </c>
      <c r="T84" s="35" t="s">
        <v>599</v>
      </c>
      <c r="U84" s="35" t="s">
        <v>600</v>
      </c>
      <c r="V84" s="35" t="s">
        <v>45</v>
      </c>
      <c r="W84" s="35" t="s">
        <v>98</v>
      </c>
      <c r="X84" s="35" t="s">
        <v>53</v>
      </c>
      <c r="Y84" s="35" t="s">
        <v>53</v>
      </c>
      <c r="Z84" s="35" t="s">
        <v>46</v>
      </c>
      <c r="AA84" s="35" t="s">
        <v>222</v>
      </c>
      <c r="AB84" s="35" t="s">
        <v>48</v>
      </c>
      <c r="AC84" s="35" t="s">
        <v>222</v>
      </c>
      <c r="AD84" s="35" t="s">
        <v>222</v>
      </c>
      <c r="AE84" s="35" t="s">
        <v>222</v>
      </c>
      <c r="AF84" s="35"/>
      <c r="AG84" s="90"/>
    </row>
    <row r="85" spans="1:33" ht="30" x14ac:dyDescent="0.25">
      <c r="A85" s="35" t="s">
        <v>570</v>
      </c>
      <c r="B85" s="35" t="s">
        <v>784</v>
      </c>
      <c r="C85" s="35" t="s">
        <v>605</v>
      </c>
      <c r="D85" s="35" t="s">
        <v>563</v>
      </c>
      <c r="E85" s="35" t="s">
        <v>788</v>
      </c>
      <c r="F85" s="36" t="s">
        <v>1718</v>
      </c>
      <c r="G85" s="35">
        <v>47999193322</v>
      </c>
      <c r="H85" s="36" t="s">
        <v>606</v>
      </c>
      <c r="I85" s="35">
        <v>5</v>
      </c>
      <c r="J85" s="35">
        <v>5</v>
      </c>
      <c r="K85" s="35" t="s">
        <v>77</v>
      </c>
      <c r="L85" s="35">
        <v>0.6</v>
      </c>
      <c r="M85" s="35" t="s">
        <v>45</v>
      </c>
      <c r="N85" s="35" t="s">
        <v>45</v>
      </c>
      <c r="O85" s="35" t="s">
        <v>596</v>
      </c>
      <c r="P85" s="35" t="s">
        <v>597</v>
      </c>
      <c r="Q85" s="35" t="s">
        <v>81</v>
      </c>
      <c r="R85" s="35" t="s">
        <v>79</v>
      </c>
      <c r="S85" s="35" t="s">
        <v>598</v>
      </c>
      <c r="T85" s="35" t="s">
        <v>599</v>
      </c>
      <c r="U85" s="35" t="s">
        <v>600</v>
      </c>
      <c r="V85" s="35" t="s">
        <v>45</v>
      </c>
      <c r="W85" s="35" t="s">
        <v>98</v>
      </c>
      <c r="X85" s="35" t="s">
        <v>53</v>
      </c>
      <c r="Y85" s="35" t="s">
        <v>53</v>
      </c>
      <c r="Z85" s="35" t="s">
        <v>46</v>
      </c>
      <c r="AA85" s="35" t="s">
        <v>222</v>
      </c>
      <c r="AB85" s="35" t="s">
        <v>48</v>
      </c>
      <c r="AC85" s="35" t="s">
        <v>222</v>
      </c>
      <c r="AD85" s="35" t="s">
        <v>222</v>
      </c>
      <c r="AE85" s="35" t="s">
        <v>222</v>
      </c>
      <c r="AF85" s="35"/>
      <c r="AG85" s="90"/>
    </row>
    <row r="86" spans="1:33" ht="30" x14ac:dyDescent="0.25">
      <c r="A86" s="35" t="s">
        <v>570</v>
      </c>
      <c r="B86" s="35" t="s">
        <v>164</v>
      </c>
      <c r="C86" s="35" t="s">
        <v>607</v>
      </c>
      <c r="D86" s="35" t="s">
        <v>193</v>
      </c>
      <c r="E86" s="35" t="s">
        <v>609</v>
      </c>
      <c r="F86" s="36" t="s">
        <v>1734</v>
      </c>
      <c r="G86" s="35"/>
      <c r="H86" s="36" t="s">
        <v>608</v>
      </c>
      <c r="I86" s="35">
        <v>5</v>
      </c>
      <c r="J86" s="35">
        <v>5</v>
      </c>
      <c r="K86" s="35" t="s">
        <v>77</v>
      </c>
      <c r="L86" s="35">
        <v>0.6</v>
      </c>
      <c r="M86" s="35" t="s">
        <v>45</v>
      </c>
      <c r="N86" s="35" t="s">
        <v>45</v>
      </c>
      <c r="O86" s="35" t="s">
        <v>596</v>
      </c>
      <c r="P86" s="35" t="s">
        <v>597</v>
      </c>
      <c r="Q86" s="35" t="s">
        <v>81</v>
      </c>
      <c r="R86" s="35" t="s">
        <v>79</v>
      </c>
      <c r="S86" s="35" t="s">
        <v>598</v>
      </c>
      <c r="T86" s="35" t="s">
        <v>599</v>
      </c>
      <c r="U86" s="35" t="s">
        <v>600</v>
      </c>
      <c r="V86" s="35" t="s">
        <v>45</v>
      </c>
      <c r="W86" s="35" t="s">
        <v>98</v>
      </c>
      <c r="X86" s="35" t="s">
        <v>53</v>
      </c>
      <c r="Y86" s="35" t="s">
        <v>53</v>
      </c>
      <c r="Z86" s="13" t="s">
        <v>46</v>
      </c>
      <c r="AA86" s="35" t="s">
        <v>222</v>
      </c>
      <c r="AB86" s="35" t="s">
        <v>48</v>
      </c>
      <c r="AC86" s="35" t="s">
        <v>222</v>
      </c>
      <c r="AD86" s="35" t="s">
        <v>222</v>
      </c>
      <c r="AE86" s="35" t="s">
        <v>222</v>
      </c>
      <c r="AF86" s="35"/>
      <c r="AG86" s="93"/>
    </row>
    <row r="87" spans="1:33" ht="25.5" x14ac:dyDescent="0.25">
      <c r="A87" s="35" t="s">
        <v>570</v>
      </c>
      <c r="B87" s="35" t="s">
        <v>784</v>
      </c>
      <c r="C87" s="35" t="s">
        <v>617</v>
      </c>
      <c r="D87" s="35" t="s">
        <v>229</v>
      </c>
      <c r="E87" s="35" t="s">
        <v>554</v>
      </c>
      <c r="F87" s="35" t="s">
        <v>1722</v>
      </c>
      <c r="G87" s="35" t="s">
        <v>1722</v>
      </c>
      <c r="H87" s="35"/>
      <c r="I87" s="35">
        <v>1</v>
      </c>
      <c r="J87" s="35">
        <v>1</v>
      </c>
      <c r="K87" s="35" t="s">
        <v>64</v>
      </c>
      <c r="L87" s="35">
        <v>0.48</v>
      </c>
      <c r="M87" s="35" t="s">
        <v>45</v>
      </c>
      <c r="N87" s="35" t="s">
        <v>45</v>
      </c>
      <c r="O87" s="35" t="s">
        <v>610</v>
      </c>
      <c r="P87" s="35" t="s">
        <v>611</v>
      </c>
      <c r="Q87" s="35" t="s">
        <v>81</v>
      </c>
      <c r="R87" s="35" t="s">
        <v>79</v>
      </c>
      <c r="S87" s="35" t="s">
        <v>612</v>
      </c>
      <c r="T87" s="35" t="s">
        <v>613</v>
      </c>
      <c r="U87" s="35" t="s">
        <v>614</v>
      </c>
      <c r="V87" s="35" t="s">
        <v>45</v>
      </c>
      <c r="W87" s="35" t="s">
        <v>615</v>
      </c>
      <c r="X87" s="35" t="s">
        <v>53</v>
      </c>
      <c r="Y87" s="35" t="s">
        <v>53</v>
      </c>
      <c r="Z87" s="13" t="s">
        <v>60</v>
      </c>
      <c r="AA87" s="35" t="s">
        <v>47</v>
      </c>
      <c r="AB87" s="35" t="s">
        <v>48</v>
      </c>
      <c r="AC87" s="35" t="s">
        <v>74</v>
      </c>
      <c r="AD87" s="35" t="s">
        <v>53</v>
      </c>
      <c r="AE87" s="35" t="s">
        <v>616</v>
      </c>
      <c r="AF87" s="35"/>
      <c r="AG87" s="93"/>
    </row>
    <row r="88" spans="1:33" ht="45" x14ac:dyDescent="0.25">
      <c r="A88" s="35" t="s">
        <v>570</v>
      </c>
      <c r="B88" s="35" t="s">
        <v>784</v>
      </c>
      <c r="C88" s="35" t="s">
        <v>618</v>
      </c>
      <c r="D88" s="35" t="s">
        <v>252</v>
      </c>
      <c r="E88" s="35" t="s">
        <v>619</v>
      </c>
      <c r="F88" s="35" t="s">
        <v>1735</v>
      </c>
      <c r="G88" s="160" t="s">
        <v>1736</v>
      </c>
      <c r="H88" s="36" t="s">
        <v>620</v>
      </c>
      <c r="I88" s="35">
        <v>3</v>
      </c>
      <c r="J88" s="35">
        <v>3</v>
      </c>
      <c r="K88" s="35" t="s">
        <v>64</v>
      </c>
      <c r="L88" s="35">
        <v>0.64</v>
      </c>
      <c r="M88" s="35" t="s">
        <v>45</v>
      </c>
      <c r="N88" s="35" t="s">
        <v>45</v>
      </c>
      <c r="O88" s="35" t="s">
        <v>610</v>
      </c>
      <c r="P88" s="35" t="s">
        <v>611</v>
      </c>
      <c r="Q88" s="35" t="s">
        <v>81</v>
      </c>
      <c r="R88" s="35" t="s">
        <v>79</v>
      </c>
      <c r="S88" s="35" t="s">
        <v>612</v>
      </c>
      <c r="T88" s="35" t="s">
        <v>613</v>
      </c>
      <c r="U88" s="35" t="s">
        <v>614</v>
      </c>
      <c r="V88" s="35" t="s">
        <v>45</v>
      </c>
      <c r="W88" s="35" t="s">
        <v>615</v>
      </c>
      <c r="X88" s="35" t="s">
        <v>53</v>
      </c>
      <c r="Y88" s="35" t="s">
        <v>53</v>
      </c>
      <c r="Z88" s="13" t="s">
        <v>60</v>
      </c>
      <c r="AA88" s="35" t="s">
        <v>47</v>
      </c>
      <c r="AB88" s="35" t="s">
        <v>48</v>
      </c>
      <c r="AC88" s="35" t="s">
        <v>74</v>
      </c>
      <c r="AD88" s="35" t="s">
        <v>53</v>
      </c>
      <c r="AE88" s="35" t="s">
        <v>616</v>
      </c>
      <c r="AF88" s="35"/>
      <c r="AG88" s="93"/>
    </row>
    <row r="89" spans="1:33" ht="30" x14ac:dyDescent="0.25">
      <c r="A89" s="35" t="s">
        <v>570</v>
      </c>
      <c r="B89" s="35" t="s">
        <v>784</v>
      </c>
      <c r="C89" s="35" t="s">
        <v>621</v>
      </c>
      <c r="D89" s="35" t="s">
        <v>179</v>
      </c>
      <c r="E89" s="35" t="s">
        <v>622</v>
      </c>
      <c r="F89" s="36" t="s">
        <v>1737</v>
      </c>
      <c r="G89" s="35" t="s">
        <v>1736</v>
      </c>
      <c r="H89" s="36" t="s">
        <v>623</v>
      </c>
      <c r="I89" s="35">
        <v>3</v>
      </c>
      <c r="J89" s="35">
        <v>3</v>
      </c>
      <c r="K89" s="35" t="s">
        <v>64</v>
      </c>
      <c r="L89" s="35">
        <v>0.64</v>
      </c>
      <c r="M89" s="35" t="s">
        <v>45</v>
      </c>
      <c r="N89" s="35" t="s">
        <v>45</v>
      </c>
      <c r="O89" s="35" t="s">
        <v>610</v>
      </c>
      <c r="P89" s="35" t="s">
        <v>611</v>
      </c>
      <c r="Q89" s="35" t="s">
        <v>81</v>
      </c>
      <c r="R89" s="35" t="s">
        <v>79</v>
      </c>
      <c r="S89" s="35" t="s">
        <v>612</v>
      </c>
      <c r="T89" s="35" t="s">
        <v>613</v>
      </c>
      <c r="U89" s="35" t="s">
        <v>614</v>
      </c>
      <c r="V89" s="35" t="s">
        <v>45</v>
      </c>
      <c r="W89" s="35" t="s">
        <v>615</v>
      </c>
      <c r="X89" s="35" t="s">
        <v>53</v>
      </c>
      <c r="Y89" s="35" t="s">
        <v>53</v>
      </c>
      <c r="Z89" s="13" t="s">
        <v>60</v>
      </c>
      <c r="AA89" s="35" t="s">
        <v>47</v>
      </c>
      <c r="AB89" s="35" t="s">
        <v>48</v>
      </c>
      <c r="AC89" s="35" t="s">
        <v>74</v>
      </c>
      <c r="AD89" s="35" t="s">
        <v>53</v>
      </c>
      <c r="AE89" s="35" t="s">
        <v>616</v>
      </c>
      <c r="AF89" s="35"/>
      <c r="AG89" s="93"/>
    </row>
    <row r="90" spans="1:33" ht="45" x14ac:dyDescent="0.25">
      <c r="A90" s="35" t="s">
        <v>570</v>
      </c>
      <c r="B90" s="35" t="s">
        <v>784</v>
      </c>
      <c r="C90" s="35" t="s">
        <v>624</v>
      </c>
      <c r="D90" s="35" t="s">
        <v>33</v>
      </c>
      <c r="E90" s="35" t="s">
        <v>625</v>
      </c>
      <c r="F90" s="36" t="s">
        <v>1738</v>
      </c>
      <c r="G90" s="160" t="s">
        <v>1736</v>
      </c>
      <c r="H90" s="36" t="s">
        <v>626</v>
      </c>
      <c r="I90" s="35">
        <v>3</v>
      </c>
      <c r="J90" s="35">
        <v>3</v>
      </c>
      <c r="K90" s="35" t="s">
        <v>64</v>
      </c>
      <c r="L90" s="35">
        <v>0.64</v>
      </c>
      <c r="M90" s="35" t="s">
        <v>45</v>
      </c>
      <c r="N90" s="35" t="s">
        <v>45</v>
      </c>
      <c r="O90" s="35" t="s">
        <v>610</v>
      </c>
      <c r="P90" s="35" t="s">
        <v>611</v>
      </c>
      <c r="Q90" s="35" t="s">
        <v>81</v>
      </c>
      <c r="R90" s="35" t="s">
        <v>79</v>
      </c>
      <c r="S90" s="35" t="s">
        <v>612</v>
      </c>
      <c r="T90" s="35" t="s">
        <v>613</v>
      </c>
      <c r="U90" s="35" t="s">
        <v>614</v>
      </c>
      <c r="V90" s="35" t="s">
        <v>45</v>
      </c>
      <c r="W90" s="35" t="s">
        <v>615</v>
      </c>
      <c r="X90" s="35" t="s">
        <v>53</v>
      </c>
      <c r="Y90" s="35" t="s">
        <v>53</v>
      </c>
      <c r="Z90" s="13" t="s">
        <v>60</v>
      </c>
      <c r="AA90" s="35" t="s">
        <v>47</v>
      </c>
      <c r="AB90" s="35" t="s">
        <v>48</v>
      </c>
      <c r="AC90" s="35" t="s">
        <v>74</v>
      </c>
      <c r="AD90" s="35" t="s">
        <v>53</v>
      </c>
      <c r="AE90" s="35" t="s">
        <v>616</v>
      </c>
      <c r="AF90" s="35"/>
      <c r="AG90" s="93"/>
    </row>
    <row r="91" spans="1:33" ht="25.5" x14ac:dyDescent="0.25">
      <c r="A91" s="35" t="s">
        <v>570</v>
      </c>
      <c r="B91" s="35" t="s">
        <v>784</v>
      </c>
      <c r="C91" s="35" t="s">
        <v>627</v>
      </c>
      <c r="D91" s="35" t="s">
        <v>193</v>
      </c>
      <c r="E91" s="35" t="s">
        <v>628</v>
      </c>
      <c r="F91" s="35" t="s">
        <v>629</v>
      </c>
      <c r="G91" s="35"/>
      <c r="H91" s="35" t="s">
        <v>630</v>
      </c>
      <c r="I91" s="35">
        <v>3</v>
      </c>
      <c r="J91" s="35">
        <v>3</v>
      </c>
      <c r="K91" s="35" t="s">
        <v>64</v>
      </c>
      <c r="L91" s="35">
        <v>0.64</v>
      </c>
      <c r="M91" s="35" t="s">
        <v>45</v>
      </c>
      <c r="N91" s="35" t="s">
        <v>45</v>
      </c>
      <c r="O91" s="35" t="s">
        <v>610</v>
      </c>
      <c r="P91" s="35" t="s">
        <v>611</v>
      </c>
      <c r="Q91" s="35" t="s">
        <v>81</v>
      </c>
      <c r="R91" s="35" t="s">
        <v>79</v>
      </c>
      <c r="S91" s="35" t="s">
        <v>612</v>
      </c>
      <c r="T91" s="35" t="s">
        <v>613</v>
      </c>
      <c r="U91" s="35" t="s">
        <v>614</v>
      </c>
      <c r="V91" s="35" t="s">
        <v>45</v>
      </c>
      <c r="W91" s="35" t="s">
        <v>615</v>
      </c>
      <c r="X91" s="35" t="s">
        <v>53</v>
      </c>
      <c r="Y91" s="35" t="s">
        <v>53</v>
      </c>
      <c r="Z91" s="13" t="s">
        <v>60</v>
      </c>
      <c r="AA91" s="35" t="s">
        <v>47</v>
      </c>
      <c r="AB91" s="35" t="s">
        <v>48</v>
      </c>
      <c r="AC91" s="35" t="s">
        <v>74</v>
      </c>
      <c r="AD91" s="35" t="s">
        <v>53</v>
      </c>
      <c r="AE91" s="35" t="s">
        <v>616</v>
      </c>
      <c r="AF91" s="35"/>
      <c r="AG91" s="93"/>
    </row>
    <row r="92" spans="1:33" ht="25.5" x14ac:dyDescent="0.25">
      <c r="A92" s="35" t="s">
        <v>570</v>
      </c>
      <c r="B92" s="35" t="s">
        <v>784</v>
      </c>
      <c r="C92" s="35" t="s">
        <v>631</v>
      </c>
      <c r="D92" s="35" t="s">
        <v>563</v>
      </c>
      <c r="E92" s="35" t="s">
        <v>678</v>
      </c>
      <c r="F92" s="35" t="s">
        <v>632</v>
      </c>
      <c r="G92" s="35"/>
      <c r="H92" s="35" t="s">
        <v>633</v>
      </c>
      <c r="I92" s="35">
        <v>3</v>
      </c>
      <c r="J92" s="35">
        <v>3</v>
      </c>
      <c r="K92" s="35" t="s">
        <v>77</v>
      </c>
      <c r="L92" s="35">
        <v>0.44</v>
      </c>
      <c r="M92" s="35" t="s">
        <v>45</v>
      </c>
      <c r="N92" s="35" t="s">
        <v>45</v>
      </c>
      <c r="O92" s="35" t="s">
        <v>610</v>
      </c>
      <c r="P92" s="35" t="s">
        <v>611</v>
      </c>
      <c r="Q92" s="35" t="s">
        <v>81</v>
      </c>
      <c r="R92" s="35" t="s">
        <v>79</v>
      </c>
      <c r="S92" s="35" t="s">
        <v>612</v>
      </c>
      <c r="T92" s="35" t="s">
        <v>613</v>
      </c>
      <c r="U92" s="35" t="s">
        <v>614</v>
      </c>
      <c r="V92" s="35" t="s">
        <v>45</v>
      </c>
      <c r="W92" s="35" t="s">
        <v>615</v>
      </c>
      <c r="X92" s="35" t="s">
        <v>53</v>
      </c>
      <c r="Y92" s="35" t="s">
        <v>53</v>
      </c>
      <c r="Z92" s="13" t="s">
        <v>60</v>
      </c>
      <c r="AA92" s="35" t="s">
        <v>47</v>
      </c>
      <c r="AB92" s="35" t="s">
        <v>48</v>
      </c>
      <c r="AC92" s="35" t="s">
        <v>74</v>
      </c>
      <c r="AD92" s="35" t="s">
        <v>53</v>
      </c>
      <c r="AE92" s="35" t="s">
        <v>616</v>
      </c>
      <c r="AF92" s="35"/>
      <c r="AG92" s="93"/>
    </row>
    <row r="93" spans="1:33" ht="30" x14ac:dyDescent="0.25">
      <c r="A93" s="35" t="s">
        <v>570</v>
      </c>
      <c r="B93" s="35" t="s">
        <v>784</v>
      </c>
      <c r="C93" s="35" t="s">
        <v>634</v>
      </c>
      <c r="D93" s="35" t="s">
        <v>567</v>
      </c>
      <c r="E93" s="35" t="s">
        <v>635</v>
      </c>
      <c r="F93" s="35" t="s">
        <v>1739</v>
      </c>
      <c r="G93" s="160" t="s">
        <v>1736</v>
      </c>
      <c r="H93" s="36" t="s">
        <v>636</v>
      </c>
      <c r="I93" s="35">
        <v>3</v>
      </c>
      <c r="J93" s="35">
        <v>3</v>
      </c>
      <c r="K93" s="35" t="s">
        <v>77</v>
      </c>
      <c r="L93" s="35">
        <v>0.44</v>
      </c>
      <c r="M93" s="35" t="s">
        <v>45</v>
      </c>
      <c r="N93" s="35" t="s">
        <v>45</v>
      </c>
      <c r="O93" s="35" t="s">
        <v>610</v>
      </c>
      <c r="P93" s="35" t="s">
        <v>611</v>
      </c>
      <c r="Q93" s="35" t="s">
        <v>81</v>
      </c>
      <c r="R93" s="35" t="s">
        <v>79</v>
      </c>
      <c r="S93" s="35" t="s">
        <v>612</v>
      </c>
      <c r="T93" s="35" t="s">
        <v>613</v>
      </c>
      <c r="U93" s="35" t="s">
        <v>614</v>
      </c>
      <c r="V93" s="35" t="s">
        <v>45</v>
      </c>
      <c r="W93" s="35" t="s">
        <v>615</v>
      </c>
      <c r="X93" s="35" t="s">
        <v>53</v>
      </c>
      <c r="Y93" s="35" t="s">
        <v>53</v>
      </c>
      <c r="Z93" s="35" t="s">
        <v>60</v>
      </c>
      <c r="AA93" s="35" t="s">
        <v>47</v>
      </c>
      <c r="AB93" s="35" t="s">
        <v>48</v>
      </c>
      <c r="AC93" s="35" t="s">
        <v>74</v>
      </c>
      <c r="AD93" s="35" t="s">
        <v>53</v>
      </c>
      <c r="AE93" s="35" t="s">
        <v>616</v>
      </c>
      <c r="AF93" s="35"/>
      <c r="AG93" s="90"/>
    </row>
    <row r="94" spans="1:33" ht="30" x14ac:dyDescent="0.25">
      <c r="A94" s="35" t="s">
        <v>570</v>
      </c>
      <c r="B94" s="35" t="s">
        <v>784</v>
      </c>
      <c r="C94" s="35" t="s">
        <v>637</v>
      </c>
      <c r="D94" s="35" t="s">
        <v>332</v>
      </c>
      <c r="E94" s="35" t="s">
        <v>638</v>
      </c>
      <c r="F94" s="36" t="s">
        <v>1740</v>
      </c>
      <c r="G94" s="160" t="s">
        <v>1736</v>
      </c>
      <c r="H94" s="36" t="s">
        <v>639</v>
      </c>
      <c r="I94" s="35">
        <v>3</v>
      </c>
      <c r="J94" s="35">
        <v>3</v>
      </c>
      <c r="K94" s="35" t="s">
        <v>64</v>
      </c>
      <c r="L94" s="35">
        <v>0.64</v>
      </c>
      <c r="M94" s="35" t="s">
        <v>45</v>
      </c>
      <c r="N94" s="35" t="s">
        <v>45</v>
      </c>
      <c r="O94" s="35" t="s">
        <v>610</v>
      </c>
      <c r="P94" s="35" t="s">
        <v>611</v>
      </c>
      <c r="Q94" s="35" t="s">
        <v>81</v>
      </c>
      <c r="R94" s="35" t="s">
        <v>79</v>
      </c>
      <c r="S94" s="35" t="s">
        <v>612</v>
      </c>
      <c r="T94" s="35" t="s">
        <v>613</v>
      </c>
      <c r="U94" s="35" t="s">
        <v>614</v>
      </c>
      <c r="V94" s="35" t="s">
        <v>45</v>
      </c>
      <c r="W94" s="35" t="s">
        <v>615</v>
      </c>
      <c r="X94" s="35" t="s">
        <v>53</v>
      </c>
      <c r="Y94" s="35" t="s">
        <v>53</v>
      </c>
      <c r="Z94" s="35" t="s">
        <v>60</v>
      </c>
      <c r="AA94" s="35" t="s">
        <v>47</v>
      </c>
      <c r="AB94" s="35" t="s">
        <v>48</v>
      </c>
      <c r="AC94" s="35" t="s">
        <v>74</v>
      </c>
      <c r="AD94" s="35" t="s">
        <v>53</v>
      </c>
      <c r="AE94" s="35" t="s">
        <v>616</v>
      </c>
      <c r="AF94" s="35"/>
      <c r="AG94" s="90"/>
    </row>
    <row r="95" spans="1:33" ht="25.5" x14ac:dyDescent="0.25">
      <c r="A95" s="35" t="s">
        <v>570</v>
      </c>
      <c r="B95" s="35" t="s">
        <v>164</v>
      </c>
      <c r="C95" s="35" t="s">
        <v>640</v>
      </c>
      <c r="D95" s="35" t="s">
        <v>252</v>
      </c>
      <c r="E95" s="35" t="s">
        <v>641</v>
      </c>
      <c r="F95" s="35" t="s">
        <v>642</v>
      </c>
      <c r="G95" s="35" t="s">
        <v>643</v>
      </c>
      <c r="H95" s="35" t="s">
        <v>644</v>
      </c>
      <c r="I95" s="35">
        <v>5</v>
      </c>
      <c r="J95" s="35">
        <v>5</v>
      </c>
      <c r="K95" s="35" t="s">
        <v>77</v>
      </c>
      <c r="L95" s="35">
        <v>0.6</v>
      </c>
      <c r="M95" s="35" t="s">
        <v>45</v>
      </c>
      <c r="N95" s="35" t="s">
        <v>45</v>
      </c>
      <c r="O95" s="35" t="s">
        <v>610</v>
      </c>
      <c r="P95" s="35" t="s">
        <v>611</v>
      </c>
      <c r="Q95" s="35" t="s">
        <v>81</v>
      </c>
      <c r="R95" s="35" t="s">
        <v>79</v>
      </c>
      <c r="S95" s="35" t="s">
        <v>612</v>
      </c>
      <c r="T95" s="35" t="s">
        <v>613</v>
      </c>
      <c r="U95" s="35" t="s">
        <v>614</v>
      </c>
      <c r="V95" s="35" t="s">
        <v>45</v>
      </c>
      <c r="W95" s="35" t="s">
        <v>615</v>
      </c>
      <c r="X95" s="35" t="s">
        <v>53</v>
      </c>
      <c r="Y95" s="35" t="s">
        <v>53</v>
      </c>
      <c r="Z95" s="35" t="s">
        <v>60</v>
      </c>
      <c r="AA95" s="35" t="s">
        <v>47</v>
      </c>
      <c r="AB95" s="35" t="s">
        <v>48</v>
      </c>
      <c r="AC95" s="35" t="s">
        <v>74</v>
      </c>
      <c r="AD95" s="35" t="s">
        <v>53</v>
      </c>
      <c r="AE95" s="35" t="s">
        <v>616</v>
      </c>
      <c r="AF95" s="35"/>
      <c r="AG95" s="90"/>
    </row>
    <row r="96" spans="1:33" ht="25.5" x14ac:dyDescent="0.25">
      <c r="A96" s="35" t="s">
        <v>570</v>
      </c>
      <c r="B96" s="35" t="s">
        <v>164</v>
      </c>
      <c r="C96" s="35" t="s">
        <v>645</v>
      </c>
      <c r="D96" s="35" t="s">
        <v>252</v>
      </c>
      <c r="E96" s="35" t="s">
        <v>646</v>
      </c>
      <c r="F96" s="35" t="s">
        <v>647</v>
      </c>
      <c r="G96" s="35"/>
      <c r="H96" s="35" t="s">
        <v>648</v>
      </c>
      <c r="I96" s="35">
        <v>4</v>
      </c>
      <c r="J96" s="35">
        <v>4</v>
      </c>
      <c r="K96" s="35" t="s">
        <v>77</v>
      </c>
      <c r="L96" s="35">
        <v>0.52</v>
      </c>
      <c r="M96" s="35" t="s">
        <v>45</v>
      </c>
      <c r="N96" s="35" t="s">
        <v>45</v>
      </c>
      <c r="O96" s="35" t="s">
        <v>610</v>
      </c>
      <c r="P96" s="35" t="s">
        <v>611</v>
      </c>
      <c r="Q96" s="35" t="s">
        <v>81</v>
      </c>
      <c r="R96" s="35" t="s">
        <v>79</v>
      </c>
      <c r="S96" s="35" t="s">
        <v>612</v>
      </c>
      <c r="T96" s="35" t="s">
        <v>613</v>
      </c>
      <c r="U96" s="35" t="s">
        <v>614</v>
      </c>
      <c r="V96" s="35" t="s">
        <v>45</v>
      </c>
      <c r="W96" s="35" t="s">
        <v>615</v>
      </c>
      <c r="X96" s="35" t="s">
        <v>53</v>
      </c>
      <c r="Y96" s="35" t="s">
        <v>53</v>
      </c>
      <c r="Z96" s="35" t="s">
        <v>60</v>
      </c>
      <c r="AA96" s="35" t="s">
        <v>47</v>
      </c>
      <c r="AB96" s="35" t="s">
        <v>48</v>
      </c>
      <c r="AC96" s="35" t="s">
        <v>74</v>
      </c>
      <c r="AD96" s="35" t="s">
        <v>53</v>
      </c>
      <c r="AE96" s="35" t="s">
        <v>616</v>
      </c>
      <c r="AF96" s="35"/>
      <c r="AG96" s="90"/>
    </row>
    <row r="97" spans="1:33" ht="30" x14ac:dyDescent="0.25">
      <c r="A97" s="35" t="s">
        <v>570</v>
      </c>
      <c r="B97" s="35" t="s">
        <v>164</v>
      </c>
      <c r="C97" s="35" t="s">
        <v>649</v>
      </c>
      <c r="D97" s="35" t="s">
        <v>193</v>
      </c>
      <c r="E97" s="35" t="s">
        <v>720</v>
      </c>
      <c r="F97" s="36" t="s">
        <v>1741</v>
      </c>
      <c r="G97" s="160" t="s">
        <v>1736</v>
      </c>
      <c r="H97" s="36" t="s">
        <v>650</v>
      </c>
      <c r="I97" s="35">
        <v>3</v>
      </c>
      <c r="J97" s="35">
        <v>3</v>
      </c>
      <c r="K97" s="35" t="s">
        <v>77</v>
      </c>
      <c r="L97" s="35">
        <v>0.44</v>
      </c>
      <c r="M97" s="35" t="s">
        <v>45</v>
      </c>
      <c r="N97" s="35" t="s">
        <v>45</v>
      </c>
      <c r="O97" s="35" t="s">
        <v>610</v>
      </c>
      <c r="P97" s="35" t="s">
        <v>611</v>
      </c>
      <c r="Q97" s="35" t="s">
        <v>81</v>
      </c>
      <c r="R97" s="35" t="s">
        <v>79</v>
      </c>
      <c r="S97" s="35" t="s">
        <v>612</v>
      </c>
      <c r="T97" s="35" t="s">
        <v>613</v>
      </c>
      <c r="U97" s="35" t="s">
        <v>614</v>
      </c>
      <c r="V97" s="35" t="s">
        <v>45</v>
      </c>
      <c r="W97" s="35" t="s">
        <v>615</v>
      </c>
      <c r="X97" s="35" t="s">
        <v>53</v>
      </c>
      <c r="Y97" s="35" t="s">
        <v>53</v>
      </c>
      <c r="Z97" s="35" t="s">
        <v>60</v>
      </c>
      <c r="AA97" s="35" t="s">
        <v>47</v>
      </c>
      <c r="AB97" s="35" t="s">
        <v>48</v>
      </c>
      <c r="AC97" s="35" t="s">
        <v>74</v>
      </c>
      <c r="AD97" s="35" t="s">
        <v>53</v>
      </c>
      <c r="AE97" s="35" t="s">
        <v>616</v>
      </c>
      <c r="AF97" s="35"/>
      <c r="AG97" s="90"/>
    </row>
    <row r="98" spans="1:33" ht="30" x14ac:dyDescent="0.25">
      <c r="A98" s="35" t="s">
        <v>570</v>
      </c>
      <c r="B98" s="35" t="s">
        <v>164</v>
      </c>
      <c r="C98" s="35" t="s">
        <v>651</v>
      </c>
      <c r="D98" s="35" t="s">
        <v>252</v>
      </c>
      <c r="E98" s="35" t="s">
        <v>719</v>
      </c>
      <c r="F98" s="36" t="s">
        <v>1742</v>
      </c>
      <c r="G98" s="160" t="s">
        <v>1736</v>
      </c>
      <c r="H98" s="36" t="s">
        <v>652</v>
      </c>
      <c r="I98" s="35">
        <v>3</v>
      </c>
      <c r="J98" s="35">
        <v>3</v>
      </c>
      <c r="K98" s="35" t="s">
        <v>64</v>
      </c>
      <c r="L98" s="35">
        <v>0.64</v>
      </c>
      <c r="M98" s="35" t="s">
        <v>45</v>
      </c>
      <c r="N98" s="35" t="s">
        <v>45</v>
      </c>
      <c r="O98" s="35" t="s">
        <v>610</v>
      </c>
      <c r="P98" s="35" t="s">
        <v>611</v>
      </c>
      <c r="Q98" s="35" t="s">
        <v>81</v>
      </c>
      <c r="R98" s="35" t="s">
        <v>79</v>
      </c>
      <c r="S98" s="35" t="s">
        <v>612</v>
      </c>
      <c r="T98" s="35" t="s">
        <v>613</v>
      </c>
      <c r="U98" s="35" t="s">
        <v>614</v>
      </c>
      <c r="V98" s="35" t="s">
        <v>45</v>
      </c>
      <c r="W98" s="35" t="s">
        <v>615</v>
      </c>
      <c r="X98" s="35" t="s">
        <v>53</v>
      </c>
      <c r="Y98" s="35" t="s">
        <v>53</v>
      </c>
      <c r="Z98" s="35" t="s">
        <v>60</v>
      </c>
      <c r="AA98" s="35" t="s">
        <v>47</v>
      </c>
      <c r="AB98" s="35" t="s">
        <v>48</v>
      </c>
      <c r="AC98" s="35" t="s">
        <v>74</v>
      </c>
      <c r="AD98" s="35" t="s">
        <v>53</v>
      </c>
      <c r="AE98" s="35" t="s">
        <v>616</v>
      </c>
      <c r="AF98" s="35"/>
      <c r="AG98" s="90"/>
    </row>
    <row r="99" spans="1:33" ht="51" x14ac:dyDescent="0.25">
      <c r="A99" s="35" t="s">
        <v>367</v>
      </c>
      <c r="B99" s="35" t="s">
        <v>784</v>
      </c>
      <c r="C99" s="35" t="s">
        <v>358</v>
      </c>
      <c r="D99" s="35" t="s">
        <v>27</v>
      </c>
      <c r="E99" s="35" t="s">
        <v>27</v>
      </c>
      <c r="F99" s="35" t="s">
        <v>359</v>
      </c>
      <c r="G99" s="35"/>
      <c r="H99" s="35"/>
      <c r="I99" s="35">
        <v>1</v>
      </c>
      <c r="J99" s="35">
        <v>1</v>
      </c>
      <c r="K99" s="35" t="s">
        <v>50</v>
      </c>
      <c r="L99" s="35">
        <v>0.48</v>
      </c>
      <c r="M99" s="35" t="s">
        <v>45</v>
      </c>
      <c r="N99" s="35" t="s">
        <v>45</v>
      </c>
      <c r="O99" s="35" t="s">
        <v>349</v>
      </c>
      <c r="P99" s="35" t="s">
        <v>350</v>
      </c>
      <c r="Q99" s="35" t="s">
        <v>85</v>
      </c>
      <c r="R99" s="35" t="s">
        <v>82</v>
      </c>
      <c r="S99" s="35" t="s">
        <v>351</v>
      </c>
      <c r="T99" s="35" t="s">
        <v>352</v>
      </c>
      <c r="U99" s="35" t="s">
        <v>353</v>
      </c>
      <c r="V99" s="35" t="s">
        <v>45</v>
      </c>
      <c r="W99" s="92" t="s">
        <v>354</v>
      </c>
      <c r="X99" s="35" t="s">
        <v>45</v>
      </c>
      <c r="Y99" s="35" t="s">
        <v>355</v>
      </c>
      <c r="Z99" s="35" t="s">
        <v>356</v>
      </c>
      <c r="AA99" s="35" t="s">
        <v>47</v>
      </c>
      <c r="AB99" s="35" t="s">
        <v>222</v>
      </c>
      <c r="AC99" s="35" t="s">
        <v>49</v>
      </c>
      <c r="AD99" s="35" t="s">
        <v>222</v>
      </c>
      <c r="AE99" s="35" t="s">
        <v>357</v>
      </c>
      <c r="AF99" s="35"/>
      <c r="AG99" s="128" t="s">
        <v>2008</v>
      </c>
    </row>
    <row r="100" spans="1:33" ht="51" x14ac:dyDescent="0.25">
      <c r="A100" s="35" t="s">
        <v>367</v>
      </c>
      <c r="B100" s="35" t="s">
        <v>784</v>
      </c>
      <c r="C100" s="35" t="s">
        <v>360</v>
      </c>
      <c r="D100" s="35" t="s">
        <v>361</v>
      </c>
      <c r="E100" s="35" t="s">
        <v>361</v>
      </c>
      <c r="F100" s="35" t="s">
        <v>362</v>
      </c>
      <c r="G100" s="35"/>
      <c r="H100" s="35" t="s">
        <v>363</v>
      </c>
      <c r="I100" s="35">
        <v>3</v>
      </c>
      <c r="J100" s="35">
        <v>3</v>
      </c>
      <c r="K100" s="35" t="s">
        <v>77</v>
      </c>
      <c r="L100" s="35">
        <v>0.44</v>
      </c>
      <c r="M100" s="35" t="s">
        <v>45</v>
      </c>
      <c r="N100" s="35" t="s">
        <v>45</v>
      </c>
      <c r="O100" s="35" t="s">
        <v>349</v>
      </c>
      <c r="P100" s="35" t="s">
        <v>350</v>
      </c>
      <c r="Q100" s="35" t="s">
        <v>85</v>
      </c>
      <c r="R100" s="35" t="s">
        <v>82</v>
      </c>
      <c r="S100" s="35" t="s">
        <v>351</v>
      </c>
      <c r="T100" s="35" t="s">
        <v>352</v>
      </c>
      <c r="U100" s="35" t="s">
        <v>353</v>
      </c>
      <c r="V100" s="35" t="s">
        <v>45</v>
      </c>
      <c r="W100" s="92" t="s">
        <v>354</v>
      </c>
      <c r="X100" s="35" t="s">
        <v>45</v>
      </c>
      <c r="Y100" s="35" t="s">
        <v>355</v>
      </c>
      <c r="Z100" s="35" t="s">
        <v>356</v>
      </c>
      <c r="AA100" s="35" t="s">
        <v>47</v>
      </c>
      <c r="AB100" s="35" t="s">
        <v>222</v>
      </c>
      <c r="AC100" s="35" t="s">
        <v>49</v>
      </c>
      <c r="AD100" s="35" t="s">
        <v>222</v>
      </c>
      <c r="AE100" s="35" t="s">
        <v>357</v>
      </c>
      <c r="AF100" s="35"/>
      <c r="AG100" s="128" t="s">
        <v>2008</v>
      </c>
    </row>
    <row r="101" spans="1:33" ht="51" x14ac:dyDescent="0.25">
      <c r="A101" s="35" t="s">
        <v>367</v>
      </c>
      <c r="B101" s="35" t="s">
        <v>784</v>
      </c>
      <c r="C101" s="35" t="s">
        <v>364</v>
      </c>
      <c r="D101" s="35" t="s">
        <v>365</v>
      </c>
      <c r="E101" s="35" t="s">
        <v>365</v>
      </c>
      <c r="F101" s="35" t="s">
        <v>366</v>
      </c>
      <c r="G101" s="35"/>
      <c r="H101" s="35"/>
      <c r="I101" s="35">
        <v>3</v>
      </c>
      <c r="J101" s="35">
        <v>3</v>
      </c>
      <c r="K101" s="35" t="s">
        <v>64</v>
      </c>
      <c r="L101" s="35">
        <v>0.64</v>
      </c>
      <c r="M101" s="35" t="s">
        <v>45</v>
      </c>
      <c r="N101" s="35" t="s">
        <v>45</v>
      </c>
      <c r="O101" s="35" t="s">
        <v>349</v>
      </c>
      <c r="P101" s="35" t="s">
        <v>350</v>
      </c>
      <c r="Q101" s="35" t="s">
        <v>85</v>
      </c>
      <c r="R101" s="35" t="s">
        <v>82</v>
      </c>
      <c r="S101" s="35" t="s">
        <v>351</v>
      </c>
      <c r="T101" s="35" t="s">
        <v>352</v>
      </c>
      <c r="U101" s="35" t="s">
        <v>353</v>
      </c>
      <c r="V101" s="35" t="s">
        <v>45</v>
      </c>
      <c r="W101" s="92" t="s">
        <v>354</v>
      </c>
      <c r="X101" s="35" t="s">
        <v>45</v>
      </c>
      <c r="Y101" s="35" t="s">
        <v>355</v>
      </c>
      <c r="Z101" s="35" t="s">
        <v>356</v>
      </c>
      <c r="AA101" s="35" t="s">
        <v>47</v>
      </c>
      <c r="AB101" s="35" t="s">
        <v>222</v>
      </c>
      <c r="AC101" s="35" t="s">
        <v>49</v>
      </c>
      <c r="AD101" s="35" t="s">
        <v>222</v>
      </c>
      <c r="AE101" s="35" t="s">
        <v>357</v>
      </c>
      <c r="AF101" s="35"/>
      <c r="AG101" s="128" t="s">
        <v>2008</v>
      </c>
    </row>
    <row r="102" spans="1:33" ht="51" x14ac:dyDescent="0.25">
      <c r="A102" s="35" t="s">
        <v>367</v>
      </c>
      <c r="B102" s="35" t="s">
        <v>164</v>
      </c>
      <c r="C102" s="35" t="s">
        <v>368</v>
      </c>
      <c r="D102" s="35" t="s">
        <v>274</v>
      </c>
      <c r="E102" s="35" t="s">
        <v>369</v>
      </c>
      <c r="F102" s="35" t="s">
        <v>370</v>
      </c>
      <c r="G102" s="35" t="s">
        <v>371</v>
      </c>
      <c r="H102" s="35"/>
      <c r="I102" s="35">
        <v>3</v>
      </c>
      <c r="J102" s="35">
        <v>3</v>
      </c>
      <c r="K102" s="35" t="s">
        <v>71</v>
      </c>
      <c r="L102" s="35">
        <v>0.44</v>
      </c>
      <c r="M102" s="35" t="s">
        <v>45</v>
      </c>
      <c r="N102" s="35" t="s">
        <v>45</v>
      </c>
      <c r="O102" s="35" t="s">
        <v>349</v>
      </c>
      <c r="P102" s="35" t="s">
        <v>350</v>
      </c>
      <c r="Q102" s="35" t="s">
        <v>85</v>
      </c>
      <c r="R102" s="35" t="s">
        <v>82</v>
      </c>
      <c r="S102" s="35" t="s">
        <v>351</v>
      </c>
      <c r="T102" s="35" t="s">
        <v>352</v>
      </c>
      <c r="U102" s="35" t="s">
        <v>353</v>
      </c>
      <c r="V102" s="35" t="s">
        <v>45</v>
      </c>
      <c r="W102" s="92" t="s">
        <v>354</v>
      </c>
      <c r="X102" s="35" t="s">
        <v>45</v>
      </c>
      <c r="Y102" s="35" t="s">
        <v>355</v>
      </c>
      <c r="Z102" s="35" t="s">
        <v>356</v>
      </c>
      <c r="AA102" s="35" t="s">
        <v>47</v>
      </c>
      <c r="AB102" s="35" t="s">
        <v>222</v>
      </c>
      <c r="AC102" s="35" t="s">
        <v>49</v>
      </c>
      <c r="AD102" s="35" t="s">
        <v>222</v>
      </c>
      <c r="AE102" s="35" t="s">
        <v>357</v>
      </c>
      <c r="AF102" s="35"/>
      <c r="AG102" s="128" t="s">
        <v>2008</v>
      </c>
    </row>
    <row r="103" spans="1:33" ht="51" x14ac:dyDescent="0.25">
      <c r="A103" s="35" t="s">
        <v>367</v>
      </c>
      <c r="B103" s="35" t="s">
        <v>164</v>
      </c>
      <c r="C103" s="35" t="s">
        <v>372</v>
      </c>
      <c r="D103" s="35" t="s">
        <v>274</v>
      </c>
      <c r="E103" s="35" t="s">
        <v>373</v>
      </c>
      <c r="F103" s="35" t="s">
        <v>374</v>
      </c>
      <c r="G103" s="35"/>
      <c r="H103" s="35"/>
      <c r="I103" s="35">
        <v>0</v>
      </c>
      <c r="J103" s="35">
        <v>0</v>
      </c>
      <c r="K103" s="35" t="s">
        <v>396</v>
      </c>
      <c r="L103" s="35">
        <v>0</v>
      </c>
      <c r="M103" s="35" t="s">
        <v>45</v>
      </c>
      <c r="N103" s="35" t="s">
        <v>45</v>
      </c>
      <c r="O103" s="35" t="s">
        <v>349</v>
      </c>
      <c r="P103" s="35" t="s">
        <v>350</v>
      </c>
      <c r="Q103" s="35" t="s">
        <v>85</v>
      </c>
      <c r="R103" s="35" t="s">
        <v>82</v>
      </c>
      <c r="S103" s="35" t="s">
        <v>351</v>
      </c>
      <c r="T103" s="35" t="s">
        <v>352</v>
      </c>
      <c r="U103" s="35" t="s">
        <v>353</v>
      </c>
      <c r="V103" s="35" t="s">
        <v>45</v>
      </c>
      <c r="W103" s="92" t="s">
        <v>354</v>
      </c>
      <c r="X103" s="35" t="s">
        <v>45</v>
      </c>
      <c r="Y103" s="35" t="s">
        <v>355</v>
      </c>
      <c r="Z103" s="35" t="s">
        <v>356</v>
      </c>
      <c r="AA103" s="35" t="s">
        <v>47</v>
      </c>
      <c r="AB103" s="35" t="s">
        <v>222</v>
      </c>
      <c r="AC103" s="35" t="s">
        <v>49</v>
      </c>
      <c r="AD103" s="35" t="s">
        <v>222</v>
      </c>
      <c r="AE103" s="35" t="s">
        <v>357</v>
      </c>
      <c r="AF103" s="35"/>
      <c r="AG103" s="128" t="s">
        <v>2008</v>
      </c>
    </row>
    <row r="104" spans="1:33" ht="51" x14ac:dyDescent="0.25">
      <c r="A104" s="35" t="s">
        <v>367</v>
      </c>
      <c r="B104" s="35" t="s">
        <v>164</v>
      </c>
      <c r="C104" s="35" t="s">
        <v>375</v>
      </c>
      <c r="D104" s="35" t="s">
        <v>376</v>
      </c>
      <c r="E104" s="35" t="s">
        <v>377</v>
      </c>
      <c r="F104" s="35" t="s">
        <v>378</v>
      </c>
      <c r="G104" s="35"/>
      <c r="H104" s="35"/>
      <c r="I104" s="35">
        <v>0</v>
      </c>
      <c r="J104" s="35">
        <v>0</v>
      </c>
      <c r="K104" s="35" t="s">
        <v>396</v>
      </c>
      <c r="L104" s="35">
        <v>0</v>
      </c>
      <c r="M104" s="35" t="s">
        <v>45</v>
      </c>
      <c r="N104" s="35" t="s">
        <v>45</v>
      </c>
      <c r="O104" s="35" t="s">
        <v>349</v>
      </c>
      <c r="P104" s="35" t="s">
        <v>350</v>
      </c>
      <c r="Q104" s="35" t="s">
        <v>85</v>
      </c>
      <c r="R104" s="35" t="s">
        <v>82</v>
      </c>
      <c r="S104" s="35" t="s">
        <v>351</v>
      </c>
      <c r="T104" s="35" t="s">
        <v>352</v>
      </c>
      <c r="U104" s="35" t="s">
        <v>353</v>
      </c>
      <c r="V104" s="35" t="s">
        <v>45</v>
      </c>
      <c r="W104" s="92" t="s">
        <v>354</v>
      </c>
      <c r="X104" s="35" t="s">
        <v>45</v>
      </c>
      <c r="Y104" s="35" t="s">
        <v>355</v>
      </c>
      <c r="Z104" s="35" t="s">
        <v>356</v>
      </c>
      <c r="AA104" s="35" t="s">
        <v>47</v>
      </c>
      <c r="AB104" s="35" t="s">
        <v>222</v>
      </c>
      <c r="AC104" s="35" t="s">
        <v>49</v>
      </c>
      <c r="AD104" s="35" t="s">
        <v>222</v>
      </c>
      <c r="AE104" s="35" t="s">
        <v>357</v>
      </c>
      <c r="AF104" s="35"/>
      <c r="AG104" s="128" t="s">
        <v>2008</v>
      </c>
    </row>
    <row r="105" spans="1:33" ht="51" x14ac:dyDescent="0.25">
      <c r="A105" s="35" t="s">
        <v>367</v>
      </c>
      <c r="B105" s="35" t="s">
        <v>164</v>
      </c>
      <c r="C105" s="35" t="s">
        <v>379</v>
      </c>
      <c r="D105" s="35" t="s">
        <v>376</v>
      </c>
      <c r="E105" s="35" t="s">
        <v>380</v>
      </c>
      <c r="F105" s="35" t="s">
        <v>381</v>
      </c>
      <c r="G105" s="35"/>
      <c r="H105" s="35"/>
      <c r="I105" s="35">
        <v>0</v>
      </c>
      <c r="J105" s="35">
        <v>0</v>
      </c>
      <c r="K105" s="35" t="s">
        <v>396</v>
      </c>
      <c r="L105" s="35">
        <v>0</v>
      </c>
      <c r="M105" s="35" t="s">
        <v>45</v>
      </c>
      <c r="N105" s="35" t="s">
        <v>45</v>
      </c>
      <c r="O105" s="35" t="s">
        <v>349</v>
      </c>
      <c r="P105" s="35" t="s">
        <v>350</v>
      </c>
      <c r="Q105" s="35" t="s">
        <v>85</v>
      </c>
      <c r="R105" s="35" t="s">
        <v>82</v>
      </c>
      <c r="S105" s="35" t="s">
        <v>351</v>
      </c>
      <c r="T105" s="35" t="s">
        <v>352</v>
      </c>
      <c r="U105" s="35" t="s">
        <v>353</v>
      </c>
      <c r="V105" s="35" t="s">
        <v>45</v>
      </c>
      <c r="W105" s="92" t="s">
        <v>354</v>
      </c>
      <c r="X105" s="35" t="s">
        <v>45</v>
      </c>
      <c r="Y105" s="35" t="s">
        <v>355</v>
      </c>
      <c r="Z105" s="35" t="s">
        <v>356</v>
      </c>
      <c r="AA105" s="35" t="s">
        <v>47</v>
      </c>
      <c r="AB105" s="35" t="s">
        <v>222</v>
      </c>
      <c r="AC105" s="35" t="s">
        <v>49</v>
      </c>
      <c r="AD105" s="35" t="s">
        <v>222</v>
      </c>
      <c r="AE105" s="35" t="s">
        <v>357</v>
      </c>
      <c r="AF105" s="35"/>
      <c r="AG105" s="128" t="s">
        <v>2008</v>
      </c>
    </row>
    <row r="106" spans="1:33" ht="51" x14ac:dyDescent="0.25">
      <c r="A106" s="35" t="s">
        <v>367</v>
      </c>
      <c r="B106" s="35" t="s">
        <v>164</v>
      </c>
      <c r="C106" s="35" t="s">
        <v>382</v>
      </c>
      <c r="D106" s="35" t="s">
        <v>97</v>
      </c>
      <c r="E106" s="35" t="s">
        <v>383</v>
      </c>
      <c r="F106" s="35" t="s">
        <v>384</v>
      </c>
      <c r="G106" s="35"/>
      <c r="H106" s="35"/>
      <c r="I106" s="35">
        <v>0</v>
      </c>
      <c r="J106" s="35">
        <v>0</v>
      </c>
      <c r="K106" s="35" t="s">
        <v>396</v>
      </c>
      <c r="L106" s="35">
        <v>0</v>
      </c>
      <c r="M106" s="35" t="s">
        <v>45</v>
      </c>
      <c r="N106" s="35" t="s">
        <v>45</v>
      </c>
      <c r="O106" s="35" t="s">
        <v>349</v>
      </c>
      <c r="P106" s="35" t="s">
        <v>350</v>
      </c>
      <c r="Q106" s="35" t="s">
        <v>85</v>
      </c>
      <c r="R106" s="35" t="s">
        <v>82</v>
      </c>
      <c r="S106" s="35" t="s">
        <v>351</v>
      </c>
      <c r="T106" s="35" t="s">
        <v>352</v>
      </c>
      <c r="U106" s="35" t="s">
        <v>353</v>
      </c>
      <c r="V106" s="35" t="s">
        <v>45</v>
      </c>
      <c r="W106" s="92" t="s">
        <v>354</v>
      </c>
      <c r="X106" s="35" t="s">
        <v>45</v>
      </c>
      <c r="Y106" s="35" t="s">
        <v>355</v>
      </c>
      <c r="Z106" s="35" t="s">
        <v>356</v>
      </c>
      <c r="AA106" s="35" t="s">
        <v>47</v>
      </c>
      <c r="AB106" s="35" t="s">
        <v>222</v>
      </c>
      <c r="AC106" s="35" t="s">
        <v>49</v>
      </c>
      <c r="AD106" s="35" t="s">
        <v>222</v>
      </c>
      <c r="AE106" s="35" t="s">
        <v>357</v>
      </c>
      <c r="AF106" s="35"/>
      <c r="AG106" s="128" t="s">
        <v>2008</v>
      </c>
    </row>
    <row r="107" spans="1:33" ht="51" x14ac:dyDescent="0.25">
      <c r="A107" s="35" t="s">
        <v>367</v>
      </c>
      <c r="B107" s="35" t="s">
        <v>164</v>
      </c>
      <c r="C107" s="35" t="s">
        <v>385</v>
      </c>
      <c r="D107" s="35" t="s">
        <v>193</v>
      </c>
      <c r="E107" s="35" t="s">
        <v>386</v>
      </c>
      <c r="F107" s="35" t="s">
        <v>387</v>
      </c>
      <c r="G107" s="35" t="s">
        <v>388</v>
      </c>
      <c r="H107" s="35"/>
      <c r="I107" s="35">
        <v>0</v>
      </c>
      <c r="J107" s="35">
        <v>0</v>
      </c>
      <c r="K107" s="35" t="s">
        <v>396</v>
      </c>
      <c r="L107" s="35">
        <v>0</v>
      </c>
      <c r="M107" s="35" t="s">
        <v>45</v>
      </c>
      <c r="N107" s="35" t="s">
        <v>45</v>
      </c>
      <c r="O107" s="35" t="s">
        <v>349</v>
      </c>
      <c r="P107" s="35" t="s">
        <v>350</v>
      </c>
      <c r="Q107" s="35" t="s">
        <v>85</v>
      </c>
      <c r="R107" s="35" t="s">
        <v>82</v>
      </c>
      <c r="S107" s="35" t="s">
        <v>351</v>
      </c>
      <c r="T107" s="35" t="s">
        <v>352</v>
      </c>
      <c r="U107" s="35" t="s">
        <v>353</v>
      </c>
      <c r="V107" s="35" t="s">
        <v>45</v>
      </c>
      <c r="W107" s="92" t="s">
        <v>354</v>
      </c>
      <c r="X107" s="35" t="s">
        <v>45</v>
      </c>
      <c r="Y107" s="35" t="s">
        <v>355</v>
      </c>
      <c r="Z107" s="35" t="s">
        <v>356</v>
      </c>
      <c r="AA107" s="35" t="s">
        <v>47</v>
      </c>
      <c r="AB107" s="35" t="s">
        <v>222</v>
      </c>
      <c r="AC107" s="35" t="s">
        <v>49</v>
      </c>
      <c r="AD107" s="35" t="s">
        <v>222</v>
      </c>
      <c r="AE107" s="35" t="s">
        <v>357</v>
      </c>
      <c r="AF107" s="35"/>
      <c r="AG107" s="128" t="s">
        <v>2008</v>
      </c>
    </row>
    <row r="108" spans="1:33" ht="51" x14ac:dyDescent="0.25">
      <c r="A108" s="35" t="s">
        <v>367</v>
      </c>
      <c r="B108" s="35" t="s">
        <v>164</v>
      </c>
      <c r="C108" s="35" t="s">
        <v>389</v>
      </c>
      <c r="D108" s="35" t="s">
        <v>390</v>
      </c>
      <c r="E108" s="35" t="s">
        <v>391</v>
      </c>
      <c r="F108" s="35" t="s">
        <v>392</v>
      </c>
      <c r="G108" s="35"/>
      <c r="H108" s="35"/>
      <c r="I108" s="35">
        <v>0</v>
      </c>
      <c r="J108" s="35">
        <v>0</v>
      </c>
      <c r="K108" s="35" t="s">
        <v>396</v>
      </c>
      <c r="L108" s="35">
        <v>0</v>
      </c>
      <c r="M108" s="35" t="s">
        <v>45</v>
      </c>
      <c r="N108" s="35" t="s">
        <v>45</v>
      </c>
      <c r="O108" s="35" t="s">
        <v>349</v>
      </c>
      <c r="P108" s="35" t="s">
        <v>350</v>
      </c>
      <c r="Q108" s="35" t="s">
        <v>85</v>
      </c>
      <c r="R108" s="35" t="s">
        <v>82</v>
      </c>
      <c r="S108" s="35" t="s">
        <v>351</v>
      </c>
      <c r="T108" s="35" t="s">
        <v>352</v>
      </c>
      <c r="U108" s="35" t="s">
        <v>353</v>
      </c>
      <c r="V108" s="35" t="s">
        <v>45</v>
      </c>
      <c r="W108" s="92" t="s">
        <v>354</v>
      </c>
      <c r="X108" s="35" t="s">
        <v>45</v>
      </c>
      <c r="Y108" s="35" t="s">
        <v>355</v>
      </c>
      <c r="Z108" s="35" t="s">
        <v>356</v>
      </c>
      <c r="AA108" s="35" t="s">
        <v>47</v>
      </c>
      <c r="AB108" s="35" t="s">
        <v>222</v>
      </c>
      <c r="AC108" s="35" t="s">
        <v>49</v>
      </c>
      <c r="AD108" s="35" t="s">
        <v>222</v>
      </c>
      <c r="AE108" s="35" t="s">
        <v>357</v>
      </c>
      <c r="AF108" s="35"/>
      <c r="AG108" s="128" t="s">
        <v>2008</v>
      </c>
    </row>
    <row r="109" spans="1:33" ht="51" x14ac:dyDescent="0.25">
      <c r="A109" s="35" t="s">
        <v>367</v>
      </c>
      <c r="B109" s="35" t="s">
        <v>164</v>
      </c>
      <c r="C109" s="35" t="s">
        <v>393</v>
      </c>
      <c r="D109" s="35" t="s">
        <v>193</v>
      </c>
      <c r="E109" s="35" t="s">
        <v>394</v>
      </c>
      <c r="F109" s="35" t="s">
        <v>395</v>
      </c>
      <c r="G109" s="35"/>
      <c r="H109" s="35"/>
      <c r="I109" s="35">
        <v>0</v>
      </c>
      <c r="J109" s="35">
        <v>0</v>
      </c>
      <c r="K109" s="35" t="s">
        <v>396</v>
      </c>
      <c r="L109" s="35">
        <v>0</v>
      </c>
      <c r="M109" s="35" t="s">
        <v>45</v>
      </c>
      <c r="N109" s="35" t="s">
        <v>45</v>
      </c>
      <c r="O109" s="35" t="s">
        <v>349</v>
      </c>
      <c r="P109" s="35" t="s">
        <v>350</v>
      </c>
      <c r="Q109" s="35" t="s">
        <v>85</v>
      </c>
      <c r="R109" s="35" t="s">
        <v>82</v>
      </c>
      <c r="S109" s="35" t="s">
        <v>351</v>
      </c>
      <c r="T109" s="35" t="s">
        <v>352</v>
      </c>
      <c r="U109" s="35" t="s">
        <v>353</v>
      </c>
      <c r="V109" s="35" t="s">
        <v>45</v>
      </c>
      <c r="W109" s="92" t="s">
        <v>354</v>
      </c>
      <c r="X109" s="35" t="s">
        <v>45</v>
      </c>
      <c r="Y109" s="35" t="s">
        <v>355</v>
      </c>
      <c r="Z109" s="35" t="s">
        <v>356</v>
      </c>
      <c r="AA109" s="35" t="s">
        <v>47</v>
      </c>
      <c r="AB109" s="35" t="s">
        <v>222</v>
      </c>
      <c r="AC109" s="35" t="s">
        <v>49</v>
      </c>
      <c r="AD109" s="35" t="s">
        <v>222</v>
      </c>
      <c r="AE109" s="35" t="s">
        <v>357</v>
      </c>
      <c r="AF109" s="35"/>
      <c r="AG109" s="128" t="s">
        <v>2008</v>
      </c>
    </row>
    <row r="110" spans="1:33" ht="51" x14ac:dyDescent="0.25">
      <c r="A110" s="35" t="s">
        <v>958</v>
      </c>
      <c r="B110" s="35" t="s">
        <v>784</v>
      </c>
      <c r="C110" s="35" t="s">
        <v>965</v>
      </c>
      <c r="D110" s="35" t="s">
        <v>193</v>
      </c>
      <c r="E110" s="35" t="s">
        <v>195</v>
      </c>
      <c r="F110" s="35" t="s">
        <v>966</v>
      </c>
      <c r="G110" s="35">
        <v>5511998464820</v>
      </c>
      <c r="H110" s="35" t="s">
        <v>967</v>
      </c>
      <c r="I110" s="35">
        <v>4</v>
      </c>
      <c r="J110" s="35">
        <v>4</v>
      </c>
      <c r="K110" s="35" t="s">
        <v>50</v>
      </c>
      <c r="L110" s="35">
        <v>0.72</v>
      </c>
      <c r="M110" s="35" t="s">
        <v>45</v>
      </c>
      <c r="N110" s="35" t="s">
        <v>45</v>
      </c>
      <c r="O110" s="35" t="s">
        <v>959</v>
      </c>
      <c r="P110" s="35" t="s">
        <v>960</v>
      </c>
      <c r="Q110" s="35" t="s">
        <v>81</v>
      </c>
      <c r="R110" s="35" t="s">
        <v>52</v>
      </c>
      <c r="S110" s="35" t="s">
        <v>961</v>
      </c>
      <c r="T110" s="35" t="s">
        <v>962</v>
      </c>
      <c r="U110" s="35" t="s">
        <v>963</v>
      </c>
      <c r="V110" s="35" t="s">
        <v>53</v>
      </c>
      <c r="W110" s="35" t="s">
        <v>53</v>
      </c>
      <c r="X110" s="35" t="s">
        <v>53</v>
      </c>
      <c r="Y110" s="35" t="s">
        <v>53</v>
      </c>
      <c r="Z110" s="35" t="s">
        <v>46</v>
      </c>
      <c r="AA110" s="35" t="s">
        <v>68</v>
      </c>
      <c r="AB110" s="35" t="s">
        <v>222</v>
      </c>
      <c r="AC110" s="35" t="s">
        <v>222</v>
      </c>
      <c r="AD110" s="35" t="s">
        <v>222</v>
      </c>
      <c r="AE110" s="35" t="s">
        <v>616</v>
      </c>
      <c r="AF110" s="35"/>
      <c r="AG110" s="90" t="s">
        <v>964</v>
      </c>
    </row>
    <row r="111" spans="1:33" ht="51" x14ac:dyDescent="0.25">
      <c r="A111" s="35" t="s">
        <v>958</v>
      </c>
      <c r="B111" s="35" t="s">
        <v>784</v>
      </c>
      <c r="C111" s="35" t="s">
        <v>968</v>
      </c>
      <c r="D111" s="35" t="s">
        <v>193</v>
      </c>
      <c r="E111" s="35" t="s">
        <v>969</v>
      </c>
      <c r="F111" s="35" t="s">
        <v>970</v>
      </c>
      <c r="G111" s="35" t="s">
        <v>971</v>
      </c>
      <c r="H111" s="35" t="s">
        <v>972</v>
      </c>
      <c r="I111" s="35">
        <v>5</v>
      </c>
      <c r="J111" s="35">
        <v>5</v>
      </c>
      <c r="K111" s="35" t="s">
        <v>71</v>
      </c>
      <c r="L111" s="35">
        <v>0.6</v>
      </c>
      <c r="M111" s="35" t="s">
        <v>45</v>
      </c>
      <c r="N111" s="35" t="s">
        <v>45</v>
      </c>
      <c r="O111" s="35" t="s">
        <v>959</v>
      </c>
      <c r="P111" s="35" t="s">
        <v>960</v>
      </c>
      <c r="Q111" s="35" t="s">
        <v>81</v>
      </c>
      <c r="R111" s="35" t="s">
        <v>52</v>
      </c>
      <c r="S111" s="35" t="s">
        <v>961</v>
      </c>
      <c r="T111" s="35" t="s">
        <v>962</v>
      </c>
      <c r="U111" s="35" t="s">
        <v>963</v>
      </c>
      <c r="V111" s="35" t="s">
        <v>53</v>
      </c>
      <c r="W111" s="35" t="s">
        <v>53</v>
      </c>
      <c r="X111" s="35" t="s">
        <v>53</v>
      </c>
      <c r="Y111" s="35" t="s">
        <v>53</v>
      </c>
      <c r="Z111" s="35" t="s">
        <v>46</v>
      </c>
      <c r="AA111" s="35" t="s">
        <v>68</v>
      </c>
      <c r="AB111" s="35" t="s">
        <v>222</v>
      </c>
      <c r="AC111" s="35" t="s">
        <v>222</v>
      </c>
      <c r="AD111" s="35" t="s">
        <v>222</v>
      </c>
      <c r="AE111" s="35" t="s">
        <v>616</v>
      </c>
      <c r="AF111" s="35"/>
      <c r="AG111" s="90" t="s">
        <v>964</v>
      </c>
    </row>
    <row r="112" spans="1:33" ht="51" x14ac:dyDescent="0.25">
      <c r="A112" s="35" t="s">
        <v>958</v>
      </c>
      <c r="B112" s="35" t="s">
        <v>164</v>
      </c>
      <c r="C112" s="35" t="s">
        <v>968</v>
      </c>
      <c r="D112" s="35" t="s">
        <v>193</v>
      </c>
      <c r="E112" s="35" t="s">
        <v>969</v>
      </c>
      <c r="F112" s="35" t="s">
        <v>970</v>
      </c>
      <c r="G112" s="35" t="s">
        <v>971</v>
      </c>
      <c r="H112" s="35" t="s">
        <v>972</v>
      </c>
      <c r="I112" s="35">
        <v>5</v>
      </c>
      <c r="J112" s="35">
        <v>5</v>
      </c>
      <c r="K112" s="35" t="s">
        <v>64</v>
      </c>
      <c r="L112" s="35">
        <v>0.8</v>
      </c>
      <c r="M112" s="35" t="s">
        <v>45</v>
      </c>
      <c r="N112" s="35" t="s">
        <v>45</v>
      </c>
      <c r="O112" s="35" t="s">
        <v>959</v>
      </c>
      <c r="P112" s="35" t="s">
        <v>960</v>
      </c>
      <c r="Q112" s="35" t="s">
        <v>81</v>
      </c>
      <c r="R112" s="35" t="s">
        <v>52</v>
      </c>
      <c r="S112" s="35" t="s">
        <v>961</v>
      </c>
      <c r="T112" s="35" t="s">
        <v>962</v>
      </c>
      <c r="U112" s="35" t="s">
        <v>963</v>
      </c>
      <c r="V112" s="35" t="s">
        <v>53</v>
      </c>
      <c r="W112" s="35" t="s">
        <v>53</v>
      </c>
      <c r="X112" s="35" t="s">
        <v>53</v>
      </c>
      <c r="Y112" s="35" t="s">
        <v>53</v>
      </c>
      <c r="Z112" s="35" t="s">
        <v>46</v>
      </c>
      <c r="AA112" s="35" t="s">
        <v>68</v>
      </c>
      <c r="AB112" s="35" t="s">
        <v>222</v>
      </c>
      <c r="AC112" s="35" t="s">
        <v>222</v>
      </c>
      <c r="AD112" s="35" t="s">
        <v>222</v>
      </c>
      <c r="AE112" s="35" t="s">
        <v>616</v>
      </c>
      <c r="AF112" s="35"/>
      <c r="AG112" s="90" t="s">
        <v>964</v>
      </c>
    </row>
    <row r="113" spans="1:33" ht="51" x14ac:dyDescent="0.25">
      <c r="A113" s="35" t="s">
        <v>958</v>
      </c>
      <c r="B113" s="35" t="s">
        <v>164</v>
      </c>
      <c r="C113" s="35" t="s">
        <v>965</v>
      </c>
      <c r="D113" s="35" t="s">
        <v>193</v>
      </c>
      <c r="E113" s="35" t="s">
        <v>195</v>
      </c>
      <c r="F113" s="35" t="s">
        <v>966</v>
      </c>
      <c r="G113" s="35">
        <v>5511998464820</v>
      </c>
      <c r="H113" s="35" t="s">
        <v>967</v>
      </c>
      <c r="I113" s="35">
        <v>4</v>
      </c>
      <c r="J113" s="35">
        <v>4</v>
      </c>
      <c r="K113" s="35" t="s">
        <v>50</v>
      </c>
      <c r="L113" s="35">
        <v>0.72</v>
      </c>
      <c r="M113" s="35" t="s">
        <v>45</v>
      </c>
      <c r="N113" s="35" t="s">
        <v>45</v>
      </c>
      <c r="O113" s="35" t="s">
        <v>959</v>
      </c>
      <c r="P113" s="35" t="s">
        <v>960</v>
      </c>
      <c r="Q113" s="35" t="s">
        <v>81</v>
      </c>
      <c r="R113" s="35" t="s">
        <v>52</v>
      </c>
      <c r="S113" s="35" t="s">
        <v>961</v>
      </c>
      <c r="T113" s="35" t="s">
        <v>962</v>
      </c>
      <c r="U113" s="35" t="s">
        <v>963</v>
      </c>
      <c r="V113" s="35" t="s">
        <v>53</v>
      </c>
      <c r="W113" s="35" t="s">
        <v>53</v>
      </c>
      <c r="X113" s="35" t="s">
        <v>53</v>
      </c>
      <c r="Y113" s="35" t="s">
        <v>53</v>
      </c>
      <c r="Z113" s="35" t="s">
        <v>46</v>
      </c>
      <c r="AA113" s="35" t="s">
        <v>68</v>
      </c>
      <c r="AB113" s="35" t="s">
        <v>222</v>
      </c>
      <c r="AC113" s="35" t="s">
        <v>222</v>
      </c>
      <c r="AD113" s="35" t="s">
        <v>222</v>
      </c>
      <c r="AE113" s="35" t="s">
        <v>616</v>
      </c>
      <c r="AF113" s="35"/>
      <c r="AG113" s="128" t="s">
        <v>964</v>
      </c>
    </row>
    <row r="114" spans="1:33" ht="25.5" x14ac:dyDescent="0.25">
      <c r="A114" s="35" t="s">
        <v>973</v>
      </c>
      <c r="B114" s="35" t="s">
        <v>784</v>
      </c>
      <c r="C114" s="35" t="s">
        <v>982</v>
      </c>
      <c r="D114" s="35" t="s">
        <v>983</v>
      </c>
      <c r="E114" s="35" t="s">
        <v>27</v>
      </c>
      <c r="F114" s="35" t="s">
        <v>984</v>
      </c>
      <c r="G114" s="35" t="s">
        <v>985</v>
      </c>
      <c r="H114" s="35" t="s">
        <v>986</v>
      </c>
      <c r="I114" s="35">
        <v>1</v>
      </c>
      <c r="J114" s="35">
        <v>1</v>
      </c>
      <c r="K114" s="35" t="s">
        <v>64</v>
      </c>
      <c r="L114" s="35">
        <v>0.48</v>
      </c>
      <c r="M114" s="35" t="s">
        <v>45</v>
      </c>
      <c r="N114" s="35" t="s">
        <v>45</v>
      </c>
      <c r="O114" s="35" t="s">
        <v>974</v>
      </c>
      <c r="P114" s="35" t="s">
        <v>975</v>
      </c>
      <c r="Q114" s="35" t="s">
        <v>81</v>
      </c>
      <c r="R114" s="35" t="s">
        <v>73</v>
      </c>
      <c r="S114" s="35" t="s">
        <v>976</v>
      </c>
      <c r="T114" s="35" t="s">
        <v>977</v>
      </c>
      <c r="U114" s="35" t="s">
        <v>978</v>
      </c>
      <c r="V114" s="35" t="s">
        <v>45</v>
      </c>
      <c r="W114" s="35" t="s">
        <v>979</v>
      </c>
      <c r="X114" s="35" t="s">
        <v>45</v>
      </c>
      <c r="Y114" s="35" t="s">
        <v>979</v>
      </c>
      <c r="Z114" s="35" t="s">
        <v>67</v>
      </c>
      <c r="AA114" s="35" t="s">
        <v>67</v>
      </c>
      <c r="AB114" s="35" t="s">
        <v>67</v>
      </c>
      <c r="AC114" s="35" t="s">
        <v>67</v>
      </c>
      <c r="AD114" s="35" t="s">
        <v>53</v>
      </c>
      <c r="AE114" s="35" t="s">
        <v>980</v>
      </c>
      <c r="AF114" s="35"/>
      <c r="AG114" s="128" t="s">
        <v>981</v>
      </c>
    </row>
    <row r="115" spans="1:33" ht="25.5" x14ac:dyDescent="0.25">
      <c r="A115" s="35" t="s">
        <v>973</v>
      </c>
      <c r="B115" s="35" t="s">
        <v>784</v>
      </c>
      <c r="C115" s="35" t="s">
        <v>987</v>
      </c>
      <c r="D115" s="35" t="s">
        <v>983</v>
      </c>
      <c r="E115" s="35" t="s">
        <v>321</v>
      </c>
      <c r="F115" s="35" t="s">
        <v>988</v>
      </c>
      <c r="G115" s="35" t="s">
        <v>985</v>
      </c>
      <c r="H115" s="35" t="s">
        <v>989</v>
      </c>
      <c r="I115" s="35">
        <v>1</v>
      </c>
      <c r="J115" s="35">
        <v>1</v>
      </c>
      <c r="K115" s="35" t="s">
        <v>64</v>
      </c>
      <c r="L115" s="35">
        <v>0.48</v>
      </c>
      <c r="M115" s="35" t="s">
        <v>45</v>
      </c>
      <c r="N115" s="35" t="s">
        <v>45</v>
      </c>
      <c r="O115" s="35" t="s">
        <v>974</v>
      </c>
      <c r="P115" s="35" t="s">
        <v>975</v>
      </c>
      <c r="Q115" s="35" t="s">
        <v>81</v>
      </c>
      <c r="R115" s="35" t="s">
        <v>73</v>
      </c>
      <c r="S115" s="35" t="s">
        <v>976</v>
      </c>
      <c r="T115" s="35" t="s">
        <v>977</v>
      </c>
      <c r="U115" s="35" t="s">
        <v>978</v>
      </c>
      <c r="V115" s="35" t="s">
        <v>45</v>
      </c>
      <c r="W115" s="35" t="s">
        <v>979</v>
      </c>
      <c r="X115" s="35" t="s">
        <v>45</v>
      </c>
      <c r="Y115" s="35" t="s">
        <v>979</v>
      </c>
      <c r="Z115" s="35" t="s">
        <v>67</v>
      </c>
      <c r="AA115" s="35" t="s">
        <v>67</v>
      </c>
      <c r="AB115" s="35" t="s">
        <v>67</v>
      </c>
      <c r="AC115" s="35" t="s">
        <v>67</v>
      </c>
      <c r="AD115" s="35" t="s">
        <v>53</v>
      </c>
      <c r="AE115" s="35" t="s">
        <v>980</v>
      </c>
      <c r="AF115" s="35"/>
      <c r="AG115" s="128" t="s">
        <v>981</v>
      </c>
    </row>
    <row r="116" spans="1:33" ht="25.5" x14ac:dyDescent="0.25">
      <c r="A116" s="35" t="s">
        <v>973</v>
      </c>
      <c r="B116" s="35" t="s">
        <v>784</v>
      </c>
      <c r="C116" s="35" t="s">
        <v>990</v>
      </c>
      <c r="D116" s="35" t="s">
        <v>983</v>
      </c>
      <c r="E116" s="35" t="s">
        <v>991</v>
      </c>
      <c r="F116" s="35" t="s">
        <v>992</v>
      </c>
      <c r="G116" s="35" t="s">
        <v>985</v>
      </c>
      <c r="H116" s="35" t="s">
        <v>993</v>
      </c>
      <c r="I116" s="35">
        <v>1</v>
      </c>
      <c r="J116" s="35">
        <v>1</v>
      </c>
      <c r="K116" s="35" t="s">
        <v>77</v>
      </c>
      <c r="L116" s="35">
        <v>0.28000000000000003</v>
      </c>
      <c r="M116" s="35" t="s">
        <v>45</v>
      </c>
      <c r="N116" s="35" t="s">
        <v>45</v>
      </c>
      <c r="O116" s="35" t="s">
        <v>974</v>
      </c>
      <c r="P116" s="35" t="s">
        <v>975</v>
      </c>
      <c r="Q116" s="35" t="s">
        <v>81</v>
      </c>
      <c r="R116" s="35" t="s">
        <v>73</v>
      </c>
      <c r="S116" s="35" t="s">
        <v>976</v>
      </c>
      <c r="T116" s="35" t="s">
        <v>977</v>
      </c>
      <c r="U116" s="35" t="s">
        <v>978</v>
      </c>
      <c r="V116" s="35" t="s">
        <v>45</v>
      </c>
      <c r="W116" s="35" t="s">
        <v>979</v>
      </c>
      <c r="X116" s="35" t="s">
        <v>45</v>
      </c>
      <c r="Y116" s="35" t="s">
        <v>979</v>
      </c>
      <c r="Z116" s="35" t="s">
        <v>67</v>
      </c>
      <c r="AA116" s="35" t="s">
        <v>67</v>
      </c>
      <c r="AB116" s="35" t="s">
        <v>67</v>
      </c>
      <c r="AC116" s="35" t="s">
        <v>67</v>
      </c>
      <c r="AD116" s="35" t="s">
        <v>53</v>
      </c>
      <c r="AE116" s="35" t="s">
        <v>980</v>
      </c>
      <c r="AF116" s="35"/>
      <c r="AG116" s="128" t="s">
        <v>981</v>
      </c>
    </row>
    <row r="117" spans="1:33" ht="25.5" x14ac:dyDescent="0.25">
      <c r="A117" s="35" t="s">
        <v>973</v>
      </c>
      <c r="B117" s="35" t="s">
        <v>784</v>
      </c>
      <c r="C117" s="35" t="s">
        <v>994</v>
      </c>
      <c r="D117" s="35" t="s">
        <v>33</v>
      </c>
      <c r="E117" s="35" t="s">
        <v>995</v>
      </c>
      <c r="F117" s="35" t="s">
        <v>996</v>
      </c>
      <c r="G117" s="35" t="s">
        <v>985</v>
      </c>
      <c r="H117" s="35" t="s">
        <v>997</v>
      </c>
      <c r="I117" s="35">
        <v>1</v>
      </c>
      <c r="J117" s="35">
        <v>1</v>
      </c>
      <c r="K117" s="35" t="s">
        <v>77</v>
      </c>
      <c r="L117" s="35">
        <v>0.28000000000000003</v>
      </c>
      <c r="M117" s="35" t="s">
        <v>45</v>
      </c>
      <c r="N117" s="35" t="s">
        <v>45</v>
      </c>
      <c r="O117" s="35" t="s">
        <v>974</v>
      </c>
      <c r="P117" s="35" t="s">
        <v>975</v>
      </c>
      <c r="Q117" s="35" t="s">
        <v>81</v>
      </c>
      <c r="R117" s="35" t="s">
        <v>73</v>
      </c>
      <c r="S117" s="35" t="s">
        <v>976</v>
      </c>
      <c r="T117" s="35" t="s">
        <v>977</v>
      </c>
      <c r="U117" s="35" t="s">
        <v>978</v>
      </c>
      <c r="V117" s="35" t="s">
        <v>45</v>
      </c>
      <c r="W117" s="35" t="s">
        <v>979</v>
      </c>
      <c r="X117" s="35" t="s">
        <v>45</v>
      </c>
      <c r="Y117" s="35" t="s">
        <v>979</v>
      </c>
      <c r="Z117" s="35" t="s">
        <v>67</v>
      </c>
      <c r="AA117" s="35" t="s">
        <v>67</v>
      </c>
      <c r="AB117" s="35" t="s">
        <v>67</v>
      </c>
      <c r="AC117" s="35" t="s">
        <v>67</v>
      </c>
      <c r="AD117" s="35" t="s">
        <v>53</v>
      </c>
      <c r="AE117" s="35" t="s">
        <v>980</v>
      </c>
      <c r="AF117" s="35"/>
      <c r="AG117" s="128" t="s">
        <v>981</v>
      </c>
    </row>
    <row r="118" spans="1:33" ht="25.5" x14ac:dyDescent="0.25">
      <c r="A118" s="35" t="s">
        <v>973</v>
      </c>
      <c r="B118" s="35" t="s">
        <v>784</v>
      </c>
      <c r="C118" s="35" t="s">
        <v>998</v>
      </c>
      <c r="D118" s="35" t="s">
        <v>193</v>
      </c>
      <c r="E118" s="35" t="s">
        <v>999</v>
      </c>
      <c r="F118" s="35" t="s">
        <v>1000</v>
      </c>
      <c r="G118" s="35" t="s">
        <v>985</v>
      </c>
      <c r="H118" s="35" t="s">
        <v>1001</v>
      </c>
      <c r="I118" s="35">
        <v>1</v>
      </c>
      <c r="J118" s="35">
        <v>1</v>
      </c>
      <c r="K118" s="35" t="s">
        <v>64</v>
      </c>
      <c r="L118" s="35">
        <v>0.48</v>
      </c>
      <c r="M118" s="35" t="s">
        <v>45</v>
      </c>
      <c r="N118" s="35" t="s">
        <v>45</v>
      </c>
      <c r="O118" s="35" t="s">
        <v>974</v>
      </c>
      <c r="P118" s="35" t="s">
        <v>975</v>
      </c>
      <c r="Q118" s="35" t="s">
        <v>81</v>
      </c>
      <c r="R118" s="35" t="s">
        <v>73</v>
      </c>
      <c r="S118" s="35" t="s">
        <v>976</v>
      </c>
      <c r="T118" s="35" t="s">
        <v>977</v>
      </c>
      <c r="U118" s="35" t="s">
        <v>978</v>
      </c>
      <c r="V118" s="35" t="s">
        <v>45</v>
      </c>
      <c r="W118" s="35" t="s">
        <v>979</v>
      </c>
      <c r="X118" s="35" t="s">
        <v>45</v>
      </c>
      <c r="Y118" s="35" t="s">
        <v>979</v>
      </c>
      <c r="Z118" s="35" t="s">
        <v>67</v>
      </c>
      <c r="AA118" s="35" t="s">
        <v>67</v>
      </c>
      <c r="AB118" s="35" t="s">
        <v>67</v>
      </c>
      <c r="AC118" s="35" t="s">
        <v>67</v>
      </c>
      <c r="AD118" s="35" t="s">
        <v>53</v>
      </c>
      <c r="AE118" s="35" t="s">
        <v>980</v>
      </c>
      <c r="AF118" s="35"/>
      <c r="AG118" s="128" t="s">
        <v>981</v>
      </c>
    </row>
    <row r="119" spans="1:33" ht="25.5" x14ac:dyDescent="0.25">
      <c r="A119" s="35" t="s">
        <v>973</v>
      </c>
      <c r="B119" s="35" t="s">
        <v>784</v>
      </c>
      <c r="C119" s="35" t="s">
        <v>1002</v>
      </c>
      <c r="D119" s="35" t="s">
        <v>193</v>
      </c>
      <c r="E119" s="35" t="s">
        <v>361</v>
      </c>
      <c r="F119" s="35" t="s">
        <v>1003</v>
      </c>
      <c r="G119" s="35" t="s">
        <v>985</v>
      </c>
      <c r="H119" s="35" t="s">
        <v>1003</v>
      </c>
      <c r="I119" s="35">
        <v>1</v>
      </c>
      <c r="J119" s="35">
        <v>1</v>
      </c>
      <c r="K119" s="35" t="s">
        <v>64</v>
      </c>
      <c r="L119" s="35">
        <v>0.48</v>
      </c>
      <c r="M119" s="35" t="s">
        <v>45</v>
      </c>
      <c r="N119" s="35" t="s">
        <v>45</v>
      </c>
      <c r="O119" s="35" t="s">
        <v>974</v>
      </c>
      <c r="P119" s="35" t="s">
        <v>975</v>
      </c>
      <c r="Q119" s="35" t="s">
        <v>81</v>
      </c>
      <c r="R119" s="35" t="s">
        <v>73</v>
      </c>
      <c r="S119" s="35" t="s">
        <v>976</v>
      </c>
      <c r="T119" s="35" t="s">
        <v>977</v>
      </c>
      <c r="U119" s="35" t="s">
        <v>978</v>
      </c>
      <c r="V119" s="35" t="s">
        <v>45</v>
      </c>
      <c r="W119" s="35" t="s">
        <v>979</v>
      </c>
      <c r="X119" s="35" t="s">
        <v>45</v>
      </c>
      <c r="Y119" s="35" t="s">
        <v>979</v>
      </c>
      <c r="Z119" s="35" t="s">
        <v>67</v>
      </c>
      <c r="AA119" s="35" t="s">
        <v>67</v>
      </c>
      <c r="AB119" s="35" t="s">
        <v>67</v>
      </c>
      <c r="AC119" s="35" t="s">
        <v>67</v>
      </c>
      <c r="AD119" s="35" t="s">
        <v>53</v>
      </c>
      <c r="AE119" s="35" t="s">
        <v>980</v>
      </c>
      <c r="AF119" s="35"/>
      <c r="AG119" s="128" t="s">
        <v>981</v>
      </c>
    </row>
    <row r="120" spans="1:33" ht="25.5" x14ac:dyDescent="0.25">
      <c r="A120" s="35" t="s">
        <v>973</v>
      </c>
      <c r="B120" s="35" t="s">
        <v>784</v>
      </c>
      <c r="C120" s="35" t="s">
        <v>1004</v>
      </c>
      <c r="D120" s="35" t="s">
        <v>193</v>
      </c>
      <c r="E120" s="35" t="s">
        <v>394</v>
      </c>
      <c r="F120" s="35" t="s">
        <v>1005</v>
      </c>
      <c r="G120" s="35" t="s">
        <v>985</v>
      </c>
      <c r="H120" s="35" t="s">
        <v>1006</v>
      </c>
      <c r="I120" s="35">
        <v>1</v>
      </c>
      <c r="J120" s="35">
        <v>1</v>
      </c>
      <c r="K120" s="35" t="s">
        <v>64</v>
      </c>
      <c r="L120" s="35">
        <v>0.48</v>
      </c>
      <c r="M120" s="35" t="s">
        <v>45</v>
      </c>
      <c r="N120" s="35" t="s">
        <v>45</v>
      </c>
      <c r="O120" s="35" t="s">
        <v>974</v>
      </c>
      <c r="P120" s="35" t="s">
        <v>975</v>
      </c>
      <c r="Q120" s="35" t="s">
        <v>81</v>
      </c>
      <c r="R120" s="35" t="s">
        <v>73</v>
      </c>
      <c r="S120" s="35" t="s">
        <v>976</v>
      </c>
      <c r="T120" s="35" t="s">
        <v>977</v>
      </c>
      <c r="U120" s="35" t="s">
        <v>978</v>
      </c>
      <c r="V120" s="35" t="s">
        <v>45</v>
      </c>
      <c r="W120" s="35" t="s">
        <v>979</v>
      </c>
      <c r="X120" s="35" t="s">
        <v>45</v>
      </c>
      <c r="Y120" s="35" t="s">
        <v>979</v>
      </c>
      <c r="Z120" s="35" t="s">
        <v>67</v>
      </c>
      <c r="AA120" s="35" t="s">
        <v>67</v>
      </c>
      <c r="AB120" s="35" t="s">
        <v>67</v>
      </c>
      <c r="AC120" s="35" t="s">
        <v>67</v>
      </c>
      <c r="AD120" s="35" t="s">
        <v>53</v>
      </c>
      <c r="AE120" s="35" t="s">
        <v>980</v>
      </c>
      <c r="AF120" s="35"/>
      <c r="AG120" s="128" t="s">
        <v>981</v>
      </c>
    </row>
    <row r="121" spans="1:33" ht="25.5" x14ac:dyDescent="0.25">
      <c r="A121" s="35" t="s">
        <v>973</v>
      </c>
      <c r="B121" s="35" t="s">
        <v>784</v>
      </c>
      <c r="C121" s="35" t="s">
        <v>1007</v>
      </c>
      <c r="D121" s="35" t="s">
        <v>332</v>
      </c>
      <c r="E121" s="35" t="s">
        <v>1008</v>
      </c>
      <c r="F121" s="35" t="s">
        <v>1009</v>
      </c>
      <c r="G121" s="35" t="s">
        <v>985</v>
      </c>
      <c r="H121" s="35" t="s">
        <v>1010</v>
      </c>
      <c r="I121" s="35">
        <v>1</v>
      </c>
      <c r="J121" s="35">
        <v>1</v>
      </c>
      <c r="K121" s="35" t="s">
        <v>77</v>
      </c>
      <c r="L121" s="35">
        <v>0.28000000000000003</v>
      </c>
      <c r="M121" s="35" t="s">
        <v>45</v>
      </c>
      <c r="N121" s="35" t="s">
        <v>45</v>
      </c>
      <c r="O121" s="35" t="s">
        <v>974</v>
      </c>
      <c r="P121" s="35" t="s">
        <v>975</v>
      </c>
      <c r="Q121" s="35" t="s">
        <v>81</v>
      </c>
      <c r="R121" s="35" t="s">
        <v>73</v>
      </c>
      <c r="S121" s="35" t="s">
        <v>976</v>
      </c>
      <c r="T121" s="35" t="s">
        <v>977</v>
      </c>
      <c r="U121" s="35" t="s">
        <v>978</v>
      </c>
      <c r="V121" s="35" t="s">
        <v>45</v>
      </c>
      <c r="W121" s="35" t="s">
        <v>979</v>
      </c>
      <c r="X121" s="35" t="s">
        <v>45</v>
      </c>
      <c r="Y121" s="35" t="s">
        <v>979</v>
      </c>
      <c r="Z121" s="35" t="s">
        <v>67</v>
      </c>
      <c r="AA121" s="35" t="s">
        <v>67</v>
      </c>
      <c r="AB121" s="35" t="s">
        <v>67</v>
      </c>
      <c r="AC121" s="35" t="s">
        <v>67</v>
      </c>
      <c r="AD121" s="35" t="s">
        <v>53</v>
      </c>
      <c r="AE121" s="35" t="s">
        <v>980</v>
      </c>
      <c r="AF121" s="35"/>
      <c r="AG121" s="128" t="s">
        <v>981</v>
      </c>
    </row>
    <row r="122" spans="1:33" ht="25.5" x14ac:dyDescent="0.25">
      <c r="A122" s="35" t="s">
        <v>973</v>
      </c>
      <c r="B122" s="35" t="s">
        <v>164</v>
      </c>
      <c r="C122" s="35" t="s">
        <v>1011</v>
      </c>
      <c r="D122" s="35" t="s">
        <v>1012</v>
      </c>
      <c r="E122" s="35" t="s">
        <v>1013</v>
      </c>
      <c r="F122" s="35" t="s">
        <v>1014</v>
      </c>
      <c r="G122" s="35" t="s">
        <v>1015</v>
      </c>
      <c r="H122" s="35" t="s">
        <v>1016</v>
      </c>
      <c r="I122" s="35">
        <v>5</v>
      </c>
      <c r="J122" s="35">
        <v>5</v>
      </c>
      <c r="K122" s="35" t="s">
        <v>64</v>
      </c>
      <c r="L122" s="35">
        <v>0.8</v>
      </c>
      <c r="M122" s="35" t="s">
        <v>45</v>
      </c>
      <c r="N122" s="35" t="s">
        <v>45</v>
      </c>
      <c r="O122" s="35" t="s">
        <v>974</v>
      </c>
      <c r="P122" s="35" t="s">
        <v>975</v>
      </c>
      <c r="Q122" s="35" t="s">
        <v>81</v>
      </c>
      <c r="R122" s="35" t="s">
        <v>73</v>
      </c>
      <c r="S122" s="35" t="s">
        <v>976</v>
      </c>
      <c r="T122" s="35" t="s">
        <v>977</v>
      </c>
      <c r="U122" s="35" t="s">
        <v>978</v>
      </c>
      <c r="V122" s="35" t="s">
        <v>45</v>
      </c>
      <c r="W122" s="35" t="s">
        <v>979</v>
      </c>
      <c r="X122" s="35" t="s">
        <v>45</v>
      </c>
      <c r="Y122" s="35" t="s">
        <v>979</v>
      </c>
      <c r="Z122" s="35" t="s">
        <v>67</v>
      </c>
      <c r="AA122" s="35" t="s">
        <v>67</v>
      </c>
      <c r="AB122" s="35" t="s">
        <v>67</v>
      </c>
      <c r="AC122" s="35" t="s">
        <v>67</v>
      </c>
      <c r="AD122" s="35" t="s">
        <v>53</v>
      </c>
      <c r="AE122" s="35" t="s">
        <v>980</v>
      </c>
      <c r="AF122" s="35"/>
      <c r="AG122" s="128" t="s">
        <v>981</v>
      </c>
    </row>
    <row r="123" spans="1:33" ht="30" x14ac:dyDescent="0.25">
      <c r="A123" s="35" t="s">
        <v>973</v>
      </c>
      <c r="B123" s="35" t="s">
        <v>784</v>
      </c>
      <c r="C123" s="35" t="s">
        <v>1023</v>
      </c>
      <c r="D123" s="35" t="s">
        <v>155</v>
      </c>
      <c r="E123" s="35" t="s">
        <v>1024</v>
      </c>
      <c r="F123" s="35" t="s">
        <v>1025</v>
      </c>
      <c r="G123" s="35" t="s">
        <v>1026</v>
      </c>
      <c r="H123" s="35" t="s">
        <v>1027</v>
      </c>
      <c r="I123" s="35">
        <v>2</v>
      </c>
      <c r="J123" s="35">
        <v>2</v>
      </c>
      <c r="K123" s="35" t="s">
        <v>64</v>
      </c>
      <c r="L123" s="35">
        <v>0.56000000000000005</v>
      </c>
      <c r="M123" s="35" t="s">
        <v>45</v>
      </c>
      <c r="N123" s="35" t="s">
        <v>45</v>
      </c>
      <c r="O123" s="35" t="s">
        <v>1017</v>
      </c>
      <c r="P123" s="35" t="s">
        <v>1018</v>
      </c>
      <c r="Q123" s="35" t="s">
        <v>81</v>
      </c>
      <c r="R123" s="35" t="s">
        <v>79</v>
      </c>
      <c r="S123" s="35" t="s">
        <v>1019</v>
      </c>
      <c r="T123" s="35" t="s">
        <v>1020</v>
      </c>
      <c r="U123" s="35" t="s">
        <v>1021</v>
      </c>
      <c r="V123" s="35" t="s">
        <v>45</v>
      </c>
      <c r="W123" s="35" t="s">
        <v>979</v>
      </c>
      <c r="X123" s="35" t="s">
        <v>45</v>
      </c>
      <c r="Y123" s="35" t="s">
        <v>979</v>
      </c>
      <c r="Z123" s="35" t="s">
        <v>222</v>
      </c>
      <c r="AA123" s="35" t="s">
        <v>222</v>
      </c>
      <c r="AB123" s="35" t="s">
        <v>222</v>
      </c>
      <c r="AC123" s="35" t="s">
        <v>222</v>
      </c>
      <c r="AD123" s="35" t="s">
        <v>222</v>
      </c>
      <c r="AE123" s="35" t="s">
        <v>222</v>
      </c>
      <c r="AF123" s="35"/>
      <c r="AG123" s="128" t="s">
        <v>1022</v>
      </c>
    </row>
    <row r="124" spans="1:33" ht="30" x14ac:dyDescent="0.25">
      <c r="A124" s="35" t="s">
        <v>973</v>
      </c>
      <c r="B124" s="35" t="s">
        <v>784</v>
      </c>
      <c r="C124" s="35" t="s">
        <v>1028</v>
      </c>
      <c r="D124" s="35" t="s">
        <v>252</v>
      </c>
      <c r="E124" s="35" t="s">
        <v>321</v>
      </c>
      <c r="F124" s="35" t="s">
        <v>1029</v>
      </c>
      <c r="G124" s="35" t="s">
        <v>1026</v>
      </c>
      <c r="H124" s="35" t="s">
        <v>1030</v>
      </c>
      <c r="I124" s="35">
        <v>4</v>
      </c>
      <c r="J124" s="35">
        <v>5</v>
      </c>
      <c r="K124" s="35" t="s">
        <v>64</v>
      </c>
      <c r="L124" s="35">
        <v>0.76</v>
      </c>
      <c r="M124" s="35" t="s">
        <v>45</v>
      </c>
      <c r="N124" s="35" t="s">
        <v>45</v>
      </c>
      <c r="O124" s="35" t="s">
        <v>1017</v>
      </c>
      <c r="P124" s="35" t="s">
        <v>1018</v>
      </c>
      <c r="Q124" s="35" t="s">
        <v>81</v>
      </c>
      <c r="R124" s="35" t="s">
        <v>79</v>
      </c>
      <c r="S124" s="35" t="s">
        <v>1019</v>
      </c>
      <c r="T124" s="35" t="s">
        <v>1020</v>
      </c>
      <c r="U124" s="35" t="s">
        <v>1021</v>
      </c>
      <c r="V124" s="35" t="s">
        <v>45</v>
      </c>
      <c r="W124" s="35" t="s">
        <v>979</v>
      </c>
      <c r="X124" s="35" t="s">
        <v>45</v>
      </c>
      <c r="Y124" s="35" t="s">
        <v>979</v>
      </c>
      <c r="Z124" s="35" t="s">
        <v>222</v>
      </c>
      <c r="AA124" s="35" t="s">
        <v>222</v>
      </c>
      <c r="AB124" s="35" t="s">
        <v>222</v>
      </c>
      <c r="AC124" s="35" t="s">
        <v>222</v>
      </c>
      <c r="AD124" s="35" t="s">
        <v>222</v>
      </c>
      <c r="AE124" s="35" t="s">
        <v>222</v>
      </c>
      <c r="AF124" s="35"/>
      <c r="AG124" s="128" t="s">
        <v>1022</v>
      </c>
    </row>
    <row r="125" spans="1:33" ht="30" x14ac:dyDescent="0.25">
      <c r="A125" s="35" t="s">
        <v>973</v>
      </c>
      <c r="B125" s="35" t="s">
        <v>784</v>
      </c>
      <c r="C125" s="35" t="s">
        <v>1031</v>
      </c>
      <c r="D125" s="35" t="s">
        <v>33</v>
      </c>
      <c r="E125" s="35" t="s">
        <v>1032</v>
      </c>
      <c r="F125" s="35" t="s">
        <v>1033</v>
      </c>
      <c r="G125" s="35" t="s">
        <v>1026</v>
      </c>
      <c r="H125" s="35" t="s">
        <v>1034</v>
      </c>
      <c r="I125" s="35">
        <v>3</v>
      </c>
      <c r="J125" s="35">
        <v>3</v>
      </c>
      <c r="K125" s="35" t="s">
        <v>77</v>
      </c>
      <c r="L125" s="35">
        <v>0.44</v>
      </c>
      <c r="M125" s="35" t="s">
        <v>45</v>
      </c>
      <c r="N125" s="35" t="s">
        <v>45</v>
      </c>
      <c r="O125" s="35" t="s">
        <v>1017</v>
      </c>
      <c r="P125" s="35" t="s">
        <v>1018</v>
      </c>
      <c r="Q125" s="35" t="s">
        <v>81</v>
      </c>
      <c r="R125" s="35" t="s">
        <v>79</v>
      </c>
      <c r="S125" s="35" t="s">
        <v>1019</v>
      </c>
      <c r="T125" s="35" t="s">
        <v>1020</v>
      </c>
      <c r="U125" s="35" t="s">
        <v>1021</v>
      </c>
      <c r="V125" s="35" t="s">
        <v>45</v>
      </c>
      <c r="W125" s="35" t="s">
        <v>979</v>
      </c>
      <c r="X125" s="35" t="s">
        <v>45</v>
      </c>
      <c r="Y125" s="35" t="s">
        <v>979</v>
      </c>
      <c r="Z125" s="35" t="s">
        <v>222</v>
      </c>
      <c r="AA125" s="35" t="s">
        <v>222</v>
      </c>
      <c r="AB125" s="35" t="s">
        <v>222</v>
      </c>
      <c r="AC125" s="35" t="s">
        <v>222</v>
      </c>
      <c r="AD125" s="35" t="s">
        <v>222</v>
      </c>
      <c r="AE125" s="35" t="s">
        <v>222</v>
      </c>
      <c r="AF125" s="35"/>
      <c r="AG125" s="128" t="s">
        <v>1022</v>
      </c>
    </row>
    <row r="126" spans="1:33" ht="30" x14ac:dyDescent="0.25">
      <c r="A126" s="35" t="s">
        <v>973</v>
      </c>
      <c r="B126" s="35" t="s">
        <v>784</v>
      </c>
      <c r="C126" s="35" t="s">
        <v>1035</v>
      </c>
      <c r="D126" s="35" t="s">
        <v>193</v>
      </c>
      <c r="E126" s="35" t="s">
        <v>340</v>
      </c>
      <c r="F126" s="35" t="s">
        <v>1036</v>
      </c>
      <c r="G126" s="35" t="s">
        <v>1037</v>
      </c>
      <c r="H126" s="35" t="s">
        <v>1038</v>
      </c>
      <c r="I126" s="35">
        <v>5</v>
      </c>
      <c r="J126" s="35">
        <v>5</v>
      </c>
      <c r="K126" s="35" t="s">
        <v>64</v>
      </c>
      <c r="L126" s="35">
        <v>0.8</v>
      </c>
      <c r="M126" s="35" t="s">
        <v>45</v>
      </c>
      <c r="N126" s="35" t="s">
        <v>45</v>
      </c>
      <c r="O126" s="35" t="s">
        <v>1017</v>
      </c>
      <c r="P126" s="35" t="s">
        <v>1018</v>
      </c>
      <c r="Q126" s="35" t="s">
        <v>81</v>
      </c>
      <c r="R126" s="35" t="s">
        <v>79</v>
      </c>
      <c r="S126" s="35" t="s">
        <v>1019</v>
      </c>
      <c r="T126" s="35" t="s">
        <v>1020</v>
      </c>
      <c r="U126" s="35" t="s">
        <v>1021</v>
      </c>
      <c r="V126" s="35" t="s">
        <v>45</v>
      </c>
      <c r="W126" s="35" t="s">
        <v>979</v>
      </c>
      <c r="X126" s="35" t="s">
        <v>45</v>
      </c>
      <c r="Y126" s="35" t="s">
        <v>979</v>
      </c>
      <c r="Z126" s="35" t="s">
        <v>222</v>
      </c>
      <c r="AA126" s="35" t="s">
        <v>222</v>
      </c>
      <c r="AB126" s="35" t="s">
        <v>222</v>
      </c>
      <c r="AC126" s="35" t="s">
        <v>222</v>
      </c>
      <c r="AD126" s="35" t="s">
        <v>222</v>
      </c>
      <c r="AE126" s="35" t="s">
        <v>222</v>
      </c>
      <c r="AF126" s="35"/>
      <c r="AG126" s="128" t="s">
        <v>1022</v>
      </c>
    </row>
    <row r="127" spans="1:33" ht="30" x14ac:dyDescent="0.25">
      <c r="A127" s="35" t="s">
        <v>973</v>
      </c>
      <c r="B127" s="35" t="s">
        <v>784</v>
      </c>
      <c r="C127" s="35" t="s">
        <v>1039</v>
      </c>
      <c r="D127" s="35" t="s">
        <v>332</v>
      </c>
      <c r="E127" s="35" t="s">
        <v>1040</v>
      </c>
      <c r="F127" s="35" t="s">
        <v>1041</v>
      </c>
      <c r="G127" s="35" t="s">
        <v>1026</v>
      </c>
      <c r="H127" s="35" t="s">
        <v>1042</v>
      </c>
      <c r="I127" s="35">
        <v>1</v>
      </c>
      <c r="J127" s="35">
        <v>1</v>
      </c>
      <c r="K127" s="35" t="s">
        <v>64</v>
      </c>
      <c r="L127" s="35">
        <v>0.48</v>
      </c>
      <c r="M127" s="35" t="s">
        <v>45</v>
      </c>
      <c r="N127" s="35" t="s">
        <v>45</v>
      </c>
      <c r="O127" s="35" t="s">
        <v>1017</v>
      </c>
      <c r="P127" s="35" t="s">
        <v>1018</v>
      </c>
      <c r="Q127" s="35" t="s">
        <v>81</v>
      </c>
      <c r="R127" s="35" t="s">
        <v>79</v>
      </c>
      <c r="S127" s="35" t="s">
        <v>1019</v>
      </c>
      <c r="T127" s="35" t="s">
        <v>1020</v>
      </c>
      <c r="U127" s="35" t="s">
        <v>1021</v>
      </c>
      <c r="V127" s="35" t="s">
        <v>45</v>
      </c>
      <c r="W127" s="35" t="s">
        <v>979</v>
      </c>
      <c r="X127" s="35" t="s">
        <v>45</v>
      </c>
      <c r="Y127" s="35" t="s">
        <v>979</v>
      </c>
      <c r="Z127" s="35" t="s">
        <v>222</v>
      </c>
      <c r="AA127" s="35" t="s">
        <v>222</v>
      </c>
      <c r="AB127" s="35" t="s">
        <v>222</v>
      </c>
      <c r="AC127" s="35" t="s">
        <v>222</v>
      </c>
      <c r="AD127" s="35" t="s">
        <v>222</v>
      </c>
      <c r="AE127" s="35" t="s">
        <v>222</v>
      </c>
      <c r="AF127" s="35"/>
      <c r="AG127" s="128" t="s">
        <v>1022</v>
      </c>
    </row>
    <row r="128" spans="1:33" ht="38.25" x14ac:dyDescent="0.25">
      <c r="A128" s="35" t="s">
        <v>973</v>
      </c>
      <c r="B128" s="35" t="s">
        <v>164</v>
      </c>
      <c r="C128" s="35" t="s">
        <v>1043</v>
      </c>
      <c r="D128" s="35" t="s">
        <v>1044</v>
      </c>
      <c r="E128" s="35" t="s">
        <v>1045</v>
      </c>
      <c r="F128" s="35" t="s">
        <v>1046</v>
      </c>
      <c r="G128" s="35" t="s">
        <v>1047</v>
      </c>
      <c r="H128" s="35" t="s">
        <v>1048</v>
      </c>
      <c r="I128" s="35">
        <v>5</v>
      </c>
      <c r="J128" s="35">
        <v>5</v>
      </c>
      <c r="K128" s="35" t="s">
        <v>64</v>
      </c>
      <c r="L128" s="35">
        <v>0.8</v>
      </c>
      <c r="M128" s="35" t="s">
        <v>45</v>
      </c>
      <c r="N128" s="35" t="s">
        <v>45</v>
      </c>
      <c r="O128" s="35" t="s">
        <v>1017</v>
      </c>
      <c r="P128" s="35" t="s">
        <v>1018</v>
      </c>
      <c r="Q128" s="35" t="s">
        <v>81</v>
      </c>
      <c r="R128" s="35" t="s">
        <v>79</v>
      </c>
      <c r="S128" s="35" t="s">
        <v>1019</v>
      </c>
      <c r="T128" s="35" t="s">
        <v>1020</v>
      </c>
      <c r="U128" s="35" t="s">
        <v>1021</v>
      </c>
      <c r="V128" s="35" t="s">
        <v>45</v>
      </c>
      <c r="W128" s="35" t="s">
        <v>979</v>
      </c>
      <c r="X128" s="35" t="s">
        <v>45</v>
      </c>
      <c r="Y128" s="35" t="s">
        <v>979</v>
      </c>
      <c r="Z128" s="35" t="s">
        <v>222</v>
      </c>
      <c r="AA128" s="35" t="s">
        <v>222</v>
      </c>
      <c r="AB128" s="35" t="s">
        <v>222</v>
      </c>
      <c r="AC128" s="35" t="s">
        <v>222</v>
      </c>
      <c r="AD128" s="35" t="s">
        <v>222</v>
      </c>
      <c r="AE128" s="35" t="s">
        <v>222</v>
      </c>
      <c r="AF128" s="35"/>
      <c r="AG128" s="128" t="s">
        <v>1022</v>
      </c>
    </row>
    <row r="129" spans="1:33" ht="38.25" x14ac:dyDescent="0.25">
      <c r="A129" s="35" t="s">
        <v>973</v>
      </c>
      <c r="B129" s="35" t="s">
        <v>164</v>
      </c>
      <c r="C129" s="35" t="s">
        <v>1049</v>
      </c>
      <c r="D129" s="35" t="s">
        <v>1050</v>
      </c>
      <c r="E129" s="35" t="s">
        <v>1051</v>
      </c>
      <c r="F129" s="35" t="s">
        <v>1052</v>
      </c>
      <c r="G129" s="35" t="s">
        <v>1053</v>
      </c>
      <c r="H129" s="35" t="s">
        <v>1054</v>
      </c>
      <c r="I129" s="35">
        <v>5</v>
      </c>
      <c r="J129" s="35">
        <v>5</v>
      </c>
      <c r="K129" s="35" t="s">
        <v>71</v>
      </c>
      <c r="L129" s="35">
        <v>0.6</v>
      </c>
      <c r="M129" s="35" t="s">
        <v>45</v>
      </c>
      <c r="N129" s="35" t="s">
        <v>45</v>
      </c>
      <c r="O129" s="35" t="s">
        <v>1017</v>
      </c>
      <c r="P129" s="35" t="s">
        <v>1018</v>
      </c>
      <c r="Q129" s="35" t="s">
        <v>81</v>
      </c>
      <c r="R129" s="35" t="s">
        <v>79</v>
      </c>
      <c r="S129" s="35" t="s">
        <v>1019</v>
      </c>
      <c r="T129" s="35" t="s">
        <v>1020</v>
      </c>
      <c r="U129" s="35" t="s">
        <v>1021</v>
      </c>
      <c r="V129" s="35" t="s">
        <v>45</v>
      </c>
      <c r="W129" s="35" t="s">
        <v>979</v>
      </c>
      <c r="X129" s="35" t="s">
        <v>45</v>
      </c>
      <c r="Y129" s="35" t="s">
        <v>979</v>
      </c>
      <c r="Z129" s="35" t="s">
        <v>222</v>
      </c>
      <c r="AA129" s="35" t="s">
        <v>222</v>
      </c>
      <c r="AB129" s="35" t="s">
        <v>222</v>
      </c>
      <c r="AC129" s="35" t="s">
        <v>222</v>
      </c>
      <c r="AD129" s="35" t="s">
        <v>222</v>
      </c>
      <c r="AE129" s="35" t="s">
        <v>222</v>
      </c>
      <c r="AF129" s="35"/>
      <c r="AG129" s="128" t="s">
        <v>1022</v>
      </c>
    </row>
    <row r="130" spans="1:33" ht="30" x14ac:dyDescent="0.25">
      <c r="A130" s="35" t="s">
        <v>973</v>
      </c>
      <c r="B130" s="35" t="s">
        <v>784</v>
      </c>
      <c r="C130" s="35" t="s">
        <v>1061</v>
      </c>
      <c r="D130" s="35" t="s">
        <v>252</v>
      </c>
      <c r="E130" s="35" t="s">
        <v>321</v>
      </c>
      <c r="F130" s="35" t="s">
        <v>1062</v>
      </c>
      <c r="G130" s="35" t="s">
        <v>1063</v>
      </c>
      <c r="H130" s="35" t="s">
        <v>1064</v>
      </c>
      <c r="I130" s="35">
        <v>4</v>
      </c>
      <c r="J130" s="35">
        <v>3</v>
      </c>
      <c r="K130" s="35" t="s">
        <v>64</v>
      </c>
      <c r="L130" s="35">
        <v>0.68</v>
      </c>
      <c r="M130" s="35" t="s">
        <v>45</v>
      </c>
      <c r="N130" s="35" t="s">
        <v>45</v>
      </c>
      <c r="O130" s="35" t="s">
        <v>1055</v>
      </c>
      <c r="P130" s="35" t="s">
        <v>1056</v>
      </c>
      <c r="Q130" s="35" t="s">
        <v>78</v>
      </c>
      <c r="R130" s="35" t="s">
        <v>73</v>
      </c>
      <c r="S130" s="35" t="s">
        <v>148</v>
      </c>
      <c r="T130" s="35" t="s">
        <v>1057</v>
      </c>
      <c r="U130" s="35" t="s">
        <v>1058</v>
      </c>
      <c r="V130" s="35" t="s">
        <v>45</v>
      </c>
      <c r="W130" s="35" t="s">
        <v>46</v>
      </c>
      <c r="X130" s="35" t="s">
        <v>45</v>
      </c>
      <c r="Y130" s="35" t="s">
        <v>46</v>
      </c>
      <c r="Z130" s="35" t="s">
        <v>46</v>
      </c>
      <c r="AA130" s="35" t="s">
        <v>74</v>
      </c>
      <c r="AB130" s="35" t="s">
        <v>74</v>
      </c>
      <c r="AC130" s="35" t="s">
        <v>74</v>
      </c>
      <c r="AD130" s="35" t="s">
        <v>53</v>
      </c>
      <c r="AE130" s="35" t="s">
        <v>1059</v>
      </c>
      <c r="AF130" s="35"/>
      <c r="AG130" s="128" t="s">
        <v>1060</v>
      </c>
    </row>
    <row r="131" spans="1:33" ht="30" x14ac:dyDescent="0.25">
      <c r="A131" s="35" t="s">
        <v>973</v>
      </c>
      <c r="B131" s="35" t="s">
        <v>784</v>
      </c>
      <c r="C131" s="35" t="s">
        <v>1065</v>
      </c>
      <c r="D131" s="35" t="s">
        <v>179</v>
      </c>
      <c r="E131" s="35" t="s">
        <v>326</v>
      </c>
      <c r="F131" s="35" t="s">
        <v>1066</v>
      </c>
      <c r="G131" s="35" t="s">
        <v>1067</v>
      </c>
      <c r="H131" s="35" t="s">
        <v>1068</v>
      </c>
      <c r="I131" s="35">
        <v>2</v>
      </c>
      <c r="J131" s="35">
        <v>3</v>
      </c>
      <c r="K131" s="35" t="s">
        <v>77</v>
      </c>
      <c r="L131" s="35">
        <v>0.4</v>
      </c>
      <c r="M131" s="35" t="s">
        <v>45</v>
      </c>
      <c r="N131" s="35" t="s">
        <v>45</v>
      </c>
      <c r="O131" s="35" t="s">
        <v>1055</v>
      </c>
      <c r="P131" s="35" t="s">
        <v>1056</v>
      </c>
      <c r="Q131" s="35" t="s">
        <v>78</v>
      </c>
      <c r="R131" s="35" t="s">
        <v>73</v>
      </c>
      <c r="S131" s="35" t="s">
        <v>148</v>
      </c>
      <c r="T131" s="35" t="s">
        <v>1057</v>
      </c>
      <c r="U131" s="35" t="s">
        <v>1058</v>
      </c>
      <c r="V131" s="35" t="s">
        <v>45</v>
      </c>
      <c r="W131" s="35" t="s">
        <v>46</v>
      </c>
      <c r="X131" s="35" t="s">
        <v>45</v>
      </c>
      <c r="Y131" s="35" t="s">
        <v>46</v>
      </c>
      <c r="Z131" s="35" t="s">
        <v>46</v>
      </c>
      <c r="AA131" s="35" t="s">
        <v>74</v>
      </c>
      <c r="AB131" s="35" t="s">
        <v>74</v>
      </c>
      <c r="AC131" s="35" t="s">
        <v>74</v>
      </c>
      <c r="AD131" s="35" t="s">
        <v>53</v>
      </c>
      <c r="AE131" s="35" t="s">
        <v>1059</v>
      </c>
      <c r="AF131" s="35"/>
      <c r="AG131" s="128" t="s">
        <v>1060</v>
      </c>
    </row>
    <row r="132" spans="1:33" ht="30" x14ac:dyDescent="0.25">
      <c r="A132" s="35" t="s">
        <v>973</v>
      </c>
      <c r="B132" s="35" t="s">
        <v>784</v>
      </c>
      <c r="C132" s="35" t="s">
        <v>1069</v>
      </c>
      <c r="D132" s="35" t="s">
        <v>33</v>
      </c>
      <c r="E132" s="35" t="s">
        <v>1070</v>
      </c>
      <c r="F132" s="35" t="s">
        <v>1071</v>
      </c>
      <c r="G132" s="35" t="s">
        <v>1067</v>
      </c>
      <c r="H132" s="35" t="s">
        <v>1072</v>
      </c>
      <c r="I132" s="35">
        <v>2</v>
      </c>
      <c r="J132" s="35">
        <v>2</v>
      </c>
      <c r="K132" s="35" t="s">
        <v>77</v>
      </c>
      <c r="L132" s="35">
        <v>0.36</v>
      </c>
      <c r="M132" s="35" t="s">
        <v>45</v>
      </c>
      <c r="N132" s="35" t="s">
        <v>45</v>
      </c>
      <c r="O132" s="35" t="s">
        <v>1055</v>
      </c>
      <c r="P132" s="35" t="s">
        <v>1056</v>
      </c>
      <c r="Q132" s="35" t="s">
        <v>78</v>
      </c>
      <c r="R132" s="35" t="s">
        <v>73</v>
      </c>
      <c r="S132" s="35" t="s">
        <v>148</v>
      </c>
      <c r="T132" s="35" t="s">
        <v>1057</v>
      </c>
      <c r="U132" s="35" t="s">
        <v>1058</v>
      </c>
      <c r="V132" s="35" t="s">
        <v>45</v>
      </c>
      <c r="W132" s="35" t="s">
        <v>46</v>
      </c>
      <c r="X132" s="35" t="s">
        <v>45</v>
      </c>
      <c r="Y132" s="35" t="s">
        <v>46</v>
      </c>
      <c r="Z132" s="35" t="s">
        <v>46</v>
      </c>
      <c r="AA132" s="35" t="s">
        <v>74</v>
      </c>
      <c r="AB132" s="35" t="s">
        <v>74</v>
      </c>
      <c r="AC132" s="35" t="s">
        <v>74</v>
      </c>
      <c r="AD132" s="35" t="s">
        <v>53</v>
      </c>
      <c r="AE132" s="35" t="s">
        <v>1059</v>
      </c>
      <c r="AF132" s="35"/>
      <c r="AG132" s="128" t="s">
        <v>1060</v>
      </c>
    </row>
    <row r="133" spans="1:33" ht="30" x14ac:dyDescent="0.25">
      <c r="A133" s="35" t="s">
        <v>973</v>
      </c>
      <c r="B133" s="35" t="s">
        <v>784</v>
      </c>
      <c r="C133" s="35" t="s">
        <v>1073</v>
      </c>
      <c r="D133" s="35" t="s">
        <v>193</v>
      </c>
      <c r="E133" s="35" t="s">
        <v>1074</v>
      </c>
      <c r="F133" s="35" t="s">
        <v>1075</v>
      </c>
      <c r="G133" s="35" t="s">
        <v>1076</v>
      </c>
      <c r="H133" s="35" t="s">
        <v>1077</v>
      </c>
      <c r="I133" s="35">
        <v>5</v>
      </c>
      <c r="J133" s="35">
        <v>5</v>
      </c>
      <c r="K133" s="35" t="s">
        <v>77</v>
      </c>
      <c r="L133" s="35">
        <v>0.6</v>
      </c>
      <c r="M133" s="35" t="s">
        <v>45</v>
      </c>
      <c r="N133" s="35" t="s">
        <v>45</v>
      </c>
      <c r="O133" s="35" t="s">
        <v>1055</v>
      </c>
      <c r="P133" s="35" t="s">
        <v>1056</v>
      </c>
      <c r="Q133" s="35" t="s">
        <v>78</v>
      </c>
      <c r="R133" s="35" t="s">
        <v>73</v>
      </c>
      <c r="S133" s="35" t="s">
        <v>148</v>
      </c>
      <c r="T133" s="35" t="s">
        <v>1057</v>
      </c>
      <c r="U133" s="35" t="s">
        <v>1058</v>
      </c>
      <c r="V133" s="35" t="s">
        <v>45</v>
      </c>
      <c r="W133" s="35" t="s">
        <v>46</v>
      </c>
      <c r="X133" s="35" t="s">
        <v>45</v>
      </c>
      <c r="Y133" s="35" t="s">
        <v>46</v>
      </c>
      <c r="Z133" s="35" t="s">
        <v>46</v>
      </c>
      <c r="AA133" s="35" t="s">
        <v>74</v>
      </c>
      <c r="AB133" s="35" t="s">
        <v>74</v>
      </c>
      <c r="AC133" s="35" t="s">
        <v>74</v>
      </c>
      <c r="AD133" s="35" t="s">
        <v>53</v>
      </c>
      <c r="AE133" s="35" t="s">
        <v>1059</v>
      </c>
      <c r="AF133" s="35"/>
      <c r="AG133" s="128" t="s">
        <v>1060</v>
      </c>
    </row>
    <row r="134" spans="1:33" ht="30" x14ac:dyDescent="0.25">
      <c r="A134" s="35" t="s">
        <v>973</v>
      </c>
      <c r="B134" s="35" t="s">
        <v>784</v>
      </c>
      <c r="C134" s="35" t="s">
        <v>1078</v>
      </c>
      <c r="D134" s="35" t="s">
        <v>193</v>
      </c>
      <c r="E134" s="35" t="s">
        <v>1079</v>
      </c>
      <c r="F134" s="35" t="s">
        <v>1080</v>
      </c>
      <c r="G134" s="35" t="s">
        <v>1081</v>
      </c>
      <c r="H134" s="35" t="s">
        <v>1082</v>
      </c>
      <c r="I134" s="35">
        <v>5</v>
      </c>
      <c r="J134" s="35">
        <v>5</v>
      </c>
      <c r="K134" s="35" t="s">
        <v>77</v>
      </c>
      <c r="L134" s="35">
        <v>0.6</v>
      </c>
      <c r="M134" s="35" t="s">
        <v>45</v>
      </c>
      <c r="N134" s="35" t="s">
        <v>45</v>
      </c>
      <c r="O134" s="35" t="s">
        <v>1055</v>
      </c>
      <c r="P134" s="35" t="s">
        <v>1056</v>
      </c>
      <c r="Q134" s="35" t="s">
        <v>78</v>
      </c>
      <c r="R134" s="35" t="s">
        <v>73</v>
      </c>
      <c r="S134" s="35" t="s">
        <v>148</v>
      </c>
      <c r="T134" s="35" t="s">
        <v>1057</v>
      </c>
      <c r="U134" s="35" t="s">
        <v>1058</v>
      </c>
      <c r="V134" s="35" t="s">
        <v>45</v>
      </c>
      <c r="W134" s="35" t="s">
        <v>46</v>
      </c>
      <c r="X134" s="35" t="s">
        <v>45</v>
      </c>
      <c r="Y134" s="35" t="s">
        <v>46</v>
      </c>
      <c r="Z134" s="35" t="s">
        <v>46</v>
      </c>
      <c r="AA134" s="35" t="s">
        <v>74</v>
      </c>
      <c r="AB134" s="35" t="s">
        <v>74</v>
      </c>
      <c r="AC134" s="35" t="s">
        <v>74</v>
      </c>
      <c r="AD134" s="35" t="s">
        <v>53</v>
      </c>
      <c r="AE134" s="35" t="s">
        <v>1059</v>
      </c>
      <c r="AF134" s="35"/>
      <c r="AG134" s="128" t="s">
        <v>1060</v>
      </c>
    </row>
    <row r="135" spans="1:33" ht="30" x14ac:dyDescent="0.25">
      <c r="A135" s="35" t="s">
        <v>973</v>
      </c>
      <c r="B135" s="35" t="s">
        <v>784</v>
      </c>
      <c r="C135" s="35" t="s">
        <v>1083</v>
      </c>
      <c r="D135" s="35" t="s">
        <v>332</v>
      </c>
      <c r="E135" s="35" t="s">
        <v>1084</v>
      </c>
      <c r="F135" s="35" t="s">
        <v>1085</v>
      </c>
      <c r="G135" s="35" t="s">
        <v>1067</v>
      </c>
      <c r="H135" s="35" t="s">
        <v>1086</v>
      </c>
      <c r="I135" s="35">
        <v>3</v>
      </c>
      <c r="J135" s="35">
        <v>3</v>
      </c>
      <c r="K135" s="35" t="s">
        <v>77</v>
      </c>
      <c r="L135" s="35">
        <v>0.44</v>
      </c>
      <c r="M135" s="35" t="s">
        <v>45</v>
      </c>
      <c r="N135" s="35" t="s">
        <v>45</v>
      </c>
      <c r="O135" s="35" t="s">
        <v>1055</v>
      </c>
      <c r="P135" s="35" t="s">
        <v>1056</v>
      </c>
      <c r="Q135" s="35" t="s">
        <v>78</v>
      </c>
      <c r="R135" s="35" t="s">
        <v>73</v>
      </c>
      <c r="S135" s="35" t="s">
        <v>148</v>
      </c>
      <c r="T135" s="35" t="s">
        <v>1057</v>
      </c>
      <c r="U135" s="35" t="s">
        <v>1058</v>
      </c>
      <c r="V135" s="35" t="s">
        <v>45</v>
      </c>
      <c r="W135" s="35" t="s">
        <v>46</v>
      </c>
      <c r="X135" s="35" t="s">
        <v>45</v>
      </c>
      <c r="Y135" s="35" t="s">
        <v>46</v>
      </c>
      <c r="Z135" s="35" t="s">
        <v>46</v>
      </c>
      <c r="AA135" s="35" t="s">
        <v>74</v>
      </c>
      <c r="AB135" s="35" t="s">
        <v>74</v>
      </c>
      <c r="AC135" s="35" t="s">
        <v>74</v>
      </c>
      <c r="AD135" s="35" t="s">
        <v>53</v>
      </c>
      <c r="AE135" s="35" t="s">
        <v>1059</v>
      </c>
      <c r="AF135" s="35"/>
      <c r="AG135" s="128" t="s">
        <v>1060</v>
      </c>
    </row>
    <row r="136" spans="1:33" ht="30" x14ac:dyDescent="0.25">
      <c r="A136" s="35" t="s">
        <v>973</v>
      </c>
      <c r="B136" s="35" t="s">
        <v>164</v>
      </c>
      <c r="C136" s="35" t="s">
        <v>1087</v>
      </c>
      <c r="D136" s="35" t="s">
        <v>193</v>
      </c>
      <c r="E136" s="35" t="s">
        <v>1088</v>
      </c>
      <c r="F136" s="35" t="s">
        <v>1089</v>
      </c>
      <c r="G136" s="35"/>
      <c r="H136" s="35" t="s">
        <v>1090</v>
      </c>
      <c r="I136" s="35">
        <v>3</v>
      </c>
      <c r="J136" s="35">
        <v>3</v>
      </c>
      <c r="K136" s="35" t="s">
        <v>77</v>
      </c>
      <c r="L136" s="35">
        <v>0.44</v>
      </c>
      <c r="M136" s="35" t="s">
        <v>45</v>
      </c>
      <c r="N136" s="35" t="s">
        <v>45</v>
      </c>
      <c r="O136" s="35" t="s">
        <v>1055</v>
      </c>
      <c r="P136" s="35" t="s">
        <v>1056</v>
      </c>
      <c r="Q136" s="35" t="s">
        <v>78</v>
      </c>
      <c r="R136" s="35" t="s">
        <v>73</v>
      </c>
      <c r="S136" s="35" t="s">
        <v>148</v>
      </c>
      <c r="T136" s="35" t="s">
        <v>1057</v>
      </c>
      <c r="U136" s="35" t="s">
        <v>1058</v>
      </c>
      <c r="V136" s="35" t="s">
        <v>45</v>
      </c>
      <c r="W136" s="35" t="s">
        <v>46</v>
      </c>
      <c r="X136" s="35" t="s">
        <v>45</v>
      </c>
      <c r="Y136" s="35" t="s">
        <v>46</v>
      </c>
      <c r="Z136" s="35" t="s">
        <v>46</v>
      </c>
      <c r="AA136" s="35" t="s">
        <v>74</v>
      </c>
      <c r="AB136" s="35" t="s">
        <v>74</v>
      </c>
      <c r="AC136" s="35" t="s">
        <v>74</v>
      </c>
      <c r="AD136" s="35" t="s">
        <v>53</v>
      </c>
      <c r="AE136" s="35" t="s">
        <v>1059</v>
      </c>
      <c r="AF136" s="35"/>
      <c r="AG136" s="128" t="s">
        <v>1060</v>
      </c>
    </row>
    <row r="137" spans="1:33" ht="30" x14ac:dyDescent="0.25">
      <c r="A137" s="35" t="s">
        <v>973</v>
      </c>
      <c r="B137" s="35" t="s">
        <v>164</v>
      </c>
      <c r="C137" s="35" t="s">
        <v>1091</v>
      </c>
      <c r="D137" s="35" t="s">
        <v>193</v>
      </c>
      <c r="E137" s="35" t="s">
        <v>1092</v>
      </c>
      <c r="F137" s="35" t="s">
        <v>1093</v>
      </c>
      <c r="G137" s="35" t="s">
        <v>1094</v>
      </c>
      <c r="H137" s="35" t="s">
        <v>1095</v>
      </c>
      <c r="I137" s="35">
        <v>3</v>
      </c>
      <c r="J137" s="35">
        <v>3</v>
      </c>
      <c r="K137" s="35" t="s">
        <v>77</v>
      </c>
      <c r="L137" s="35">
        <v>0.44</v>
      </c>
      <c r="M137" s="35" t="s">
        <v>45</v>
      </c>
      <c r="N137" s="35" t="s">
        <v>45</v>
      </c>
      <c r="O137" s="35" t="s">
        <v>1055</v>
      </c>
      <c r="P137" s="35" t="s">
        <v>1056</v>
      </c>
      <c r="Q137" s="35" t="s">
        <v>78</v>
      </c>
      <c r="R137" s="35" t="s">
        <v>73</v>
      </c>
      <c r="S137" s="35" t="s">
        <v>148</v>
      </c>
      <c r="T137" s="35" t="s">
        <v>1057</v>
      </c>
      <c r="U137" s="35" t="s">
        <v>1058</v>
      </c>
      <c r="V137" s="35" t="s">
        <v>45</v>
      </c>
      <c r="W137" s="35" t="s">
        <v>46</v>
      </c>
      <c r="X137" s="35" t="s">
        <v>45</v>
      </c>
      <c r="Y137" s="35" t="s">
        <v>46</v>
      </c>
      <c r="Z137" s="35" t="s">
        <v>46</v>
      </c>
      <c r="AA137" s="35" t="s">
        <v>74</v>
      </c>
      <c r="AB137" s="35" t="s">
        <v>74</v>
      </c>
      <c r="AC137" s="35" t="s">
        <v>74</v>
      </c>
      <c r="AD137" s="35" t="s">
        <v>53</v>
      </c>
      <c r="AE137" s="35" t="s">
        <v>1059</v>
      </c>
      <c r="AF137" s="35"/>
      <c r="AG137" s="128" t="s">
        <v>1060</v>
      </c>
    </row>
    <row r="138" spans="1:33" ht="30" x14ac:dyDescent="0.25">
      <c r="A138" s="35" t="s">
        <v>973</v>
      </c>
      <c r="B138" s="35" t="s">
        <v>164</v>
      </c>
      <c r="C138" s="35" t="s">
        <v>1096</v>
      </c>
      <c r="D138" s="35" t="s">
        <v>193</v>
      </c>
      <c r="E138" s="35" t="s">
        <v>340</v>
      </c>
      <c r="F138" s="35" t="s">
        <v>1097</v>
      </c>
      <c r="G138" s="35" t="s">
        <v>1098</v>
      </c>
      <c r="H138" s="35" t="s">
        <v>1099</v>
      </c>
      <c r="I138" s="35">
        <v>5</v>
      </c>
      <c r="J138" s="35">
        <v>5</v>
      </c>
      <c r="K138" s="35" t="s">
        <v>77</v>
      </c>
      <c r="L138" s="35">
        <v>0.6</v>
      </c>
      <c r="M138" s="35" t="s">
        <v>45</v>
      </c>
      <c r="N138" s="35" t="s">
        <v>45</v>
      </c>
      <c r="O138" s="35" t="s">
        <v>1055</v>
      </c>
      <c r="P138" s="35" t="s">
        <v>1056</v>
      </c>
      <c r="Q138" s="35" t="s">
        <v>78</v>
      </c>
      <c r="R138" s="35" t="s">
        <v>73</v>
      </c>
      <c r="S138" s="35" t="s">
        <v>148</v>
      </c>
      <c r="T138" s="35" t="s">
        <v>1057</v>
      </c>
      <c r="U138" s="35" t="s">
        <v>1058</v>
      </c>
      <c r="V138" s="35" t="s">
        <v>45</v>
      </c>
      <c r="W138" s="35" t="s">
        <v>46</v>
      </c>
      <c r="X138" s="35" t="s">
        <v>45</v>
      </c>
      <c r="Y138" s="35" t="s">
        <v>46</v>
      </c>
      <c r="Z138" s="35" t="s">
        <v>46</v>
      </c>
      <c r="AA138" s="35" t="s">
        <v>74</v>
      </c>
      <c r="AB138" s="35" t="s">
        <v>74</v>
      </c>
      <c r="AC138" s="35" t="s">
        <v>74</v>
      </c>
      <c r="AD138" s="35" t="s">
        <v>53</v>
      </c>
      <c r="AE138" s="35" t="s">
        <v>1059</v>
      </c>
      <c r="AF138" s="35"/>
      <c r="AG138" s="128" t="s">
        <v>1060</v>
      </c>
    </row>
    <row r="139" spans="1:33" ht="25.5" x14ac:dyDescent="0.25">
      <c r="A139" s="35" t="s">
        <v>973</v>
      </c>
      <c r="B139" s="35" t="s">
        <v>784</v>
      </c>
      <c r="C139" s="35" t="s">
        <v>1104</v>
      </c>
      <c r="D139" s="35" t="s">
        <v>1105</v>
      </c>
      <c r="E139" s="35" t="s">
        <v>27</v>
      </c>
      <c r="F139" s="35" t="s">
        <v>1106</v>
      </c>
      <c r="G139" s="35" t="s">
        <v>1107</v>
      </c>
      <c r="H139" s="35" t="s">
        <v>1108</v>
      </c>
      <c r="I139" s="35">
        <v>2</v>
      </c>
      <c r="J139" s="35">
        <v>2</v>
      </c>
      <c r="K139" s="35" t="s">
        <v>64</v>
      </c>
      <c r="L139" s="35">
        <v>0.56000000000000005</v>
      </c>
      <c r="M139" s="35" t="s">
        <v>45</v>
      </c>
      <c r="N139" s="35" t="s">
        <v>45</v>
      </c>
      <c r="O139" s="35" t="s">
        <v>1100</v>
      </c>
      <c r="P139" s="35" t="s">
        <v>688</v>
      </c>
      <c r="Q139" s="35" t="s">
        <v>84</v>
      </c>
      <c r="R139" s="35" t="s">
        <v>79</v>
      </c>
      <c r="S139" s="35" t="s">
        <v>148</v>
      </c>
      <c r="T139" s="35" t="s">
        <v>1101</v>
      </c>
      <c r="U139" s="35" t="s">
        <v>1102</v>
      </c>
      <c r="V139" s="35" t="s">
        <v>45</v>
      </c>
      <c r="W139" s="40" t="s">
        <v>46</v>
      </c>
      <c r="X139" s="35" t="s">
        <v>45</v>
      </c>
      <c r="Y139" s="40" t="s">
        <v>46</v>
      </c>
      <c r="Z139" s="35" t="s">
        <v>46</v>
      </c>
      <c r="AA139" s="35" t="s">
        <v>68</v>
      </c>
      <c r="AB139" s="35" t="s">
        <v>67</v>
      </c>
      <c r="AC139" s="35" t="s">
        <v>67</v>
      </c>
      <c r="AD139" s="35" t="s">
        <v>45</v>
      </c>
      <c r="AE139" s="35" t="s">
        <v>980</v>
      </c>
      <c r="AF139" s="35"/>
      <c r="AG139" s="128" t="s">
        <v>1103</v>
      </c>
    </row>
    <row r="140" spans="1:33" ht="25.5" x14ac:dyDescent="0.25">
      <c r="A140" s="35" t="s">
        <v>973</v>
      </c>
      <c r="B140" s="35" t="s">
        <v>784</v>
      </c>
      <c r="C140" s="35" t="s">
        <v>1109</v>
      </c>
      <c r="D140" s="35" t="s">
        <v>252</v>
      </c>
      <c r="E140" s="35" t="s">
        <v>1110</v>
      </c>
      <c r="F140" s="35" t="s">
        <v>1111</v>
      </c>
      <c r="G140" s="35" t="s">
        <v>1107</v>
      </c>
      <c r="H140" s="35" t="s">
        <v>1112</v>
      </c>
      <c r="I140" s="35">
        <v>2</v>
      </c>
      <c r="J140" s="35"/>
      <c r="K140" s="35" t="s">
        <v>64</v>
      </c>
      <c r="L140" s="35">
        <v>0.48</v>
      </c>
      <c r="M140" s="35" t="s">
        <v>45</v>
      </c>
      <c r="N140" s="35" t="s">
        <v>45</v>
      </c>
      <c r="O140" s="35" t="s">
        <v>1100</v>
      </c>
      <c r="P140" s="35" t="s">
        <v>688</v>
      </c>
      <c r="Q140" s="35" t="s">
        <v>84</v>
      </c>
      <c r="R140" s="35" t="s">
        <v>79</v>
      </c>
      <c r="S140" s="35" t="s">
        <v>148</v>
      </c>
      <c r="T140" s="35" t="s">
        <v>1101</v>
      </c>
      <c r="U140" s="35" t="s">
        <v>1102</v>
      </c>
      <c r="V140" s="35" t="s">
        <v>45</v>
      </c>
      <c r="W140" s="40" t="s">
        <v>46</v>
      </c>
      <c r="X140" s="35" t="s">
        <v>45</v>
      </c>
      <c r="Y140" s="40" t="s">
        <v>46</v>
      </c>
      <c r="Z140" s="35" t="s">
        <v>46</v>
      </c>
      <c r="AA140" s="35" t="s">
        <v>68</v>
      </c>
      <c r="AB140" s="35" t="s">
        <v>67</v>
      </c>
      <c r="AC140" s="35" t="s">
        <v>67</v>
      </c>
      <c r="AD140" s="35" t="s">
        <v>45</v>
      </c>
      <c r="AE140" s="35" t="s">
        <v>980</v>
      </c>
      <c r="AF140" s="35"/>
      <c r="AG140" s="128" t="s">
        <v>1103</v>
      </c>
    </row>
    <row r="141" spans="1:33" ht="25.5" x14ac:dyDescent="0.25">
      <c r="A141" s="35" t="s">
        <v>973</v>
      </c>
      <c r="B141" s="35" t="s">
        <v>784</v>
      </c>
      <c r="C141" s="35" t="s">
        <v>1113</v>
      </c>
      <c r="D141" s="35" t="s">
        <v>179</v>
      </c>
      <c r="E141" s="35" t="s">
        <v>1114</v>
      </c>
      <c r="F141" s="35" t="s">
        <v>1115</v>
      </c>
      <c r="G141" s="35" t="s">
        <v>1107</v>
      </c>
      <c r="H141" s="35" t="s">
        <v>1116</v>
      </c>
      <c r="I141" s="35">
        <v>2</v>
      </c>
      <c r="J141" s="35"/>
      <c r="K141" s="35" t="s">
        <v>64</v>
      </c>
      <c r="L141" s="35">
        <v>0.48</v>
      </c>
      <c r="M141" s="35" t="s">
        <v>45</v>
      </c>
      <c r="N141" s="35" t="s">
        <v>45</v>
      </c>
      <c r="O141" s="35" t="s">
        <v>1100</v>
      </c>
      <c r="P141" s="35" t="s">
        <v>688</v>
      </c>
      <c r="Q141" s="35" t="s">
        <v>84</v>
      </c>
      <c r="R141" s="35" t="s">
        <v>79</v>
      </c>
      <c r="S141" s="35" t="s">
        <v>148</v>
      </c>
      <c r="T141" s="35" t="s">
        <v>1101</v>
      </c>
      <c r="U141" s="35" t="s">
        <v>1102</v>
      </c>
      <c r="V141" s="35" t="s">
        <v>45</v>
      </c>
      <c r="W141" s="40" t="s">
        <v>46</v>
      </c>
      <c r="X141" s="35" t="s">
        <v>45</v>
      </c>
      <c r="Y141" s="40" t="s">
        <v>46</v>
      </c>
      <c r="Z141" s="35" t="s">
        <v>46</v>
      </c>
      <c r="AA141" s="35" t="s">
        <v>68</v>
      </c>
      <c r="AB141" s="35" t="s">
        <v>67</v>
      </c>
      <c r="AC141" s="35" t="s">
        <v>67</v>
      </c>
      <c r="AD141" s="35" t="s">
        <v>45</v>
      </c>
      <c r="AE141" s="35" t="s">
        <v>980</v>
      </c>
      <c r="AF141" s="35"/>
      <c r="AG141" s="128" t="s">
        <v>1103</v>
      </c>
    </row>
    <row r="142" spans="1:33" ht="25.5" x14ac:dyDescent="0.25">
      <c r="A142" s="35" t="s">
        <v>973</v>
      </c>
      <c r="B142" s="35" t="s">
        <v>784</v>
      </c>
      <c r="C142" s="35" t="s">
        <v>1117</v>
      </c>
      <c r="D142" s="35" t="s">
        <v>193</v>
      </c>
      <c r="E142" s="35" t="s">
        <v>1118</v>
      </c>
      <c r="F142" s="35" t="s">
        <v>1119</v>
      </c>
      <c r="G142" s="35" t="s">
        <v>1107</v>
      </c>
      <c r="H142" s="35" t="s">
        <v>1120</v>
      </c>
      <c r="I142" s="35">
        <v>2</v>
      </c>
      <c r="J142" s="35">
        <v>2</v>
      </c>
      <c r="K142" s="35" t="s">
        <v>64</v>
      </c>
      <c r="L142" s="35">
        <v>0.56000000000000005</v>
      </c>
      <c r="M142" s="35" t="s">
        <v>45</v>
      </c>
      <c r="N142" s="35" t="s">
        <v>45</v>
      </c>
      <c r="O142" s="35" t="s">
        <v>1100</v>
      </c>
      <c r="P142" s="35" t="s">
        <v>688</v>
      </c>
      <c r="Q142" s="35" t="s">
        <v>84</v>
      </c>
      <c r="R142" s="35" t="s">
        <v>79</v>
      </c>
      <c r="S142" s="35" t="s">
        <v>148</v>
      </c>
      <c r="T142" s="35" t="s">
        <v>1101</v>
      </c>
      <c r="U142" s="35" t="s">
        <v>1102</v>
      </c>
      <c r="V142" s="35" t="s">
        <v>45</v>
      </c>
      <c r="W142" s="40" t="s">
        <v>46</v>
      </c>
      <c r="X142" s="35" t="s">
        <v>45</v>
      </c>
      <c r="Y142" s="40" t="s">
        <v>46</v>
      </c>
      <c r="Z142" s="35" t="s">
        <v>46</v>
      </c>
      <c r="AA142" s="35" t="s">
        <v>68</v>
      </c>
      <c r="AB142" s="35" t="s">
        <v>67</v>
      </c>
      <c r="AC142" s="35" t="s">
        <v>67</v>
      </c>
      <c r="AD142" s="35" t="s">
        <v>45</v>
      </c>
      <c r="AE142" s="35" t="s">
        <v>980</v>
      </c>
      <c r="AF142" s="35"/>
      <c r="AG142" s="128" t="s">
        <v>1103</v>
      </c>
    </row>
    <row r="143" spans="1:33" ht="25.5" x14ac:dyDescent="0.25">
      <c r="A143" s="35" t="s">
        <v>973</v>
      </c>
      <c r="B143" s="35" t="s">
        <v>784</v>
      </c>
      <c r="C143" s="35" t="s">
        <v>1121</v>
      </c>
      <c r="D143" s="35" t="s">
        <v>193</v>
      </c>
      <c r="E143" s="35" t="s">
        <v>1122</v>
      </c>
      <c r="F143" s="35" t="s">
        <v>1123</v>
      </c>
      <c r="G143" s="35" t="s">
        <v>1107</v>
      </c>
      <c r="H143" s="35" t="s">
        <v>1124</v>
      </c>
      <c r="I143" s="35">
        <v>3</v>
      </c>
      <c r="J143" s="35">
        <v>3</v>
      </c>
      <c r="K143" s="35" t="s">
        <v>64</v>
      </c>
      <c r="L143" s="35">
        <v>0.64</v>
      </c>
      <c r="M143" s="35" t="s">
        <v>45</v>
      </c>
      <c r="N143" s="35" t="s">
        <v>45</v>
      </c>
      <c r="O143" s="35" t="s">
        <v>1100</v>
      </c>
      <c r="P143" s="35" t="s">
        <v>688</v>
      </c>
      <c r="Q143" s="35" t="s">
        <v>84</v>
      </c>
      <c r="R143" s="35" t="s">
        <v>79</v>
      </c>
      <c r="S143" s="35" t="s">
        <v>148</v>
      </c>
      <c r="T143" s="35" t="s">
        <v>1101</v>
      </c>
      <c r="U143" s="35" t="s">
        <v>1102</v>
      </c>
      <c r="V143" s="35" t="s">
        <v>45</v>
      </c>
      <c r="W143" s="40" t="s">
        <v>46</v>
      </c>
      <c r="X143" s="35" t="s">
        <v>45</v>
      </c>
      <c r="Y143" s="40" t="s">
        <v>46</v>
      </c>
      <c r="Z143" s="35" t="s">
        <v>46</v>
      </c>
      <c r="AA143" s="35" t="s">
        <v>68</v>
      </c>
      <c r="AB143" s="35" t="s">
        <v>67</v>
      </c>
      <c r="AC143" s="35" t="s">
        <v>67</v>
      </c>
      <c r="AD143" s="35" t="s">
        <v>45</v>
      </c>
      <c r="AE143" s="35" t="s">
        <v>980</v>
      </c>
      <c r="AF143" s="35"/>
      <c r="AG143" s="128" t="s">
        <v>1103</v>
      </c>
    </row>
    <row r="144" spans="1:33" ht="25.5" x14ac:dyDescent="0.25">
      <c r="A144" s="35" t="s">
        <v>973</v>
      </c>
      <c r="B144" s="35" t="s">
        <v>784</v>
      </c>
      <c r="C144" s="35" t="s">
        <v>1125</v>
      </c>
      <c r="D144" s="35" t="s">
        <v>193</v>
      </c>
      <c r="E144" s="35" t="s">
        <v>365</v>
      </c>
      <c r="F144" s="35" t="s">
        <v>1126</v>
      </c>
      <c r="G144" s="35" t="s">
        <v>1107</v>
      </c>
      <c r="H144" s="35" t="s">
        <v>1127</v>
      </c>
      <c r="I144" s="35">
        <v>3</v>
      </c>
      <c r="J144" s="35">
        <v>4</v>
      </c>
      <c r="K144" s="35" t="s">
        <v>64</v>
      </c>
      <c r="L144" s="35">
        <v>0.68</v>
      </c>
      <c r="M144" s="35" t="s">
        <v>45</v>
      </c>
      <c r="N144" s="35" t="s">
        <v>45</v>
      </c>
      <c r="O144" s="35" t="s">
        <v>1100</v>
      </c>
      <c r="P144" s="35" t="s">
        <v>688</v>
      </c>
      <c r="Q144" s="35" t="s">
        <v>84</v>
      </c>
      <c r="R144" s="35" t="s">
        <v>79</v>
      </c>
      <c r="S144" s="35" t="s">
        <v>148</v>
      </c>
      <c r="T144" s="35" t="s">
        <v>1101</v>
      </c>
      <c r="U144" s="35" t="s">
        <v>1102</v>
      </c>
      <c r="V144" s="35" t="s">
        <v>45</v>
      </c>
      <c r="W144" s="40" t="s">
        <v>46</v>
      </c>
      <c r="X144" s="35" t="s">
        <v>45</v>
      </c>
      <c r="Y144" s="40" t="s">
        <v>46</v>
      </c>
      <c r="Z144" s="35" t="s">
        <v>46</v>
      </c>
      <c r="AA144" s="35" t="s">
        <v>68</v>
      </c>
      <c r="AB144" s="35" t="s">
        <v>67</v>
      </c>
      <c r="AC144" s="35" t="s">
        <v>67</v>
      </c>
      <c r="AD144" s="35" t="s">
        <v>45</v>
      </c>
      <c r="AE144" s="35" t="s">
        <v>980</v>
      </c>
      <c r="AF144" s="35"/>
      <c r="AG144" s="128" t="s">
        <v>1103</v>
      </c>
    </row>
    <row r="145" spans="1:33" ht="25.5" x14ac:dyDescent="0.25">
      <c r="A145" s="35" t="s">
        <v>973</v>
      </c>
      <c r="B145" s="35" t="s">
        <v>784</v>
      </c>
      <c r="C145" s="35" t="s">
        <v>1128</v>
      </c>
      <c r="D145" s="35" t="s">
        <v>332</v>
      </c>
      <c r="E145" s="35" t="s">
        <v>1008</v>
      </c>
      <c r="F145" s="35" t="s">
        <v>1129</v>
      </c>
      <c r="G145" s="35" t="s">
        <v>1107</v>
      </c>
      <c r="H145" s="35" t="s">
        <v>1130</v>
      </c>
      <c r="I145" s="35">
        <v>2</v>
      </c>
      <c r="J145" s="35">
        <v>2</v>
      </c>
      <c r="K145" s="35" t="s">
        <v>77</v>
      </c>
      <c r="L145" s="35">
        <v>0.36</v>
      </c>
      <c r="M145" s="35" t="s">
        <v>45</v>
      </c>
      <c r="N145" s="35" t="s">
        <v>45</v>
      </c>
      <c r="O145" s="35" t="s">
        <v>1100</v>
      </c>
      <c r="P145" s="35" t="s">
        <v>688</v>
      </c>
      <c r="Q145" s="35" t="s">
        <v>84</v>
      </c>
      <c r="R145" s="35" t="s">
        <v>79</v>
      </c>
      <c r="S145" s="35" t="s">
        <v>148</v>
      </c>
      <c r="T145" s="35" t="s">
        <v>1101</v>
      </c>
      <c r="U145" s="35" t="s">
        <v>1102</v>
      </c>
      <c r="V145" s="35" t="s">
        <v>45</v>
      </c>
      <c r="W145" s="40" t="s">
        <v>46</v>
      </c>
      <c r="X145" s="35" t="s">
        <v>45</v>
      </c>
      <c r="Y145" s="40" t="s">
        <v>46</v>
      </c>
      <c r="Z145" s="35" t="s">
        <v>46</v>
      </c>
      <c r="AA145" s="35" t="s">
        <v>68</v>
      </c>
      <c r="AB145" s="35" t="s">
        <v>67</v>
      </c>
      <c r="AC145" s="35" t="s">
        <v>67</v>
      </c>
      <c r="AD145" s="35" t="s">
        <v>45</v>
      </c>
      <c r="AE145" s="35" t="s">
        <v>980</v>
      </c>
      <c r="AF145" s="35"/>
      <c r="AG145" s="128" t="s">
        <v>1103</v>
      </c>
    </row>
    <row r="146" spans="1:33" ht="25.5" x14ac:dyDescent="0.25">
      <c r="A146" s="35" t="s">
        <v>973</v>
      </c>
      <c r="B146" s="35" t="s">
        <v>164</v>
      </c>
      <c r="C146" s="35" t="s">
        <v>1131</v>
      </c>
      <c r="D146" s="35" t="s">
        <v>193</v>
      </c>
      <c r="E146" s="35" t="s">
        <v>340</v>
      </c>
      <c r="F146" s="35" t="s">
        <v>1132</v>
      </c>
      <c r="G146" s="35" t="s">
        <v>1107</v>
      </c>
      <c r="H146" s="35" t="s">
        <v>1133</v>
      </c>
      <c r="I146" s="35">
        <v>5</v>
      </c>
      <c r="J146" s="35">
        <v>5</v>
      </c>
      <c r="K146" s="35" t="s">
        <v>77</v>
      </c>
      <c r="L146" s="35">
        <v>0.6</v>
      </c>
      <c r="M146" s="35" t="s">
        <v>45</v>
      </c>
      <c r="N146" s="35" t="s">
        <v>45</v>
      </c>
      <c r="O146" s="35" t="s">
        <v>1100</v>
      </c>
      <c r="P146" s="35" t="s">
        <v>688</v>
      </c>
      <c r="Q146" s="35" t="s">
        <v>84</v>
      </c>
      <c r="R146" s="35" t="s">
        <v>79</v>
      </c>
      <c r="S146" s="35" t="s">
        <v>148</v>
      </c>
      <c r="T146" s="35" t="s">
        <v>1101</v>
      </c>
      <c r="U146" s="35" t="s">
        <v>1102</v>
      </c>
      <c r="V146" s="35" t="s">
        <v>45</v>
      </c>
      <c r="W146" s="40" t="s">
        <v>46</v>
      </c>
      <c r="X146" s="35" t="s">
        <v>45</v>
      </c>
      <c r="Y146" s="40" t="s">
        <v>46</v>
      </c>
      <c r="Z146" s="35" t="s">
        <v>46</v>
      </c>
      <c r="AA146" s="35" t="s">
        <v>68</v>
      </c>
      <c r="AB146" s="35" t="s">
        <v>67</v>
      </c>
      <c r="AC146" s="35" t="s">
        <v>67</v>
      </c>
      <c r="AD146" s="35" t="s">
        <v>45</v>
      </c>
      <c r="AE146" s="35" t="s">
        <v>980</v>
      </c>
      <c r="AF146" s="35"/>
      <c r="AG146" s="128" t="s">
        <v>1103</v>
      </c>
    </row>
    <row r="147" spans="1:33" ht="25.5" x14ac:dyDescent="0.25">
      <c r="A147" s="35" t="s">
        <v>973</v>
      </c>
      <c r="B147" s="35" t="s">
        <v>164</v>
      </c>
      <c r="C147" s="35" t="s">
        <v>1134</v>
      </c>
      <c r="D147" s="35" t="s">
        <v>193</v>
      </c>
      <c r="E147" s="35" t="s">
        <v>1135</v>
      </c>
      <c r="F147" s="35" t="s">
        <v>1136</v>
      </c>
      <c r="G147" s="35" t="s">
        <v>1107</v>
      </c>
      <c r="H147" s="35" t="s">
        <v>1137</v>
      </c>
      <c r="I147" s="35">
        <v>5</v>
      </c>
      <c r="J147" s="35">
        <v>5</v>
      </c>
      <c r="K147" s="35" t="s">
        <v>77</v>
      </c>
      <c r="L147" s="35">
        <v>0.6</v>
      </c>
      <c r="M147" s="35" t="s">
        <v>45</v>
      </c>
      <c r="N147" s="35" t="s">
        <v>45</v>
      </c>
      <c r="O147" s="35" t="s">
        <v>1100</v>
      </c>
      <c r="P147" s="35" t="s">
        <v>688</v>
      </c>
      <c r="Q147" s="35" t="s">
        <v>84</v>
      </c>
      <c r="R147" s="35" t="s">
        <v>79</v>
      </c>
      <c r="S147" s="35" t="s">
        <v>148</v>
      </c>
      <c r="T147" s="35" t="s">
        <v>1101</v>
      </c>
      <c r="U147" s="35" t="s">
        <v>1102</v>
      </c>
      <c r="V147" s="35" t="s">
        <v>45</v>
      </c>
      <c r="W147" s="40" t="s">
        <v>46</v>
      </c>
      <c r="X147" s="35" t="s">
        <v>45</v>
      </c>
      <c r="Y147" s="40" t="s">
        <v>46</v>
      </c>
      <c r="Z147" s="35" t="s">
        <v>46</v>
      </c>
      <c r="AA147" s="35" t="s">
        <v>68</v>
      </c>
      <c r="AB147" s="35" t="s">
        <v>67</v>
      </c>
      <c r="AC147" s="35" t="s">
        <v>67</v>
      </c>
      <c r="AD147" s="35" t="s">
        <v>45</v>
      </c>
      <c r="AE147" s="35" t="s">
        <v>980</v>
      </c>
      <c r="AF147" s="35"/>
      <c r="AG147" s="128" t="s">
        <v>1103</v>
      </c>
    </row>
    <row r="148" spans="1:33" ht="180" x14ac:dyDescent="0.25">
      <c r="A148" s="35" t="s">
        <v>973</v>
      </c>
      <c r="B148" s="35" t="s">
        <v>784</v>
      </c>
      <c r="C148" s="35" t="s">
        <v>1291</v>
      </c>
      <c r="D148" s="35" t="s">
        <v>1292</v>
      </c>
      <c r="E148" s="35" t="s">
        <v>27</v>
      </c>
      <c r="F148" s="35" t="s">
        <v>1293</v>
      </c>
      <c r="G148" s="35" t="s">
        <v>1294</v>
      </c>
      <c r="H148" s="35" t="s">
        <v>1295</v>
      </c>
      <c r="I148" s="35">
        <v>1</v>
      </c>
      <c r="J148" s="35">
        <v>1</v>
      </c>
      <c r="K148" s="35" t="s">
        <v>64</v>
      </c>
      <c r="L148" s="35">
        <v>0.48</v>
      </c>
      <c r="M148" s="35" t="s">
        <v>45</v>
      </c>
      <c r="N148" s="35" t="s">
        <v>53</v>
      </c>
      <c r="O148" s="35" t="s">
        <v>1285</v>
      </c>
      <c r="P148" s="35" t="s">
        <v>1018</v>
      </c>
      <c r="Q148" s="35" t="s">
        <v>81</v>
      </c>
      <c r="R148" s="35" t="s">
        <v>82</v>
      </c>
      <c r="S148" s="35" t="s">
        <v>1286</v>
      </c>
      <c r="T148" s="35" t="s">
        <v>1287</v>
      </c>
      <c r="U148" s="35" t="s">
        <v>1288</v>
      </c>
      <c r="V148" s="35" t="s">
        <v>53</v>
      </c>
      <c r="W148" s="35" t="s">
        <v>552</v>
      </c>
      <c r="X148" s="35" t="s">
        <v>53</v>
      </c>
      <c r="Y148" s="35" t="s">
        <v>552</v>
      </c>
      <c r="Z148" s="35" t="s">
        <v>46</v>
      </c>
      <c r="AA148" s="35" t="s">
        <v>67</v>
      </c>
      <c r="AB148" s="35" t="s">
        <v>67</v>
      </c>
      <c r="AC148" s="35" t="s">
        <v>67</v>
      </c>
      <c r="AD148" s="35" t="s">
        <v>222</v>
      </c>
      <c r="AE148" s="35" t="s">
        <v>1289</v>
      </c>
      <c r="AF148" s="35"/>
      <c r="AG148" s="128" t="s">
        <v>1290</v>
      </c>
    </row>
    <row r="149" spans="1:33" ht="180" x14ac:dyDescent="0.25">
      <c r="A149" s="35" t="s">
        <v>973</v>
      </c>
      <c r="B149" s="35" t="s">
        <v>784</v>
      </c>
      <c r="C149" s="35" t="s">
        <v>1296</v>
      </c>
      <c r="D149" s="35" t="s">
        <v>252</v>
      </c>
      <c r="E149" s="35" t="s">
        <v>321</v>
      </c>
      <c r="F149" s="35" t="s">
        <v>1297</v>
      </c>
      <c r="G149" s="35" t="s">
        <v>1294</v>
      </c>
      <c r="H149" s="35" t="s">
        <v>1298</v>
      </c>
      <c r="I149" s="35">
        <v>3</v>
      </c>
      <c r="J149" s="35">
        <v>3</v>
      </c>
      <c r="K149" s="35" t="s">
        <v>64</v>
      </c>
      <c r="L149" s="35">
        <v>0.64</v>
      </c>
      <c r="M149" s="35" t="s">
        <v>45</v>
      </c>
      <c r="N149" s="35" t="s">
        <v>53</v>
      </c>
      <c r="O149" s="35" t="s">
        <v>1285</v>
      </c>
      <c r="P149" s="35" t="s">
        <v>1018</v>
      </c>
      <c r="Q149" s="35" t="s">
        <v>81</v>
      </c>
      <c r="R149" s="35" t="s">
        <v>82</v>
      </c>
      <c r="S149" s="35" t="s">
        <v>1286</v>
      </c>
      <c r="T149" s="35" t="s">
        <v>1287</v>
      </c>
      <c r="U149" s="35" t="s">
        <v>1288</v>
      </c>
      <c r="V149" s="35" t="s">
        <v>53</v>
      </c>
      <c r="W149" s="35" t="s">
        <v>552</v>
      </c>
      <c r="X149" s="35" t="s">
        <v>53</v>
      </c>
      <c r="Y149" s="35" t="s">
        <v>552</v>
      </c>
      <c r="Z149" s="35" t="s">
        <v>46</v>
      </c>
      <c r="AA149" s="35" t="s">
        <v>67</v>
      </c>
      <c r="AB149" s="35" t="s">
        <v>67</v>
      </c>
      <c r="AC149" s="35" t="s">
        <v>67</v>
      </c>
      <c r="AD149" s="35" t="s">
        <v>222</v>
      </c>
      <c r="AE149" s="35" t="s">
        <v>1289</v>
      </c>
      <c r="AF149" s="35"/>
      <c r="AG149" s="128" t="s">
        <v>1290</v>
      </c>
    </row>
    <row r="150" spans="1:33" ht="180" x14ac:dyDescent="0.25">
      <c r="A150" s="35" t="s">
        <v>973</v>
      </c>
      <c r="B150" s="35" t="s">
        <v>784</v>
      </c>
      <c r="C150" s="35" t="s">
        <v>1299</v>
      </c>
      <c r="D150" s="35" t="s">
        <v>179</v>
      </c>
      <c r="E150" s="35" t="s">
        <v>1300</v>
      </c>
      <c r="F150" s="35" t="s">
        <v>1301</v>
      </c>
      <c r="G150" s="35" t="s">
        <v>1294</v>
      </c>
      <c r="H150" s="35" t="s">
        <v>1302</v>
      </c>
      <c r="I150" s="35">
        <v>3</v>
      </c>
      <c r="J150" s="35">
        <v>3</v>
      </c>
      <c r="K150" s="35" t="s">
        <v>64</v>
      </c>
      <c r="L150" s="35">
        <v>0.64</v>
      </c>
      <c r="M150" s="35" t="s">
        <v>45</v>
      </c>
      <c r="N150" s="35" t="s">
        <v>53</v>
      </c>
      <c r="O150" s="35" t="s">
        <v>1285</v>
      </c>
      <c r="P150" s="35" t="s">
        <v>1018</v>
      </c>
      <c r="Q150" s="35" t="s">
        <v>81</v>
      </c>
      <c r="R150" s="35" t="s">
        <v>82</v>
      </c>
      <c r="S150" s="35" t="s">
        <v>1286</v>
      </c>
      <c r="T150" s="35" t="s">
        <v>1287</v>
      </c>
      <c r="U150" s="35" t="s">
        <v>1288</v>
      </c>
      <c r="V150" s="35" t="s">
        <v>53</v>
      </c>
      <c r="W150" s="35" t="s">
        <v>552</v>
      </c>
      <c r="X150" s="35" t="s">
        <v>53</v>
      </c>
      <c r="Y150" s="35" t="s">
        <v>552</v>
      </c>
      <c r="Z150" s="35" t="s">
        <v>46</v>
      </c>
      <c r="AA150" s="35" t="s">
        <v>67</v>
      </c>
      <c r="AB150" s="35" t="s">
        <v>67</v>
      </c>
      <c r="AC150" s="35" t="s">
        <v>67</v>
      </c>
      <c r="AD150" s="35" t="s">
        <v>222</v>
      </c>
      <c r="AE150" s="35" t="s">
        <v>1289</v>
      </c>
      <c r="AF150" s="35"/>
      <c r="AG150" s="128" t="s">
        <v>1290</v>
      </c>
    </row>
    <row r="151" spans="1:33" ht="180" x14ac:dyDescent="0.25">
      <c r="A151" s="35" t="s">
        <v>973</v>
      </c>
      <c r="B151" s="35" t="s">
        <v>784</v>
      </c>
      <c r="C151" s="35" t="s">
        <v>1303</v>
      </c>
      <c r="D151" s="35" t="s">
        <v>1292</v>
      </c>
      <c r="E151" s="35" t="s">
        <v>1304</v>
      </c>
      <c r="F151" s="35" t="s">
        <v>1305</v>
      </c>
      <c r="G151" s="35" t="s">
        <v>1294</v>
      </c>
      <c r="H151" s="35" t="s">
        <v>1306</v>
      </c>
      <c r="I151" s="35">
        <v>3</v>
      </c>
      <c r="J151" s="35">
        <v>3</v>
      </c>
      <c r="K151" s="35" t="s">
        <v>77</v>
      </c>
      <c r="L151" s="35">
        <v>0.44</v>
      </c>
      <c r="M151" s="35" t="s">
        <v>45</v>
      </c>
      <c r="N151" s="35" t="s">
        <v>53</v>
      </c>
      <c r="O151" s="35" t="s">
        <v>1285</v>
      </c>
      <c r="P151" s="35" t="s">
        <v>1018</v>
      </c>
      <c r="Q151" s="35" t="s">
        <v>81</v>
      </c>
      <c r="R151" s="35" t="s">
        <v>82</v>
      </c>
      <c r="S151" s="35" t="s">
        <v>1286</v>
      </c>
      <c r="T151" s="35" t="s">
        <v>1287</v>
      </c>
      <c r="U151" s="35" t="s">
        <v>1288</v>
      </c>
      <c r="V151" s="35" t="s">
        <v>53</v>
      </c>
      <c r="W151" s="35" t="s">
        <v>552</v>
      </c>
      <c r="X151" s="35" t="s">
        <v>53</v>
      </c>
      <c r="Y151" s="35" t="s">
        <v>552</v>
      </c>
      <c r="Z151" s="35" t="s">
        <v>46</v>
      </c>
      <c r="AA151" s="35" t="s">
        <v>67</v>
      </c>
      <c r="AB151" s="35" t="s">
        <v>67</v>
      </c>
      <c r="AC151" s="35" t="s">
        <v>67</v>
      </c>
      <c r="AD151" s="35" t="s">
        <v>222</v>
      </c>
      <c r="AE151" s="35" t="s">
        <v>1289</v>
      </c>
      <c r="AF151" s="35"/>
      <c r="AG151" s="128" t="s">
        <v>1290</v>
      </c>
    </row>
    <row r="152" spans="1:33" ht="180" x14ac:dyDescent="0.25">
      <c r="A152" s="35" t="s">
        <v>973</v>
      </c>
      <c r="B152" s="35" t="s">
        <v>784</v>
      </c>
      <c r="C152" s="35" t="s">
        <v>1307</v>
      </c>
      <c r="D152" s="35" t="s">
        <v>193</v>
      </c>
      <c r="E152" s="35" t="s">
        <v>1308</v>
      </c>
      <c r="F152" s="35" t="s">
        <v>1309</v>
      </c>
      <c r="G152" s="35" t="s">
        <v>1294</v>
      </c>
      <c r="H152" s="35" t="s">
        <v>1310</v>
      </c>
      <c r="I152" s="35">
        <v>3</v>
      </c>
      <c r="J152" s="35">
        <v>3</v>
      </c>
      <c r="K152" s="35" t="s">
        <v>64</v>
      </c>
      <c r="L152" s="35">
        <v>0.64</v>
      </c>
      <c r="M152" s="35" t="s">
        <v>45</v>
      </c>
      <c r="N152" s="35" t="s">
        <v>53</v>
      </c>
      <c r="O152" s="35" t="s">
        <v>1285</v>
      </c>
      <c r="P152" s="35" t="s">
        <v>1018</v>
      </c>
      <c r="Q152" s="35" t="s">
        <v>81</v>
      </c>
      <c r="R152" s="35" t="s">
        <v>82</v>
      </c>
      <c r="S152" s="35" t="s">
        <v>1286</v>
      </c>
      <c r="T152" s="35" t="s">
        <v>1287</v>
      </c>
      <c r="U152" s="35" t="s">
        <v>1288</v>
      </c>
      <c r="V152" s="35" t="s">
        <v>53</v>
      </c>
      <c r="W152" s="35" t="s">
        <v>552</v>
      </c>
      <c r="X152" s="35" t="s">
        <v>53</v>
      </c>
      <c r="Y152" s="35" t="s">
        <v>552</v>
      </c>
      <c r="Z152" s="35" t="s">
        <v>46</v>
      </c>
      <c r="AA152" s="35" t="s">
        <v>67</v>
      </c>
      <c r="AB152" s="35" t="s">
        <v>67</v>
      </c>
      <c r="AC152" s="35" t="s">
        <v>67</v>
      </c>
      <c r="AD152" s="35" t="s">
        <v>222</v>
      </c>
      <c r="AE152" s="35" t="s">
        <v>1289</v>
      </c>
      <c r="AF152" s="35"/>
      <c r="AG152" s="128" t="s">
        <v>1290</v>
      </c>
    </row>
    <row r="153" spans="1:33" ht="180" x14ac:dyDescent="0.25">
      <c r="A153" s="35" t="s">
        <v>973</v>
      </c>
      <c r="B153" s="35" t="s">
        <v>784</v>
      </c>
      <c r="C153" s="35" t="s">
        <v>1311</v>
      </c>
      <c r="D153" s="35" t="s">
        <v>193</v>
      </c>
      <c r="E153" s="35" t="s">
        <v>1312</v>
      </c>
      <c r="F153" s="35" t="s">
        <v>1313</v>
      </c>
      <c r="G153" s="35" t="s">
        <v>1314</v>
      </c>
      <c r="H153" s="35" t="s">
        <v>1315</v>
      </c>
      <c r="I153" s="35">
        <v>5</v>
      </c>
      <c r="J153" s="35">
        <v>5</v>
      </c>
      <c r="K153" s="35" t="s">
        <v>77</v>
      </c>
      <c r="L153" s="35">
        <v>0.6</v>
      </c>
      <c r="M153" s="35" t="s">
        <v>45</v>
      </c>
      <c r="N153" s="35" t="s">
        <v>53</v>
      </c>
      <c r="O153" s="35" t="s">
        <v>1285</v>
      </c>
      <c r="P153" s="35" t="s">
        <v>1018</v>
      </c>
      <c r="Q153" s="35" t="s">
        <v>81</v>
      </c>
      <c r="R153" s="35" t="s">
        <v>82</v>
      </c>
      <c r="S153" s="35" t="s">
        <v>1286</v>
      </c>
      <c r="T153" s="35" t="s">
        <v>1287</v>
      </c>
      <c r="U153" s="35" t="s">
        <v>1288</v>
      </c>
      <c r="V153" s="35" t="s">
        <v>53</v>
      </c>
      <c r="W153" s="35" t="s">
        <v>552</v>
      </c>
      <c r="X153" s="35" t="s">
        <v>53</v>
      </c>
      <c r="Y153" s="35" t="s">
        <v>552</v>
      </c>
      <c r="Z153" s="35" t="s">
        <v>46</v>
      </c>
      <c r="AA153" s="35" t="s">
        <v>67</v>
      </c>
      <c r="AB153" s="35" t="s">
        <v>67</v>
      </c>
      <c r="AC153" s="35" t="s">
        <v>67</v>
      </c>
      <c r="AD153" s="35" t="s">
        <v>222</v>
      </c>
      <c r="AE153" s="35" t="s">
        <v>1289</v>
      </c>
      <c r="AF153" s="35"/>
      <c r="AG153" s="128" t="s">
        <v>1290</v>
      </c>
    </row>
    <row r="154" spans="1:33" ht="180" x14ac:dyDescent="0.25">
      <c r="A154" s="35" t="s">
        <v>973</v>
      </c>
      <c r="B154" s="35" t="s">
        <v>784</v>
      </c>
      <c r="C154" s="35" t="s">
        <v>1316</v>
      </c>
      <c r="D154" s="35" t="s">
        <v>193</v>
      </c>
      <c r="E154" s="35" t="s">
        <v>1317</v>
      </c>
      <c r="F154" s="35" t="s">
        <v>1318</v>
      </c>
      <c r="G154" s="35" t="s">
        <v>1294</v>
      </c>
      <c r="H154" s="35" t="s">
        <v>1319</v>
      </c>
      <c r="I154" s="35">
        <v>3</v>
      </c>
      <c r="J154" s="35">
        <v>3</v>
      </c>
      <c r="K154" s="35" t="s">
        <v>64</v>
      </c>
      <c r="L154" s="35">
        <v>0.64</v>
      </c>
      <c r="M154" s="35" t="s">
        <v>45</v>
      </c>
      <c r="N154" s="35" t="s">
        <v>53</v>
      </c>
      <c r="O154" s="35" t="s">
        <v>1285</v>
      </c>
      <c r="P154" s="35" t="s">
        <v>1018</v>
      </c>
      <c r="Q154" s="35" t="s">
        <v>81</v>
      </c>
      <c r="R154" s="35" t="s">
        <v>82</v>
      </c>
      <c r="S154" s="35" t="s">
        <v>1286</v>
      </c>
      <c r="T154" s="35" t="s">
        <v>1287</v>
      </c>
      <c r="U154" s="35" t="s">
        <v>1288</v>
      </c>
      <c r="V154" s="35" t="s">
        <v>53</v>
      </c>
      <c r="W154" s="35" t="s">
        <v>552</v>
      </c>
      <c r="X154" s="35" t="s">
        <v>53</v>
      </c>
      <c r="Y154" s="35" t="s">
        <v>552</v>
      </c>
      <c r="Z154" s="35" t="s">
        <v>46</v>
      </c>
      <c r="AA154" s="35" t="s">
        <v>67</v>
      </c>
      <c r="AB154" s="35" t="s">
        <v>67</v>
      </c>
      <c r="AC154" s="35" t="s">
        <v>67</v>
      </c>
      <c r="AD154" s="35" t="s">
        <v>222</v>
      </c>
      <c r="AE154" s="35" t="s">
        <v>1289</v>
      </c>
      <c r="AF154" s="35"/>
      <c r="AG154" s="128" t="s">
        <v>1290</v>
      </c>
    </row>
    <row r="155" spans="1:33" ht="180" x14ac:dyDescent="0.25">
      <c r="A155" s="35" t="s">
        <v>973</v>
      </c>
      <c r="B155" s="35" t="s">
        <v>784</v>
      </c>
      <c r="C155" s="35" t="s">
        <v>1320</v>
      </c>
      <c r="D155" s="35" t="s">
        <v>332</v>
      </c>
      <c r="E155" s="35" t="s">
        <v>1008</v>
      </c>
      <c r="F155" s="35" t="s">
        <v>1321</v>
      </c>
      <c r="G155" s="35" t="s">
        <v>1294</v>
      </c>
      <c r="H155" s="35" t="s">
        <v>1322</v>
      </c>
      <c r="I155" s="35">
        <v>3</v>
      </c>
      <c r="J155" s="35">
        <v>3</v>
      </c>
      <c r="K155" s="35" t="s">
        <v>77</v>
      </c>
      <c r="L155" s="35">
        <v>0.44</v>
      </c>
      <c r="M155" s="35" t="s">
        <v>45</v>
      </c>
      <c r="N155" s="35" t="s">
        <v>53</v>
      </c>
      <c r="O155" s="35" t="s">
        <v>1285</v>
      </c>
      <c r="P155" s="35" t="s">
        <v>1018</v>
      </c>
      <c r="Q155" s="35" t="s">
        <v>81</v>
      </c>
      <c r="R155" s="35" t="s">
        <v>82</v>
      </c>
      <c r="S155" s="35" t="s">
        <v>1286</v>
      </c>
      <c r="T155" s="35" t="s">
        <v>1287</v>
      </c>
      <c r="U155" s="35" t="s">
        <v>1288</v>
      </c>
      <c r="V155" s="35" t="s">
        <v>53</v>
      </c>
      <c r="W155" s="35" t="s">
        <v>552</v>
      </c>
      <c r="X155" s="35" t="s">
        <v>53</v>
      </c>
      <c r="Y155" s="35" t="s">
        <v>552</v>
      </c>
      <c r="Z155" s="35" t="s">
        <v>46</v>
      </c>
      <c r="AA155" s="35" t="s">
        <v>67</v>
      </c>
      <c r="AB155" s="35" t="s">
        <v>67</v>
      </c>
      <c r="AC155" s="35" t="s">
        <v>67</v>
      </c>
      <c r="AD155" s="35" t="s">
        <v>222</v>
      </c>
      <c r="AE155" s="35" t="s">
        <v>1289</v>
      </c>
      <c r="AF155" s="35"/>
      <c r="AG155" s="128" t="s">
        <v>1290</v>
      </c>
    </row>
    <row r="156" spans="1:33" ht="180" x14ac:dyDescent="0.25">
      <c r="A156" s="35" t="s">
        <v>973</v>
      </c>
      <c r="B156" s="35" t="s">
        <v>164</v>
      </c>
      <c r="C156" s="35" t="s">
        <v>1323</v>
      </c>
      <c r="D156" s="35" t="s">
        <v>193</v>
      </c>
      <c r="E156" s="35" t="s">
        <v>1324</v>
      </c>
      <c r="F156" s="35" t="s">
        <v>1325</v>
      </c>
      <c r="G156" s="35" t="s">
        <v>1326</v>
      </c>
      <c r="H156" s="35" t="s">
        <v>1327</v>
      </c>
      <c r="I156" s="35">
        <v>5</v>
      </c>
      <c r="J156" s="35">
        <v>5</v>
      </c>
      <c r="K156" s="35" t="s">
        <v>77</v>
      </c>
      <c r="L156" s="35">
        <v>0.6</v>
      </c>
      <c r="M156" s="35" t="s">
        <v>45</v>
      </c>
      <c r="N156" s="35" t="s">
        <v>53</v>
      </c>
      <c r="O156" s="35" t="s">
        <v>1285</v>
      </c>
      <c r="P156" s="35" t="s">
        <v>1018</v>
      </c>
      <c r="Q156" s="35" t="s">
        <v>81</v>
      </c>
      <c r="R156" s="35" t="s">
        <v>82</v>
      </c>
      <c r="S156" s="35" t="s">
        <v>1286</v>
      </c>
      <c r="T156" s="35" t="s">
        <v>1287</v>
      </c>
      <c r="U156" s="35" t="s">
        <v>1288</v>
      </c>
      <c r="V156" s="35" t="s">
        <v>53</v>
      </c>
      <c r="W156" s="35" t="s">
        <v>552</v>
      </c>
      <c r="X156" s="35" t="s">
        <v>53</v>
      </c>
      <c r="Y156" s="35" t="s">
        <v>552</v>
      </c>
      <c r="Z156" s="35" t="s">
        <v>46</v>
      </c>
      <c r="AA156" s="35" t="s">
        <v>67</v>
      </c>
      <c r="AB156" s="35" t="s">
        <v>67</v>
      </c>
      <c r="AC156" s="35" t="s">
        <v>67</v>
      </c>
      <c r="AD156" s="35" t="s">
        <v>222</v>
      </c>
      <c r="AE156" s="35" t="s">
        <v>1289</v>
      </c>
      <c r="AF156" s="35"/>
      <c r="AG156" s="128" t="s">
        <v>1290</v>
      </c>
    </row>
    <row r="157" spans="1:33" ht="180" x14ac:dyDescent="0.25">
      <c r="A157" s="35" t="s">
        <v>973</v>
      </c>
      <c r="B157" s="35" t="s">
        <v>164</v>
      </c>
      <c r="C157" s="35" t="s">
        <v>1328</v>
      </c>
      <c r="D157" s="35" t="s">
        <v>274</v>
      </c>
      <c r="E157" s="35" t="s">
        <v>1329</v>
      </c>
      <c r="F157" s="35" t="s">
        <v>1330</v>
      </c>
      <c r="G157" s="35" t="s">
        <v>1331</v>
      </c>
      <c r="H157" s="35" t="s">
        <v>1332</v>
      </c>
      <c r="I157" s="35">
        <v>5</v>
      </c>
      <c r="J157" s="35">
        <v>5</v>
      </c>
      <c r="K157" s="35" t="s">
        <v>71</v>
      </c>
      <c r="L157" s="35">
        <v>0.6</v>
      </c>
      <c r="M157" s="35" t="s">
        <v>45</v>
      </c>
      <c r="N157" s="35" t="s">
        <v>53</v>
      </c>
      <c r="O157" s="35" t="s">
        <v>1285</v>
      </c>
      <c r="P157" s="35" t="s">
        <v>1018</v>
      </c>
      <c r="Q157" s="35" t="s">
        <v>81</v>
      </c>
      <c r="R157" s="35" t="s">
        <v>82</v>
      </c>
      <c r="S157" s="35" t="s">
        <v>1286</v>
      </c>
      <c r="T157" s="35" t="s">
        <v>1287</v>
      </c>
      <c r="U157" s="35" t="s">
        <v>1288</v>
      </c>
      <c r="V157" s="35" t="s">
        <v>53</v>
      </c>
      <c r="W157" s="35" t="s">
        <v>552</v>
      </c>
      <c r="X157" s="35" t="s">
        <v>53</v>
      </c>
      <c r="Y157" s="35" t="s">
        <v>552</v>
      </c>
      <c r="Z157" s="35" t="s">
        <v>46</v>
      </c>
      <c r="AA157" s="35" t="s">
        <v>67</v>
      </c>
      <c r="AB157" s="35" t="s">
        <v>67</v>
      </c>
      <c r="AC157" s="35" t="s">
        <v>67</v>
      </c>
      <c r="AD157" s="35" t="s">
        <v>222</v>
      </c>
      <c r="AE157" s="35" t="s">
        <v>1289</v>
      </c>
      <c r="AF157" s="35"/>
      <c r="AG157" s="128" t="s">
        <v>1290</v>
      </c>
    </row>
    <row r="158" spans="1:33" ht="45" x14ac:dyDescent="0.25">
      <c r="A158" s="35" t="s">
        <v>367</v>
      </c>
      <c r="B158" s="35" t="s">
        <v>784</v>
      </c>
      <c r="C158" s="35" t="s">
        <v>1382</v>
      </c>
      <c r="D158" s="35" t="s">
        <v>193</v>
      </c>
      <c r="E158" s="35" t="s">
        <v>195</v>
      </c>
      <c r="F158" s="35" t="s">
        <v>1402</v>
      </c>
      <c r="G158" s="35" t="s">
        <v>1401</v>
      </c>
      <c r="H158" s="35" t="s">
        <v>1403</v>
      </c>
      <c r="I158" s="35">
        <v>3</v>
      </c>
      <c r="J158" s="35">
        <v>2</v>
      </c>
      <c r="K158" s="35" t="s">
        <v>64</v>
      </c>
      <c r="L158" s="35">
        <v>0.6</v>
      </c>
      <c r="M158" s="35" t="s">
        <v>45</v>
      </c>
      <c r="N158" s="35" t="s">
        <v>45</v>
      </c>
      <c r="O158" s="35" t="s">
        <v>1376</v>
      </c>
      <c r="P158" s="35" t="s">
        <v>549</v>
      </c>
      <c r="Q158" s="35" t="s">
        <v>81</v>
      </c>
      <c r="R158" s="35" t="s">
        <v>73</v>
      </c>
      <c r="S158" s="35" t="s">
        <v>148</v>
      </c>
      <c r="T158" s="35" t="s">
        <v>1377</v>
      </c>
      <c r="U158" s="35" t="s">
        <v>1378</v>
      </c>
      <c r="V158" s="35" t="s">
        <v>45</v>
      </c>
      <c r="W158" s="35" t="s">
        <v>1379</v>
      </c>
      <c r="X158" s="35" t="s">
        <v>45</v>
      </c>
      <c r="Y158" s="35" t="s">
        <v>510</v>
      </c>
      <c r="Z158" s="35" t="s">
        <v>46</v>
      </c>
      <c r="AA158" s="35" t="s">
        <v>47</v>
      </c>
      <c r="AB158" s="35" t="s">
        <v>222</v>
      </c>
      <c r="AC158" s="35" t="s">
        <v>222</v>
      </c>
      <c r="AD158" s="35" t="s">
        <v>53</v>
      </c>
      <c r="AE158" s="35" t="s">
        <v>1380</v>
      </c>
      <c r="AF158" s="35"/>
      <c r="AG158" s="128" t="s">
        <v>1381</v>
      </c>
    </row>
    <row r="159" spans="1:33" ht="45" x14ac:dyDescent="0.25">
      <c r="A159" s="35" t="s">
        <v>367</v>
      </c>
      <c r="B159" s="35" t="s">
        <v>164</v>
      </c>
      <c r="C159" s="35" t="s">
        <v>1383</v>
      </c>
      <c r="D159" s="35" t="s">
        <v>563</v>
      </c>
      <c r="E159" s="35" t="s">
        <v>169</v>
      </c>
      <c r="F159" s="35" t="s">
        <v>1384</v>
      </c>
      <c r="G159" s="35" t="s">
        <v>1385</v>
      </c>
      <c r="H159" s="35" t="s">
        <v>1404</v>
      </c>
      <c r="I159" s="35">
        <v>4</v>
      </c>
      <c r="J159" s="35">
        <v>4</v>
      </c>
      <c r="K159" s="35" t="s">
        <v>77</v>
      </c>
      <c r="L159" s="35">
        <v>0.52</v>
      </c>
      <c r="M159" s="35" t="s">
        <v>45</v>
      </c>
      <c r="N159" s="35" t="s">
        <v>45</v>
      </c>
      <c r="O159" s="35" t="s">
        <v>1376</v>
      </c>
      <c r="P159" s="35" t="s">
        <v>549</v>
      </c>
      <c r="Q159" s="35" t="s">
        <v>81</v>
      </c>
      <c r="R159" s="35" t="s">
        <v>73</v>
      </c>
      <c r="S159" s="35" t="s">
        <v>148</v>
      </c>
      <c r="T159" s="35" t="s">
        <v>1377</v>
      </c>
      <c r="U159" s="35" t="s">
        <v>1378</v>
      </c>
      <c r="V159" s="35" t="s">
        <v>45</v>
      </c>
      <c r="W159" s="35" t="s">
        <v>1379</v>
      </c>
      <c r="X159" s="35" t="s">
        <v>45</v>
      </c>
      <c r="Y159" s="35" t="s">
        <v>510</v>
      </c>
      <c r="Z159" s="35" t="s">
        <v>46</v>
      </c>
      <c r="AA159" s="35" t="s">
        <v>47</v>
      </c>
      <c r="AB159" s="35" t="s">
        <v>222</v>
      </c>
      <c r="AC159" s="35" t="s">
        <v>222</v>
      </c>
      <c r="AD159" s="35" t="s">
        <v>53</v>
      </c>
      <c r="AE159" s="35" t="s">
        <v>1380</v>
      </c>
      <c r="AF159" s="35"/>
      <c r="AG159" s="128" t="s">
        <v>1381</v>
      </c>
    </row>
    <row r="160" spans="1:33" ht="45" x14ac:dyDescent="0.25">
      <c r="A160" s="35" t="s">
        <v>367</v>
      </c>
      <c r="B160" s="35" t="s">
        <v>164</v>
      </c>
      <c r="C160" s="35" t="s">
        <v>1386</v>
      </c>
      <c r="D160" s="35" t="s">
        <v>563</v>
      </c>
      <c r="E160" s="35" t="s">
        <v>1387</v>
      </c>
      <c r="F160" s="35" t="s">
        <v>1388</v>
      </c>
      <c r="G160" s="35" t="s">
        <v>1389</v>
      </c>
      <c r="H160" s="35" t="s">
        <v>1405</v>
      </c>
      <c r="I160" s="35">
        <v>5</v>
      </c>
      <c r="J160" s="35">
        <v>5</v>
      </c>
      <c r="K160" s="35" t="s">
        <v>77</v>
      </c>
      <c r="L160" s="35">
        <v>0.6</v>
      </c>
      <c r="M160" s="35" t="s">
        <v>45</v>
      </c>
      <c r="N160" s="35" t="s">
        <v>45</v>
      </c>
      <c r="O160" s="35" t="s">
        <v>1376</v>
      </c>
      <c r="P160" s="35" t="s">
        <v>549</v>
      </c>
      <c r="Q160" s="35" t="s">
        <v>81</v>
      </c>
      <c r="R160" s="35" t="s">
        <v>73</v>
      </c>
      <c r="S160" s="35" t="s">
        <v>148</v>
      </c>
      <c r="T160" s="35" t="s">
        <v>1377</v>
      </c>
      <c r="U160" s="35" t="s">
        <v>1378</v>
      </c>
      <c r="V160" s="35" t="s">
        <v>45</v>
      </c>
      <c r="W160" s="35" t="s">
        <v>1379</v>
      </c>
      <c r="X160" s="35" t="s">
        <v>45</v>
      </c>
      <c r="Y160" s="35" t="s">
        <v>510</v>
      </c>
      <c r="Z160" s="35" t="s">
        <v>46</v>
      </c>
      <c r="AA160" s="35" t="s">
        <v>47</v>
      </c>
      <c r="AB160" s="35" t="s">
        <v>222</v>
      </c>
      <c r="AC160" s="35" t="s">
        <v>222</v>
      </c>
      <c r="AD160" s="35" t="s">
        <v>53</v>
      </c>
      <c r="AE160" s="35" t="s">
        <v>1380</v>
      </c>
      <c r="AF160" s="35"/>
      <c r="AG160" s="128" t="s">
        <v>1381</v>
      </c>
    </row>
    <row r="161" spans="1:33" ht="30" x14ac:dyDescent="0.25">
      <c r="A161" s="35" t="s">
        <v>367</v>
      </c>
      <c r="B161" s="35" t="s">
        <v>784</v>
      </c>
      <c r="C161" s="35" t="s">
        <v>1396</v>
      </c>
      <c r="D161" s="35" t="s">
        <v>193</v>
      </c>
      <c r="E161" s="35" t="s">
        <v>365</v>
      </c>
      <c r="F161" s="35" t="s">
        <v>1406</v>
      </c>
      <c r="G161" s="35"/>
      <c r="H161" s="35" t="s">
        <v>1407</v>
      </c>
      <c r="I161" s="35">
        <v>3</v>
      </c>
      <c r="J161" s="35">
        <v>3</v>
      </c>
      <c r="K161" s="35" t="s">
        <v>64</v>
      </c>
      <c r="L161" s="35">
        <v>0.64</v>
      </c>
      <c r="M161" s="35" t="s">
        <v>45</v>
      </c>
      <c r="N161" s="35" t="s">
        <v>45</v>
      </c>
      <c r="O161" s="35" t="s">
        <v>1390</v>
      </c>
      <c r="P161" s="35" t="s">
        <v>1391</v>
      </c>
      <c r="Q161" s="35" t="s">
        <v>81</v>
      </c>
      <c r="R161" s="35" t="s">
        <v>66</v>
      </c>
      <c r="S161" s="35" t="s">
        <v>148</v>
      </c>
      <c r="T161" s="35" t="s">
        <v>1392</v>
      </c>
      <c r="U161" s="35" t="s">
        <v>1393</v>
      </c>
      <c r="V161" s="35" t="s">
        <v>53</v>
      </c>
      <c r="W161" s="35" t="s">
        <v>552</v>
      </c>
      <c r="X161" s="35" t="s">
        <v>53</v>
      </c>
      <c r="Y161" s="35" t="s">
        <v>552</v>
      </c>
      <c r="Z161" s="35" t="s">
        <v>54</v>
      </c>
      <c r="AA161" s="35" t="s">
        <v>47</v>
      </c>
      <c r="AB161" s="35" t="s">
        <v>222</v>
      </c>
      <c r="AC161" s="35" t="s">
        <v>105</v>
      </c>
      <c r="AD161" s="35" t="s">
        <v>53</v>
      </c>
      <c r="AE161" s="35" t="s">
        <v>1394</v>
      </c>
      <c r="AF161" s="35"/>
      <c r="AG161" s="128" t="s">
        <v>1395</v>
      </c>
    </row>
    <row r="162" spans="1:33" ht="30" x14ac:dyDescent="0.25">
      <c r="A162" s="35" t="s">
        <v>367</v>
      </c>
      <c r="B162" s="35" t="s">
        <v>164</v>
      </c>
      <c r="C162" s="35" t="s">
        <v>1397</v>
      </c>
      <c r="D162" s="35" t="s">
        <v>1398</v>
      </c>
      <c r="E162" s="35" t="s">
        <v>169</v>
      </c>
      <c r="F162" s="35" t="s">
        <v>1399</v>
      </c>
      <c r="G162" s="35" t="s">
        <v>1408</v>
      </c>
      <c r="H162" s="35" t="s">
        <v>1400</v>
      </c>
      <c r="I162" s="35">
        <v>5</v>
      </c>
      <c r="J162" s="35">
        <v>5</v>
      </c>
      <c r="K162" s="35" t="s">
        <v>77</v>
      </c>
      <c r="L162" s="35">
        <v>0.6</v>
      </c>
      <c r="M162" s="35" t="s">
        <v>45</v>
      </c>
      <c r="N162" s="35" t="s">
        <v>45</v>
      </c>
      <c r="O162" s="35" t="s">
        <v>1390</v>
      </c>
      <c r="P162" s="35" t="s">
        <v>1391</v>
      </c>
      <c r="Q162" s="35" t="s">
        <v>81</v>
      </c>
      <c r="R162" s="35" t="s">
        <v>66</v>
      </c>
      <c r="S162" s="35" t="s">
        <v>148</v>
      </c>
      <c r="T162" s="35" t="s">
        <v>1392</v>
      </c>
      <c r="U162" s="35" t="s">
        <v>1393</v>
      </c>
      <c r="V162" s="35" t="s">
        <v>53</v>
      </c>
      <c r="W162" s="35" t="s">
        <v>552</v>
      </c>
      <c r="X162" s="35" t="s">
        <v>53</v>
      </c>
      <c r="Y162" s="35" t="s">
        <v>552</v>
      </c>
      <c r="Z162" s="35" t="s">
        <v>54</v>
      </c>
      <c r="AA162" s="35" t="s">
        <v>47</v>
      </c>
      <c r="AB162" s="35" t="s">
        <v>222</v>
      </c>
      <c r="AC162" s="35" t="s">
        <v>105</v>
      </c>
      <c r="AD162" s="35" t="s">
        <v>53</v>
      </c>
      <c r="AE162" s="35" t="s">
        <v>1394</v>
      </c>
      <c r="AF162" s="35"/>
      <c r="AG162" s="128" t="s">
        <v>1395</v>
      </c>
    </row>
    <row r="163" spans="1:33" ht="25.5" x14ac:dyDescent="0.25">
      <c r="A163" s="35" t="s">
        <v>367</v>
      </c>
      <c r="B163" s="35" t="s">
        <v>784</v>
      </c>
      <c r="C163" s="35" t="s">
        <v>1496</v>
      </c>
      <c r="D163" s="35" t="s">
        <v>1292</v>
      </c>
      <c r="E163" s="35" t="s">
        <v>27</v>
      </c>
      <c r="F163" s="35" t="s">
        <v>1497</v>
      </c>
      <c r="G163" s="35"/>
      <c r="H163" s="35" t="s">
        <v>1498</v>
      </c>
      <c r="I163" s="35">
        <v>2</v>
      </c>
      <c r="J163" s="35">
        <v>1</v>
      </c>
      <c r="K163" s="35" t="s">
        <v>64</v>
      </c>
      <c r="L163" s="35">
        <v>0.52</v>
      </c>
      <c r="M163" s="35" t="s">
        <v>45</v>
      </c>
      <c r="N163" s="35" t="s">
        <v>53</v>
      </c>
      <c r="O163" s="35" t="s">
        <v>1490</v>
      </c>
      <c r="P163" s="35" t="s">
        <v>1491</v>
      </c>
      <c r="Q163" s="35" t="s">
        <v>85</v>
      </c>
      <c r="R163" s="35" t="s">
        <v>82</v>
      </c>
      <c r="S163" s="35" t="s">
        <v>148</v>
      </c>
      <c r="T163" s="35" t="s">
        <v>1492</v>
      </c>
      <c r="U163" s="35" t="s">
        <v>1493</v>
      </c>
      <c r="V163" s="35" t="s">
        <v>45</v>
      </c>
      <c r="W163" s="35" t="s">
        <v>1639</v>
      </c>
      <c r="X163" s="35" t="s">
        <v>53</v>
      </c>
      <c r="Y163" s="35" t="s">
        <v>53</v>
      </c>
      <c r="Z163" s="35" t="s">
        <v>60</v>
      </c>
      <c r="AA163" s="35" t="s">
        <v>61</v>
      </c>
      <c r="AB163" s="35" t="s">
        <v>222</v>
      </c>
      <c r="AC163" s="35" t="s">
        <v>222</v>
      </c>
      <c r="AD163" s="35" t="s">
        <v>45</v>
      </c>
      <c r="AE163" s="35" t="s">
        <v>222</v>
      </c>
      <c r="AF163" s="35"/>
      <c r="AG163" s="128" t="s">
        <v>1495</v>
      </c>
    </row>
    <row r="164" spans="1:33" ht="25.5" x14ac:dyDescent="0.25">
      <c r="A164" s="35" t="s">
        <v>367</v>
      </c>
      <c r="B164" s="35" t="s">
        <v>784</v>
      </c>
      <c r="C164" s="35" t="s">
        <v>1499</v>
      </c>
      <c r="D164" s="35" t="s">
        <v>193</v>
      </c>
      <c r="E164" s="35" t="s">
        <v>1500</v>
      </c>
      <c r="F164" s="35" t="s">
        <v>1501</v>
      </c>
      <c r="G164" s="35"/>
      <c r="H164" s="35" t="s">
        <v>1502</v>
      </c>
      <c r="I164" s="35">
        <v>1</v>
      </c>
      <c r="J164" s="35">
        <v>1</v>
      </c>
      <c r="K164" s="35" t="s">
        <v>50</v>
      </c>
      <c r="L164" s="35">
        <v>0.48</v>
      </c>
      <c r="M164" s="35" t="s">
        <v>45</v>
      </c>
      <c r="N164" s="35" t="s">
        <v>53</v>
      </c>
      <c r="O164" s="35" t="s">
        <v>1490</v>
      </c>
      <c r="P164" s="35" t="s">
        <v>1491</v>
      </c>
      <c r="Q164" s="35" t="s">
        <v>85</v>
      </c>
      <c r="R164" s="35" t="s">
        <v>82</v>
      </c>
      <c r="S164" s="35" t="s">
        <v>148</v>
      </c>
      <c r="T164" s="35" t="s">
        <v>1492</v>
      </c>
      <c r="U164" s="35" t="s">
        <v>1493</v>
      </c>
      <c r="V164" s="35" t="s">
        <v>45</v>
      </c>
      <c r="W164" s="35" t="s">
        <v>1639</v>
      </c>
      <c r="X164" s="35" t="s">
        <v>53</v>
      </c>
      <c r="Y164" s="35" t="s">
        <v>53</v>
      </c>
      <c r="Z164" s="35" t="s">
        <v>60</v>
      </c>
      <c r="AA164" s="35" t="s">
        <v>61</v>
      </c>
      <c r="AB164" s="35" t="s">
        <v>222</v>
      </c>
      <c r="AC164" s="35" t="s">
        <v>222</v>
      </c>
      <c r="AD164" s="35" t="s">
        <v>45</v>
      </c>
      <c r="AE164" s="35" t="s">
        <v>222</v>
      </c>
      <c r="AF164" s="35"/>
      <c r="AG164" s="128" t="s">
        <v>1495</v>
      </c>
    </row>
    <row r="165" spans="1:33" ht="25.5" x14ac:dyDescent="0.25">
      <c r="A165" s="35" t="s">
        <v>367</v>
      </c>
      <c r="B165" s="35" t="s">
        <v>784</v>
      </c>
      <c r="C165" s="35" t="s">
        <v>1503</v>
      </c>
      <c r="D165" s="35" t="s">
        <v>193</v>
      </c>
      <c r="E165" s="35" t="s">
        <v>669</v>
      </c>
      <c r="F165" s="35" t="s">
        <v>1504</v>
      </c>
      <c r="G165" s="35"/>
      <c r="H165" s="35" t="s">
        <v>1505</v>
      </c>
      <c r="I165" s="35">
        <v>1</v>
      </c>
      <c r="J165" s="35">
        <v>1</v>
      </c>
      <c r="K165" s="35" t="s">
        <v>50</v>
      </c>
      <c r="L165" s="35">
        <v>0.48</v>
      </c>
      <c r="M165" s="35" t="s">
        <v>45</v>
      </c>
      <c r="N165" s="35" t="s">
        <v>53</v>
      </c>
      <c r="O165" s="35" t="s">
        <v>1490</v>
      </c>
      <c r="P165" s="35" t="s">
        <v>1491</v>
      </c>
      <c r="Q165" s="35" t="s">
        <v>85</v>
      </c>
      <c r="R165" s="35" t="s">
        <v>82</v>
      </c>
      <c r="S165" s="35" t="s">
        <v>148</v>
      </c>
      <c r="T165" s="35" t="s">
        <v>1492</v>
      </c>
      <c r="U165" s="35" t="s">
        <v>1493</v>
      </c>
      <c r="V165" s="35" t="s">
        <v>45</v>
      </c>
      <c r="W165" s="35" t="s">
        <v>1639</v>
      </c>
      <c r="X165" s="35" t="s">
        <v>53</v>
      </c>
      <c r="Y165" s="35" t="s">
        <v>53</v>
      </c>
      <c r="Z165" s="35" t="s">
        <v>60</v>
      </c>
      <c r="AA165" s="35" t="s">
        <v>61</v>
      </c>
      <c r="AB165" s="35" t="s">
        <v>222</v>
      </c>
      <c r="AC165" s="35" t="s">
        <v>222</v>
      </c>
      <c r="AD165" s="35" t="s">
        <v>45</v>
      </c>
      <c r="AE165" s="35" t="s">
        <v>222</v>
      </c>
      <c r="AF165" s="35"/>
      <c r="AG165" s="128" t="s">
        <v>1495</v>
      </c>
    </row>
    <row r="166" spans="1:33" ht="25.5" x14ac:dyDescent="0.25">
      <c r="A166" s="35" t="s">
        <v>367</v>
      </c>
      <c r="B166" s="35" t="s">
        <v>784</v>
      </c>
      <c r="C166" s="35" t="s">
        <v>1506</v>
      </c>
      <c r="D166" s="35" t="s">
        <v>193</v>
      </c>
      <c r="E166" s="35" t="s">
        <v>1507</v>
      </c>
      <c r="F166" s="35" t="s">
        <v>1508</v>
      </c>
      <c r="G166" s="35" t="s">
        <v>1509</v>
      </c>
      <c r="H166" s="35" t="s">
        <v>1510</v>
      </c>
      <c r="I166" s="35">
        <v>3</v>
      </c>
      <c r="J166" s="35">
        <v>3</v>
      </c>
      <c r="K166" s="35" t="s">
        <v>64</v>
      </c>
      <c r="L166" s="35">
        <v>0.64</v>
      </c>
      <c r="M166" s="35" t="s">
        <v>45</v>
      </c>
      <c r="N166" s="35" t="s">
        <v>53</v>
      </c>
      <c r="O166" s="35" t="s">
        <v>1490</v>
      </c>
      <c r="P166" s="35" t="s">
        <v>1491</v>
      </c>
      <c r="Q166" s="35" t="s">
        <v>85</v>
      </c>
      <c r="R166" s="35" t="s">
        <v>82</v>
      </c>
      <c r="S166" s="35" t="s">
        <v>148</v>
      </c>
      <c r="T166" s="35" t="s">
        <v>1492</v>
      </c>
      <c r="U166" s="35" t="s">
        <v>1493</v>
      </c>
      <c r="V166" s="35" t="s">
        <v>45</v>
      </c>
      <c r="W166" s="35" t="s">
        <v>1639</v>
      </c>
      <c r="X166" s="35" t="s">
        <v>53</v>
      </c>
      <c r="Y166" s="35" t="s">
        <v>53</v>
      </c>
      <c r="Z166" s="35" t="s">
        <v>60</v>
      </c>
      <c r="AA166" s="35" t="s">
        <v>61</v>
      </c>
      <c r="AB166" s="35" t="s">
        <v>222</v>
      </c>
      <c r="AC166" s="35" t="s">
        <v>222</v>
      </c>
      <c r="AD166" s="35" t="s">
        <v>45</v>
      </c>
      <c r="AE166" s="35" t="s">
        <v>222</v>
      </c>
      <c r="AF166" s="35"/>
      <c r="AG166" s="128" t="s">
        <v>1495</v>
      </c>
    </row>
    <row r="167" spans="1:33" ht="38.25" x14ac:dyDescent="0.25">
      <c r="A167" s="35" t="s">
        <v>367</v>
      </c>
      <c r="B167" s="35" t="s">
        <v>164</v>
      </c>
      <c r="C167" s="35" t="s">
        <v>1511</v>
      </c>
      <c r="D167" s="35" t="s">
        <v>1512</v>
      </c>
      <c r="E167" s="35" t="s">
        <v>1513</v>
      </c>
      <c r="F167" s="35" t="s">
        <v>1514</v>
      </c>
      <c r="G167" s="35" t="s">
        <v>1515</v>
      </c>
      <c r="H167" s="35" t="s">
        <v>1516</v>
      </c>
      <c r="I167" s="35">
        <v>5</v>
      </c>
      <c r="J167" s="35">
        <v>5</v>
      </c>
      <c r="K167" s="35" t="s">
        <v>50</v>
      </c>
      <c r="L167" s="35">
        <v>0.8</v>
      </c>
      <c r="M167" s="35" t="s">
        <v>45</v>
      </c>
      <c r="N167" s="35" t="s">
        <v>53</v>
      </c>
      <c r="O167" s="35" t="s">
        <v>1490</v>
      </c>
      <c r="P167" s="35" t="s">
        <v>1491</v>
      </c>
      <c r="Q167" s="35" t="s">
        <v>85</v>
      </c>
      <c r="R167" s="35" t="s">
        <v>82</v>
      </c>
      <c r="S167" s="35" t="s">
        <v>148</v>
      </c>
      <c r="T167" s="35" t="s">
        <v>1492</v>
      </c>
      <c r="U167" s="35" t="s">
        <v>1493</v>
      </c>
      <c r="V167" s="35" t="s">
        <v>45</v>
      </c>
      <c r="W167" s="35" t="s">
        <v>1639</v>
      </c>
      <c r="X167" s="35" t="s">
        <v>53</v>
      </c>
      <c r="Y167" s="35" t="s">
        <v>53</v>
      </c>
      <c r="Z167" s="35" t="s">
        <v>60</v>
      </c>
      <c r="AA167" s="35" t="s">
        <v>61</v>
      </c>
      <c r="AB167" s="35" t="s">
        <v>222</v>
      </c>
      <c r="AC167" s="35" t="s">
        <v>222</v>
      </c>
      <c r="AD167" s="35" t="s">
        <v>45</v>
      </c>
      <c r="AE167" s="35" t="s">
        <v>222</v>
      </c>
      <c r="AF167" s="35"/>
      <c r="AG167" s="128" t="s">
        <v>1495</v>
      </c>
    </row>
    <row r="168" spans="1:33" ht="25.5" x14ac:dyDescent="0.25">
      <c r="A168" s="35" t="s">
        <v>367</v>
      </c>
      <c r="B168" s="35" t="s">
        <v>164</v>
      </c>
      <c r="C168" s="35" t="s">
        <v>1517</v>
      </c>
      <c r="D168" s="35" t="s">
        <v>1512</v>
      </c>
      <c r="E168" s="35" t="s">
        <v>1518</v>
      </c>
      <c r="F168" s="35" t="s">
        <v>1519</v>
      </c>
      <c r="G168" s="35"/>
      <c r="H168" s="35" t="s">
        <v>1520</v>
      </c>
      <c r="I168" s="35">
        <v>3</v>
      </c>
      <c r="J168" s="35">
        <v>4</v>
      </c>
      <c r="K168" s="35" t="s">
        <v>77</v>
      </c>
      <c r="L168" s="35">
        <v>0.48</v>
      </c>
      <c r="M168" s="35" t="s">
        <v>45</v>
      </c>
      <c r="N168" s="35" t="s">
        <v>53</v>
      </c>
      <c r="O168" s="35" t="s">
        <v>1490</v>
      </c>
      <c r="P168" s="35" t="s">
        <v>1491</v>
      </c>
      <c r="Q168" s="35" t="s">
        <v>85</v>
      </c>
      <c r="R168" s="35" t="s">
        <v>82</v>
      </c>
      <c r="S168" s="35" t="s">
        <v>148</v>
      </c>
      <c r="T168" s="35" t="s">
        <v>1492</v>
      </c>
      <c r="U168" s="35" t="s">
        <v>1493</v>
      </c>
      <c r="V168" s="35" t="s">
        <v>45</v>
      </c>
      <c r="W168" s="35" t="s">
        <v>1639</v>
      </c>
      <c r="X168" s="35" t="s">
        <v>53</v>
      </c>
      <c r="Y168" s="35" t="s">
        <v>53</v>
      </c>
      <c r="Z168" s="35" t="s">
        <v>60</v>
      </c>
      <c r="AA168" s="35" t="s">
        <v>61</v>
      </c>
      <c r="AB168" s="35" t="s">
        <v>222</v>
      </c>
      <c r="AC168" s="35" t="s">
        <v>222</v>
      </c>
      <c r="AD168" s="35" t="s">
        <v>45</v>
      </c>
      <c r="AE168" s="35" t="s">
        <v>222</v>
      </c>
      <c r="AF168" s="35"/>
      <c r="AG168" s="128" t="s">
        <v>1495</v>
      </c>
    </row>
    <row r="169" spans="1:33" ht="25.5" x14ac:dyDescent="0.25">
      <c r="A169" s="35" t="s">
        <v>367</v>
      </c>
      <c r="B169" s="35" t="s">
        <v>164</v>
      </c>
      <c r="C169" s="35" t="s">
        <v>1521</v>
      </c>
      <c r="D169" s="35"/>
      <c r="E169" s="35" t="s">
        <v>1522</v>
      </c>
      <c r="F169" s="35" t="s">
        <v>1523</v>
      </c>
      <c r="G169" s="35"/>
      <c r="H169" s="35" t="s">
        <v>1524</v>
      </c>
      <c r="I169" s="35">
        <v>4</v>
      </c>
      <c r="J169" s="35">
        <v>4</v>
      </c>
      <c r="K169" s="35" t="s">
        <v>64</v>
      </c>
      <c r="L169" s="35">
        <v>0.72</v>
      </c>
      <c r="M169" s="35" t="s">
        <v>45</v>
      </c>
      <c r="N169" s="35" t="s">
        <v>53</v>
      </c>
      <c r="O169" s="35" t="s">
        <v>1490</v>
      </c>
      <c r="P169" s="35" t="s">
        <v>1491</v>
      </c>
      <c r="Q169" s="35" t="s">
        <v>85</v>
      </c>
      <c r="R169" s="35" t="s">
        <v>82</v>
      </c>
      <c r="S169" s="35" t="s">
        <v>148</v>
      </c>
      <c r="T169" s="35" t="s">
        <v>1492</v>
      </c>
      <c r="U169" s="35" t="s">
        <v>1493</v>
      </c>
      <c r="V169" s="35" t="s">
        <v>45</v>
      </c>
      <c r="W169" s="35" t="s">
        <v>1639</v>
      </c>
      <c r="X169" s="35" t="s">
        <v>53</v>
      </c>
      <c r="Y169" s="35" t="s">
        <v>53</v>
      </c>
      <c r="Z169" s="35" t="s">
        <v>60</v>
      </c>
      <c r="AA169" s="35" t="s">
        <v>61</v>
      </c>
      <c r="AB169" s="35" t="s">
        <v>222</v>
      </c>
      <c r="AC169" s="35" t="s">
        <v>222</v>
      </c>
      <c r="AD169" s="35" t="s">
        <v>45</v>
      </c>
      <c r="AE169" s="35" t="s">
        <v>222</v>
      </c>
      <c r="AF169" s="35"/>
      <c r="AG169" s="128" t="s">
        <v>1495</v>
      </c>
    </row>
    <row r="170" spans="1:33" ht="25.5" x14ac:dyDescent="0.25">
      <c r="A170" s="35" t="s">
        <v>367</v>
      </c>
      <c r="B170" s="35" t="s">
        <v>164</v>
      </c>
      <c r="C170" s="35" t="s">
        <v>1525</v>
      </c>
      <c r="D170" s="35" t="s">
        <v>193</v>
      </c>
      <c r="E170" s="35" t="s">
        <v>1526</v>
      </c>
      <c r="F170" s="35" t="s">
        <v>1527</v>
      </c>
      <c r="G170" s="35"/>
      <c r="H170" s="35" t="s">
        <v>1528</v>
      </c>
      <c r="I170" s="35">
        <v>2</v>
      </c>
      <c r="J170" s="35">
        <v>3</v>
      </c>
      <c r="K170" s="35" t="s">
        <v>77</v>
      </c>
      <c r="L170" s="35">
        <v>0.4</v>
      </c>
      <c r="M170" s="35" t="s">
        <v>45</v>
      </c>
      <c r="N170" s="35" t="s">
        <v>53</v>
      </c>
      <c r="O170" s="35" t="s">
        <v>1490</v>
      </c>
      <c r="P170" s="35" t="s">
        <v>1491</v>
      </c>
      <c r="Q170" s="35" t="s">
        <v>85</v>
      </c>
      <c r="R170" s="35" t="s">
        <v>82</v>
      </c>
      <c r="S170" s="35" t="s">
        <v>148</v>
      </c>
      <c r="T170" s="35" t="s">
        <v>1492</v>
      </c>
      <c r="U170" s="35" t="s">
        <v>1493</v>
      </c>
      <c r="V170" s="35" t="s">
        <v>45</v>
      </c>
      <c r="W170" s="35" t="s">
        <v>1639</v>
      </c>
      <c r="X170" s="35" t="s">
        <v>53</v>
      </c>
      <c r="Y170" s="35" t="s">
        <v>53</v>
      </c>
      <c r="Z170" s="35" t="s">
        <v>60</v>
      </c>
      <c r="AA170" s="35" t="s">
        <v>61</v>
      </c>
      <c r="AB170" s="35" t="s">
        <v>222</v>
      </c>
      <c r="AC170" s="35" t="s">
        <v>222</v>
      </c>
      <c r="AD170" s="35" t="s">
        <v>45</v>
      </c>
      <c r="AE170" s="35" t="s">
        <v>222</v>
      </c>
      <c r="AF170" s="35"/>
      <c r="AG170" s="128" t="s">
        <v>1495</v>
      </c>
    </row>
    <row r="171" spans="1:33" ht="25.5" x14ac:dyDescent="0.25">
      <c r="A171" s="35" t="s">
        <v>367</v>
      </c>
      <c r="B171" s="35" t="s">
        <v>164</v>
      </c>
      <c r="C171" s="35" t="s">
        <v>1529</v>
      </c>
      <c r="D171" s="35" t="s">
        <v>1050</v>
      </c>
      <c r="E171" s="35" t="s">
        <v>71</v>
      </c>
      <c r="F171" s="35" t="s">
        <v>1530</v>
      </c>
      <c r="G171" s="35" t="s">
        <v>1531</v>
      </c>
      <c r="H171" s="35"/>
      <c r="I171" s="35">
        <v>5</v>
      </c>
      <c r="J171" s="35">
        <v>4</v>
      </c>
      <c r="K171" s="35" t="s">
        <v>71</v>
      </c>
      <c r="L171" s="35">
        <v>0.56000000000000005</v>
      </c>
      <c r="M171" s="35" t="s">
        <v>45</v>
      </c>
      <c r="N171" s="35" t="s">
        <v>53</v>
      </c>
      <c r="O171" s="35" t="s">
        <v>1490</v>
      </c>
      <c r="P171" s="35" t="s">
        <v>1491</v>
      </c>
      <c r="Q171" s="35" t="s">
        <v>85</v>
      </c>
      <c r="R171" s="35" t="s">
        <v>82</v>
      </c>
      <c r="S171" s="35" t="s">
        <v>148</v>
      </c>
      <c r="T171" s="35" t="s">
        <v>1492</v>
      </c>
      <c r="U171" s="35" t="s">
        <v>1493</v>
      </c>
      <c r="V171" s="35" t="s">
        <v>45</v>
      </c>
      <c r="W171" s="35" t="s">
        <v>1639</v>
      </c>
      <c r="X171" s="35" t="s">
        <v>53</v>
      </c>
      <c r="Y171" s="35" t="s">
        <v>53</v>
      </c>
      <c r="Z171" s="35" t="s">
        <v>60</v>
      </c>
      <c r="AA171" s="35" t="s">
        <v>61</v>
      </c>
      <c r="AB171" s="35" t="s">
        <v>222</v>
      </c>
      <c r="AC171" s="35" t="s">
        <v>222</v>
      </c>
      <c r="AD171" s="35" t="s">
        <v>45</v>
      </c>
      <c r="AE171" s="35" t="s">
        <v>222</v>
      </c>
      <c r="AF171" s="35"/>
      <c r="AG171" s="128" t="s">
        <v>1495</v>
      </c>
    </row>
    <row r="172" spans="1:33" ht="25.5" x14ac:dyDescent="0.25">
      <c r="A172" s="35" t="s">
        <v>367</v>
      </c>
      <c r="B172" s="35" t="s">
        <v>164</v>
      </c>
      <c r="C172" s="35" t="s">
        <v>1532</v>
      </c>
      <c r="D172" s="35" t="s">
        <v>1512</v>
      </c>
      <c r="E172" s="35" t="s">
        <v>1533</v>
      </c>
      <c r="F172" s="35" t="s">
        <v>1534</v>
      </c>
      <c r="G172" s="35"/>
      <c r="H172" s="35" t="s">
        <v>1535</v>
      </c>
      <c r="I172" s="35">
        <v>2</v>
      </c>
      <c r="J172" s="35">
        <v>4</v>
      </c>
      <c r="K172" s="35" t="s">
        <v>77</v>
      </c>
      <c r="L172" s="35">
        <v>0.44</v>
      </c>
      <c r="M172" s="35" t="s">
        <v>45</v>
      </c>
      <c r="N172" s="35" t="s">
        <v>53</v>
      </c>
      <c r="O172" s="35" t="s">
        <v>1490</v>
      </c>
      <c r="P172" s="35" t="s">
        <v>1491</v>
      </c>
      <c r="Q172" s="35" t="s">
        <v>85</v>
      </c>
      <c r="R172" s="35" t="s">
        <v>82</v>
      </c>
      <c r="S172" s="35" t="s">
        <v>148</v>
      </c>
      <c r="T172" s="35" t="s">
        <v>1492</v>
      </c>
      <c r="U172" s="35" t="s">
        <v>1493</v>
      </c>
      <c r="V172" s="35" t="s">
        <v>45</v>
      </c>
      <c r="W172" s="35" t="s">
        <v>1639</v>
      </c>
      <c r="X172" s="35" t="s">
        <v>53</v>
      </c>
      <c r="Y172" s="35" t="s">
        <v>53</v>
      </c>
      <c r="Z172" s="35" t="s">
        <v>60</v>
      </c>
      <c r="AA172" s="35" t="s">
        <v>61</v>
      </c>
      <c r="AB172" s="35" t="s">
        <v>222</v>
      </c>
      <c r="AC172" s="35" t="s">
        <v>222</v>
      </c>
      <c r="AD172" s="35" t="s">
        <v>45</v>
      </c>
      <c r="AE172" s="35" t="s">
        <v>222</v>
      </c>
      <c r="AF172" s="35"/>
      <c r="AG172" s="128" t="s">
        <v>1495</v>
      </c>
    </row>
    <row r="173" spans="1:33" ht="25.5" x14ac:dyDescent="0.25">
      <c r="A173" s="35" t="s">
        <v>367</v>
      </c>
      <c r="B173" s="35" t="s">
        <v>164</v>
      </c>
      <c r="C173" s="35" t="s">
        <v>1536</v>
      </c>
      <c r="D173" s="35" t="s">
        <v>193</v>
      </c>
      <c r="E173" s="35" t="s">
        <v>969</v>
      </c>
      <c r="F173" s="35" t="s">
        <v>1537</v>
      </c>
      <c r="G173" s="35"/>
      <c r="H173" s="35" t="s">
        <v>1538</v>
      </c>
      <c r="I173" s="35">
        <v>4</v>
      </c>
      <c r="J173" s="35">
        <v>3</v>
      </c>
      <c r="K173" s="35" t="s">
        <v>77</v>
      </c>
      <c r="L173" s="35">
        <v>0.48</v>
      </c>
      <c r="M173" s="35" t="s">
        <v>45</v>
      </c>
      <c r="N173" s="35" t="s">
        <v>53</v>
      </c>
      <c r="O173" s="35" t="s">
        <v>1490</v>
      </c>
      <c r="P173" s="35" t="s">
        <v>1491</v>
      </c>
      <c r="Q173" s="35" t="s">
        <v>85</v>
      </c>
      <c r="R173" s="35" t="s">
        <v>82</v>
      </c>
      <c r="S173" s="35" t="s">
        <v>148</v>
      </c>
      <c r="T173" s="35" t="s">
        <v>1492</v>
      </c>
      <c r="U173" s="35" t="s">
        <v>1493</v>
      </c>
      <c r="V173" s="35" t="s">
        <v>45</v>
      </c>
      <c r="W173" s="35" t="s">
        <v>1639</v>
      </c>
      <c r="X173" s="35" t="s">
        <v>53</v>
      </c>
      <c r="Y173" s="35" t="s">
        <v>53</v>
      </c>
      <c r="Z173" s="35" t="s">
        <v>60</v>
      </c>
      <c r="AA173" s="35" t="s">
        <v>61</v>
      </c>
      <c r="AB173" s="35" t="s">
        <v>222</v>
      </c>
      <c r="AC173" s="35" t="s">
        <v>222</v>
      </c>
      <c r="AD173" s="35" t="s">
        <v>45</v>
      </c>
      <c r="AE173" s="35" t="s">
        <v>222</v>
      </c>
      <c r="AF173" s="35"/>
      <c r="AG173" s="128" t="s">
        <v>1495</v>
      </c>
    </row>
    <row r="174" spans="1:33" ht="25.5" x14ac:dyDescent="0.25">
      <c r="A174" s="35" t="s">
        <v>367</v>
      </c>
      <c r="B174" s="35" t="s">
        <v>164</v>
      </c>
      <c r="C174" s="35" t="s">
        <v>1539</v>
      </c>
      <c r="D174" s="35" t="s">
        <v>1540</v>
      </c>
      <c r="E174" s="35" t="s">
        <v>1387</v>
      </c>
      <c r="F174" s="35" t="s">
        <v>1541</v>
      </c>
      <c r="G174" s="35"/>
      <c r="H174" s="35" t="s">
        <v>1542</v>
      </c>
      <c r="I174" s="35">
        <v>4</v>
      </c>
      <c r="J174" s="35">
        <v>4</v>
      </c>
      <c r="K174" s="35" t="s">
        <v>77</v>
      </c>
      <c r="L174" s="35">
        <v>0.52</v>
      </c>
      <c r="M174" s="35" t="s">
        <v>45</v>
      </c>
      <c r="N174" s="35" t="s">
        <v>53</v>
      </c>
      <c r="O174" s="35" t="s">
        <v>1490</v>
      </c>
      <c r="P174" s="35" t="s">
        <v>1491</v>
      </c>
      <c r="Q174" s="35" t="s">
        <v>85</v>
      </c>
      <c r="R174" s="35" t="s">
        <v>82</v>
      </c>
      <c r="S174" s="35" t="s">
        <v>148</v>
      </c>
      <c r="T174" s="35" t="s">
        <v>1492</v>
      </c>
      <c r="U174" s="35" t="s">
        <v>1493</v>
      </c>
      <c r="V174" s="35" t="s">
        <v>45</v>
      </c>
      <c r="W174" s="35" t="s">
        <v>1639</v>
      </c>
      <c r="X174" s="35" t="s">
        <v>53</v>
      </c>
      <c r="Y174" s="35" t="s">
        <v>53</v>
      </c>
      <c r="Z174" s="35" t="s">
        <v>60</v>
      </c>
      <c r="AA174" s="35" t="s">
        <v>61</v>
      </c>
      <c r="AB174" s="35" t="s">
        <v>222</v>
      </c>
      <c r="AC174" s="35" t="s">
        <v>222</v>
      </c>
      <c r="AD174" s="35" t="s">
        <v>45</v>
      </c>
      <c r="AE174" s="35" t="s">
        <v>222</v>
      </c>
      <c r="AF174" s="35"/>
      <c r="AG174" s="128" t="s">
        <v>1495</v>
      </c>
    </row>
    <row r="175" spans="1:33" ht="195" x14ac:dyDescent="0.25">
      <c r="A175" s="35" t="s">
        <v>1654</v>
      </c>
      <c r="B175" s="35" t="s">
        <v>784</v>
      </c>
      <c r="C175" s="35" t="s">
        <v>1641</v>
      </c>
      <c r="D175" s="35" t="s">
        <v>1642</v>
      </c>
      <c r="E175" s="35" t="s">
        <v>1643</v>
      </c>
      <c r="F175" s="35" t="s">
        <v>1644</v>
      </c>
      <c r="G175" s="35" t="s">
        <v>1645</v>
      </c>
      <c r="H175" s="35"/>
      <c r="I175" s="35">
        <v>4</v>
      </c>
      <c r="J175" s="35">
        <v>1</v>
      </c>
      <c r="K175" s="35" t="s">
        <v>77</v>
      </c>
      <c r="L175" s="35">
        <v>0.4</v>
      </c>
      <c r="M175" s="35" t="s">
        <v>45</v>
      </c>
      <c r="N175" s="35" t="s">
        <v>53</v>
      </c>
      <c r="O175" s="35" t="s">
        <v>1634</v>
      </c>
      <c r="P175" s="35" t="s">
        <v>688</v>
      </c>
      <c r="Q175" s="35" t="s">
        <v>84</v>
      </c>
      <c r="R175" s="35" t="s">
        <v>79</v>
      </c>
      <c r="S175" s="35" t="s">
        <v>148</v>
      </c>
      <c r="T175" s="35" t="s">
        <v>1635</v>
      </c>
      <c r="U175" s="35" t="s">
        <v>1636</v>
      </c>
      <c r="V175" s="35" t="s">
        <v>45</v>
      </c>
      <c r="W175" s="35" t="s">
        <v>552</v>
      </c>
      <c r="X175" s="35" t="s">
        <v>45</v>
      </c>
      <c r="Y175" s="35" t="s">
        <v>552</v>
      </c>
      <c r="Z175" s="35" t="s">
        <v>60</v>
      </c>
      <c r="AA175" s="35" t="s">
        <v>47</v>
      </c>
      <c r="AB175" s="35" t="s">
        <v>69</v>
      </c>
      <c r="AC175" s="35" t="s">
        <v>74</v>
      </c>
      <c r="AD175" s="35" t="s">
        <v>53</v>
      </c>
      <c r="AE175" s="35" t="s">
        <v>1640</v>
      </c>
      <c r="AF175" s="35"/>
      <c r="AG175" s="128" t="s">
        <v>2539</v>
      </c>
    </row>
    <row r="176" spans="1:33" ht="195" x14ac:dyDescent="0.25">
      <c r="A176" s="35" t="s">
        <v>1654</v>
      </c>
      <c r="B176" s="35" t="s">
        <v>784</v>
      </c>
      <c r="C176" s="35" t="s">
        <v>1646</v>
      </c>
      <c r="D176" s="35" t="s">
        <v>193</v>
      </c>
      <c r="E176" s="35" t="s">
        <v>1647</v>
      </c>
      <c r="F176" s="35" t="s">
        <v>1648</v>
      </c>
      <c r="G176" s="35"/>
      <c r="H176" s="35" t="s">
        <v>1649</v>
      </c>
      <c r="I176" s="35">
        <v>2</v>
      </c>
      <c r="J176" s="35">
        <v>3</v>
      </c>
      <c r="K176" s="35" t="s">
        <v>64</v>
      </c>
      <c r="L176" s="35">
        <v>0.6</v>
      </c>
      <c r="M176" s="35" t="s">
        <v>45</v>
      </c>
      <c r="N176" s="35" t="s">
        <v>53</v>
      </c>
      <c r="O176" s="35" t="s">
        <v>1634</v>
      </c>
      <c r="P176" s="35" t="s">
        <v>688</v>
      </c>
      <c r="Q176" s="35" t="s">
        <v>84</v>
      </c>
      <c r="R176" s="35" t="s">
        <v>79</v>
      </c>
      <c r="S176" s="35" t="s">
        <v>148</v>
      </c>
      <c r="T176" s="35" t="s">
        <v>1635</v>
      </c>
      <c r="U176" s="35" t="s">
        <v>1636</v>
      </c>
      <c r="V176" s="35" t="s">
        <v>45</v>
      </c>
      <c r="W176" s="35" t="s">
        <v>552</v>
      </c>
      <c r="X176" s="35" t="s">
        <v>45</v>
      </c>
      <c r="Y176" s="35" t="s">
        <v>552</v>
      </c>
      <c r="Z176" s="35" t="s">
        <v>60</v>
      </c>
      <c r="AA176" s="35" t="s">
        <v>47</v>
      </c>
      <c r="AB176" s="35" t="s">
        <v>69</v>
      </c>
      <c r="AC176" s="35" t="s">
        <v>74</v>
      </c>
      <c r="AD176" s="35" t="s">
        <v>53</v>
      </c>
      <c r="AE176" s="35" t="s">
        <v>1640</v>
      </c>
      <c r="AF176" s="35"/>
      <c r="AG176" s="128" t="s">
        <v>2539</v>
      </c>
    </row>
    <row r="177" spans="1:33" ht="195" x14ac:dyDescent="0.25">
      <c r="A177" s="35" t="s">
        <v>1654</v>
      </c>
      <c r="B177" s="35" t="s">
        <v>164</v>
      </c>
      <c r="C177" s="35" t="s">
        <v>1650</v>
      </c>
      <c r="D177" s="35" t="s">
        <v>33</v>
      </c>
      <c r="E177" s="35" t="s">
        <v>1651</v>
      </c>
      <c r="F177" s="35" t="s">
        <v>1652</v>
      </c>
      <c r="G177" s="35" t="s">
        <v>1653</v>
      </c>
      <c r="H177" s="35"/>
      <c r="I177" s="35">
        <v>1</v>
      </c>
      <c r="J177" s="35">
        <v>1</v>
      </c>
      <c r="K177" s="35" t="s">
        <v>77</v>
      </c>
      <c r="L177" s="35">
        <v>0.28000000000000003</v>
      </c>
      <c r="M177" s="35" t="s">
        <v>45</v>
      </c>
      <c r="N177" s="35" t="s">
        <v>53</v>
      </c>
      <c r="O177" s="35" t="s">
        <v>1634</v>
      </c>
      <c r="P177" s="35" t="s">
        <v>688</v>
      </c>
      <c r="Q177" s="35" t="s">
        <v>84</v>
      </c>
      <c r="R177" s="35" t="s">
        <v>79</v>
      </c>
      <c r="S177" s="35" t="s">
        <v>148</v>
      </c>
      <c r="T177" s="35" t="s">
        <v>1635</v>
      </c>
      <c r="U177" s="35" t="s">
        <v>1636</v>
      </c>
      <c r="V177" s="35" t="s">
        <v>45</v>
      </c>
      <c r="W177" s="35" t="s">
        <v>552</v>
      </c>
      <c r="X177" s="35" t="s">
        <v>45</v>
      </c>
      <c r="Y177" s="35" t="s">
        <v>552</v>
      </c>
      <c r="Z177" s="35" t="s">
        <v>60</v>
      </c>
      <c r="AA177" s="35" t="s">
        <v>47</v>
      </c>
      <c r="AB177" s="35" t="s">
        <v>69</v>
      </c>
      <c r="AC177" s="35" t="s">
        <v>74</v>
      </c>
      <c r="AD177" s="35" t="s">
        <v>53</v>
      </c>
      <c r="AE177" s="35" t="s">
        <v>1640</v>
      </c>
      <c r="AF177" s="35"/>
      <c r="AG177" s="128" t="s">
        <v>2539</v>
      </c>
    </row>
    <row r="178" spans="1:33" ht="25.5" x14ac:dyDescent="0.25">
      <c r="A178" s="35" t="s">
        <v>142</v>
      </c>
      <c r="B178" s="35" t="s">
        <v>784</v>
      </c>
      <c r="C178" s="35" t="s">
        <v>1750</v>
      </c>
      <c r="D178" s="35"/>
      <c r="E178" s="35" t="s">
        <v>27</v>
      </c>
      <c r="F178" s="35" t="s">
        <v>1751</v>
      </c>
      <c r="G178" s="35" t="s">
        <v>1752</v>
      </c>
      <c r="H178" s="35" t="s">
        <v>1753</v>
      </c>
      <c r="I178" s="35">
        <v>1</v>
      </c>
      <c r="J178" s="35">
        <v>1</v>
      </c>
      <c r="K178" s="35" t="s">
        <v>64</v>
      </c>
      <c r="L178" s="35">
        <v>0.48</v>
      </c>
      <c r="M178" s="35" t="s">
        <v>53</v>
      </c>
      <c r="N178" s="35" t="s">
        <v>45</v>
      </c>
      <c r="O178" s="35" t="s">
        <v>1744</v>
      </c>
      <c r="P178" s="35" t="s">
        <v>945</v>
      </c>
      <c r="Q178" s="35" t="s">
        <v>81</v>
      </c>
      <c r="R178" s="35" t="s">
        <v>73</v>
      </c>
      <c r="S178" s="35" t="s">
        <v>148</v>
      </c>
      <c r="T178" s="35" t="s">
        <v>1745</v>
      </c>
      <c r="U178" s="35" t="s">
        <v>1746</v>
      </c>
      <c r="V178" s="35" t="s">
        <v>45</v>
      </c>
      <c r="W178" s="40" t="s">
        <v>1747</v>
      </c>
      <c r="X178" s="35" t="s">
        <v>53</v>
      </c>
      <c r="Y178" s="35" t="s">
        <v>552</v>
      </c>
      <c r="Z178" s="35" t="s">
        <v>46</v>
      </c>
      <c r="AA178" s="35" t="s">
        <v>74</v>
      </c>
      <c r="AB178" s="35" t="s">
        <v>74</v>
      </c>
      <c r="AC178" s="35" t="s">
        <v>74</v>
      </c>
      <c r="AD178" s="35" t="s">
        <v>53</v>
      </c>
      <c r="AE178" s="35" t="s">
        <v>1748</v>
      </c>
      <c r="AF178" s="35"/>
      <c r="AG178" s="128" t="s">
        <v>1749</v>
      </c>
    </row>
    <row r="179" spans="1:33" ht="76.5" x14ac:dyDescent="0.25">
      <c r="A179" s="35" t="s">
        <v>142</v>
      </c>
      <c r="B179" s="35" t="s">
        <v>784</v>
      </c>
      <c r="C179" s="35" t="s">
        <v>1754</v>
      </c>
      <c r="D179" s="35" t="s">
        <v>252</v>
      </c>
      <c r="E179" s="35" t="s">
        <v>321</v>
      </c>
      <c r="F179" s="35" t="s">
        <v>1755</v>
      </c>
      <c r="G179" s="35" t="s">
        <v>1756</v>
      </c>
      <c r="H179" s="35" t="s">
        <v>1757</v>
      </c>
      <c r="I179" s="35">
        <v>1</v>
      </c>
      <c r="J179" s="35">
        <v>1</v>
      </c>
      <c r="K179" s="35" t="s">
        <v>64</v>
      </c>
      <c r="L179" s="35">
        <v>0.48</v>
      </c>
      <c r="M179" s="35" t="s">
        <v>53</v>
      </c>
      <c r="N179" s="35" t="s">
        <v>45</v>
      </c>
      <c r="O179" s="35" t="s">
        <v>1744</v>
      </c>
      <c r="P179" s="35" t="s">
        <v>945</v>
      </c>
      <c r="Q179" s="35" t="s">
        <v>81</v>
      </c>
      <c r="R179" s="35" t="s">
        <v>73</v>
      </c>
      <c r="S179" s="35" t="s">
        <v>148</v>
      </c>
      <c r="T179" s="35" t="s">
        <v>1745</v>
      </c>
      <c r="U179" s="35" t="s">
        <v>1746</v>
      </c>
      <c r="V179" s="35" t="s">
        <v>45</v>
      </c>
      <c r="W179" s="40" t="s">
        <v>1747</v>
      </c>
      <c r="X179" s="35" t="s">
        <v>53</v>
      </c>
      <c r="Y179" s="35" t="s">
        <v>552</v>
      </c>
      <c r="Z179" s="35" t="s">
        <v>46</v>
      </c>
      <c r="AA179" s="35" t="s">
        <v>74</v>
      </c>
      <c r="AB179" s="35" t="s">
        <v>74</v>
      </c>
      <c r="AC179" s="35" t="s">
        <v>74</v>
      </c>
      <c r="AD179" s="35" t="s">
        <v>53</v>
      </c>
      <c r="AE179" s="35" t="s">
        <v>1748</v>
      </c>
      <c r="AF179" s="35"/>
      <c r="AG179" s="128" t="s">
        <v>1749</v>
      </c>
    </row>
    <row r="180" spans="1:33" ht="25.5" x14ac:dyDescent="0.25">
      <c r="A180" s="35" t="s">
        <v>142</v>
      </c>
      <c r="B180" s="35" t="s">
        <v>784</v>
      </c>
      <c r="C180" s="35" t="s">
        <v>1758</v>
      </c>
      <c r="D180" s="35" t="s">
        <v>189</v>
      </c>
      <c r="E180" s="35" t="s">
        <v>669</v>
      </c>
      <c r="F180" s="35" t="s">
        <v>1759</v>
      </c>
      <c r="G180" s="35"/>
      <c r="H180" s="35" t="s">
        <v>1760</v>
      </c>
      <c r="I180" s="35">
        <v>2</v>
      </c>
      <c r="J180" s="35">
        <v>1</v>
      </c>
      <c r="K180" s="35" t="s">
        <v>64</v>
      </c>
      <c r="L180" s="35">
        <v>0.52</v>
      </c>
      <c r="M180" s="35" t="s">
        <v>53</v>
      </c>
      <c r="N180" s="35" t="s">
        <v>45</v>
      </c>
      <c r="O180" s="35" t="s">
        <v>1744</v>
      </c>
      <c r="P180" s="35" t="s">
        <v>945</v>
      </c>
      <c r="Q180" s="35" t="s">
        <v>81</v>
      </c>
      <c r="R180" s="35" t="s">
        <v>73</v>
      </c>
      <c r="S180" s="35" t="s">
        <v>148</v>
      </c>
      <c r="T180" s="35" t="s">
        <v>1745</v>
      </c>
      <c r="U180" s="35" t="s">
        <v>1746</v>
      </c>
      <c r="V180" s="35" t="s">
        <v>45</v>
      </c>
      <c r="W180" s="40" t="s">
        <v>1747</v>
      </c>
      <c r="X180" s="35" t="s">
        <v>53</v>
      </c>
      <c r="Y180" s="35" t="s">
        <v>552</v>
      </c>
      <c r="Z180" s="35" t="s">
        <v>46</v>
      </c>
      <c r="AA180" s="35" t="s">
        <v>74</v>
      </c>
      <c r="AB180" s="35" t="s">
        <v>74</v>
      </c>
      <c r="AC180" s="35" t="s">
        <v>74</v>
      </c>
      <c r="AD180" s="35" t="s">
        <v>53</v>
      </c>
      <c r="AE180" s="35" t="s">
        <v>1748</v>
      </c>
      <c r="AF180" s="35"/>
      <c r="AG180" s="128" t="s">
        <v>1749</v>
      </c>
    </row>
    <row r="181" spans="1:33" ht="51" x14ac:dyDescent="0.25">
      <c r="A181" s="35" t="s">
        <v>142</v>
      </c>
      <c r="B181" s="35" t="s">
        <v>784</v>
      </c>
      <c r="C181" s="35" t="s">
        <v>1761</v>
      </c>
      <c r="D181" s="35" t="s">
        <v>33</v>
      </c>
      <c r="E181" s="35" t="s">
        <v>1762</v>
      </c>
      <c r="F181" s="35" t="s">
        <v>1763</v>
      </c>
      <c r="G181" s="35"/>
      <c r="H181" s="35" t="s">
        <v>1764</v>
      </c>
      <c r="I181" s="35">
        <v>0</v>
      </c>
      <c r="J181" s="35">
        <v>0</v>
      </c>
      <c r="K181" s="35" t="s">
        <v>396</v>
      </c>
      <c r="L181" s="35">
        <v>0</v>
      </c>
      <c r="M181" s="35" t="s">
        <v>53</v>
      </c>
      <c r="N181" s="35" t="s">
        <v>45</v>
      </c>
      <c r="O181" s="35" t="s">
        <v>1744</v>
      </c>
      <c r="P181" s="35" t="s">
        <v>945</v>
      </c>
      <c r="Q181" s="35" t="s">
        <v>81</v>
      </c>
      <c r="R181" s="35" t="s">
        <v>73</v>
      </c>
      <c r="S181" s="35" t="s">
        <v>148</v>
      </c>
      <c r="T181" s="35" t="s">
        <v>1745</v>
      </c>
      <c r="U181" s="35" t="s">
        <v>1746</v>
      </c>
      <c r="V181" s="35" t="s">
        <v>45</v>
      </c>
      <c r="W181" s="40" t="s">
        <v>1747</v>
      </c>
      <c r="X181" s="35" t="s">
        <v>53</v>
      </c>
      <c r="Y181" s="35" t="s">
        <v>552</v>
      </c>
      <c r="Z181" s="35" t="s">
        <v>46</v>
      </c>
      <c r="AA181" s="35" t="s">
        <v>74</v>
      </c>
      <c r="AB181" s="35" t="s">
        <v>74</v>
      </c>
      <c r="AC181" s="35" t="s">
        <v>74</v>
      </c>
      <c r="AD181" s="35" t="s">
        <v>53</v>
      </c>
      <c r="AE181" s="35" t="s">
        <v>1748</v>
      </c>
      <c r="AF181" s="35"/>
      <c r="AG181" s="128" t="s">
        <v>1749</v>
      </c>
    </row>
    <row r="182" spans="1:33" ht="38.25" x14ac:dyDescent="0.25">
      <c r="A182" s="35" t="s">
        <v>142</v>
      </c>
      <c r="B182" s="35" t="s">
        <v>784</v>
      </c>
      <c r="C182" s="35" t="s">
        <v>1765</v>
      </c>
      <c r="D182" s="35" t="s">
        <v>193</v>
      </c>
      <c r="E182" s="35" t="s">
        <v>1766</v>
      </c>
      <c r="F182" s="35" t="s">
        <v>1767</v>
      </c>
      <c r="G182" s="35"/>
      <c r="H182" s="35" t="s">
        <v>1768</v>
      </c>
      <c r="I182" s="35">
        <v>5</v>
      </c>
      <c r="J182" s="35">
        <v>5</v>
      </c>
      <c r="K182" s="35" t="s">
        <v>64</v>
      </c>
      <c r="L182" s="35">
        <v>0.8</v>
      </c>
      <c r="M182" s="35" t="s">
        <v>53</v>
      </c>
      <c r="N182" s="35" t="s">
        <v>45</v>
      </c>
      <c r="O182" s="35" t="s">
        <v>1744</v>
      </c>
      <c r="P182" s="35" t="s">
        <v>945</v>
      </c>
      <c r="Q182" s="35" t="s">
        <v>81</v>
      </c>
      <c r="R182" s="35" t="s">
        <v>73</v>
      </c>
      <c r="S182" s="35" t="s">
        <v>148</v>
      </c>
      <c r="T182" s="35" t="s">
        <v>1745</v>
      </c>
      <c r="U182" s="35" t="s">
        <v>1746</v>
      </c>
      <c r="V182" s="35" t="s">
        <v>45</v>
      </c>
      <c r="W182" s="40" t="s">
        <v>1747</v>
      </c>
      <c r="X182" s="35" t="s">
        <v>53</v>
      </c>
      <c r="Y182" s="35" t="s">
        <v>552</v>
      </c>
      <c r="Z182" s="35" t="s">
        <v>46</v>
      </c>
      <c r="AA182" s="35" t="s">
        <v>74</v>
      </c>
      <c r="AB182" s="35" t="s">
        <v>74</v>
      </c>
      <c r="AC182" s="35" t="s">
        <v>74</v>
      </c>
      <c r="AD182" s="35" t="s">
        <v>53</v>
      </c>
      <c r="AE182" s="35" t="s">
        <v>1748</v>
      </c>
      <c r="AF182" s="35"/>
      <c r="AG182" s="128" t="s">
        <v>1749</v>
      </c>
    </row>
    <row r="183" spans="1:33" ht="38.25" x14ac:dyDescent="0.25">
      <c r="A183" s="35" t="s">
        <v>142</v>
      </c>
      <c r="B183" s="35" t="s">
        <v>784</v>
      </c>
      <c r="C183" s="35" t="s">
        <v>1769</v>
      </c>
      <c r="D183" s="35" t="s">
        <v>332</v>
      </c>
      <c r="E183" s="35" t="s">
        <v>669</v>
      </c>
      <c r="F183" s="35" t="s">
        <v>1770</v>
      </c>
      <c r="G183" s="35"/>
      <c r="H183" s="35" t="s">
        <v>1771</v>
      </c>
      <c r="I183" s="35">
        <v>4</v>
      </c>
      <c r="J183" s="35">
        <v>4</v>
      </c>
      <c r="K183" s="35" t="s">
        <v>64</v>
      </c>
      <c r="L183" s="35">
        <v>0.72</v>
      </c>
      <c r="M183" s="35" t="s">
        <v>53</v>
      </c>
      <c r="N183" s="35" t="s">
        <v>45</v>
      </c>
      <c r="O183" s="35" t="s">
        <v>1744</v>
      </c>
      <c r="P183" s="35" t="s">
        <v>945</v>
      </c>
      <c r="Q183" s="35" t="s">
        <v>81</v>
      </c>
      <c r="R183" s="35" t="s">
        <v>73</v>
      </c>
      <c r="S183" s="35" t="s">
        <v>148</v>
      </c>
      <c r="T183" s="35" t="s">
        <v>1745</v>
      </c>
      <c r="U183" s="35" t="s">
        <v>1746</v>
      </c>
      <c r="V183" s="35" t="s">
        <v>45</v>
      </c>
      <c r="W183" s="40" t="s">
        <v>1747</v>
      </c>
      <c r="X183" s="35" t="s">
        <v>53</v>
      </c>
      <c r="Y183" s="35" t="s">
        <v>552</v>
      </c>
      <c r="Z183" s="35" t="s">
        <v>46</v>
      </c>
      <c r="AA183" s="35" t="s">
        <v>74</v>
      </c>
      <c r="AB183" s="35" t="s">
        <v>74</v>
      </c>
      <c r="AC183" s="35" t="s">
        <v>74</v>
      </c>
      <c r="AD183" s="35" t="s">
        <v>53</v>
      </c>
      <c r="AE183" s="35" t="s">
        <v>1748</v>
      </c>
      <c r="AF183" s="35"/>
      <c r="AG183" s="128" t="s">
        <v>1749</v>
      </c>
    </row>
    <row r="184" spans="1:33" ht="25.5" x14ac:dyDescent="0.25">
      <c r="A184" s="35" t="s">
        <v>142</v>
      </c>
      <c r="B184" s="35" t="s">
        <v>164</v>
      </c>
      <c r="C184" s="35" t="s">
        <v>1772</v>
      </c>
      <c r="D184" s="35" t="s">
        <v>1773</v>
      </c>
      <c r="E184" s="35" t="s">
        <v>1766</v>
      </c>
      <c r="F184" s="35" t="s">
        <v>1774</v>
      </c>
      <c r="G184" s="35"/>
      <c r="H184" s="35"/>
      <c r="I184" s="35">
        <v>5</v>
      </c>
      <c r="J184" s="35">
        <v>5</v>
      </c>
      <c r="K184" s="35" t="s">
        <v>77</v>
      </c>
      <c r="L184" s="35">
        <v>0.6</v>
      </c>
      <c r="M184" s="35" t="s">
        <v>53</v>
      </c>
      <c r="N184" s="35" t="s">
        <v>45</v>
      </c>
      <c r="O184" s="35" t="s">
        <v>1744</v>
      </c>
      <c r="P184" s="35" t="s">
        <v>945</v>
      </c>
      <c r="Q184" s="35" t="s">
        <v>81</v>
      </c>
      <c r="R184" s="35" t="s">
        <v>73</v>
      </c>
      <c r="S184" s="35" t="s">
        <v>148</v>
      </c>
      <c r="T184" s="35" t="s">
        <v>1745</v>
      </c>
      <c r="U184" s="35" t="s">
        <v>1746</v>
      </c>
      <c r="V184" s="35" t="s">
        <v>45</v>
      </c>
      <c r="W184" s="40" t="s">
        <v>1747</v>
      </c>
      <c r="X184" s="35" t="s">
        <v>53</v>
      </c>
      <c r="Y184" s="35" t="s">
        <v>552</v>
      </c>
      <c r="Z184" s="35" t="s">
        <v>46</v>
      </c>
      <c r="AA184" s="35" t="s">
        <v>74</v>
      </c>
      <c r="AB184" s="35" t="s">
        <v>74</v>
      </c>
      <c r="AC184" s="35" t="s">
        <v>74</v>
      </c>
      <c r="AD184" s="35" t="s">
        <v>53</v>
      </c>
      <c r="AE184" s="35" t="s">
        <v>1748</v>
      </c>
      <c r="AF184" s="35"/>
      <c r="AG184" s="128" t="s">
        <v>1749</v>
      </c>
    </row>
    <row r="185" spans="1:33" ht="25.5" x14ac:dyDescent="0.25">
      <c r="A185" s="35" t="s">
        <v>142</v>
      </c>
      <c r="B185" s="35" t="s">
        <v>164</v>
      </c>
      <c r="C185" s="35" t="s">
        <v>1775</v>
      </c>
      <c r="D185" s="35" t="s">
        <v>1776</v>
      </c>
      <c r="E185" s="35" t="s">
        <v>1777</v>
      </c>
      <c r="F185" s="35" t="s">
        <v>1778</v>
      </c>
      <c r="G185" s="35"/>
      <c r="H185" s="35" t="s">
        <v>1779</v>
      </c>
      <c r="I185" s="35">
        <v>5</v>
      </c>
      <c r="J185" s="35">
        <v>5</v>
      </c>
      <c r="K185" s="35" t="s">
        <v>77</v>
      </c>
      <c r="L185" s="35">
        <v>0.6</v>
      </c>
      <c r="M185" s="35" t="s">
        <v>53</v>
      </c>
      <c r="N185" s="35" t="s">
        <v>45</v>
      </c>
      <c r="O185" s="35" t="s">
        <v>1744</v>
      </c>
      <c r="P185" s="35" t="s">
        <v>945</v>
      </c>
      <c r="Q185" s="35" t="s">
        <v>81</v>
      </c>
      <c r="R185" s="35" t="s">
        <v>73</v>
      </c>
      <c r="S185" s="35" t="s">
        <v>148</v>
      </c>
      <c r="T185" s="35" t="s">
        <v>1745</v>
      </c>
      <c r="U185" s="35" t="s">
        <v>1746</v>
      </c>
      <c r="V185" s="35" t="s">
        <v>45</v>
      </c>
      <c r="W185" s="40" t="s">
        <v>1747</v>
      </c>
      <c r="X185" s="35" t="s">
        <v>53</v>
      </c>
      <c r="Y185" s="35" t="s">
        <v>552</v>
      </c>
      <c r="Z185" s="35" t="s">
        <v>46</v>
      </c>
      <c r="AA185" s="35" t="s">
        <v>74</v>
      </c>
      <c r="AB185" s="35" t="s">
        <v>74</v>
      </c>
      <c r="AC185" s="35" t="s">
        <v>74</v>
      </c>
      <c r="AD185" s="35" t="s">
        <v>53</v>
      </c>
      <c r="AE185" s="35" t="s">
        <v>1748</v>
      </c>
      <c r="AF185" s="35"/>
      <c r="AG185" s="128" t="s">
        <v>1749</v>
      </c>
    </row>
    <row r="186" spans="1:33" ht="25.5" x14ac:dyDescent="0.25">
      <c r="A186" s="35" t="s">
        <v>142</v>
      </c>
      <c r="B186" s="35" t="s">
        <v>164</v>
      </c>
      <c r="C186" s="35" t="s">
        <v>1780</v>
      </c>
      <c r="D186" s="35" t="s">
        <v>193</v>
      </c>
      <c r="E186" s="35" t="s">
        <v>1781</v>
      </c>
      <c r="F186" s="35" t="s">
        <v>1782</v>
      </c>
      <c r="G186" s="35"/>
      <c r="H186" s="35" t="s">
        <v>1783</v>
      </c>
      <c r="I186" s="35">
        <v>5</v>
      </c>
      <c r="J186" s="35">
        <v>5</v>
      </c>
      <c r="K186" s="35" t="s">
        <v>77</v>
      </c>
      <c r="L186" s="35">
        <v>0.6</v>
      </c>
      <c r="M186" s="35" t="s">
        <v>53</v>
      </c>
      <c r="N186" s="35" t="s">
        <v>45</v>
      </c>
      <c r="O186" s="35" t="s">
        <v>1744</v>
      </c>
      <c r="P186" s="35" t="s">
        <v>945</v>
      </c>
      <c r="Q186" s="35" t="s">
        <v>81</v>
      </c>
      <c r="R186" s="35" t="s">
        <v>73</v>
      </c>
      <c r="S186" s="35" t="s">
        <v>148</v>
      </c>
      <c r="T186" s="35" t="s">
        <v>1745</v>
      </c>
      <c r="U186" s="35" t="s">
        <v>1746</v>
      </c>
      <c r="V186" s="35" t="s">
        <v>45</v>
      </c>
      <c r="W186" s="40" t="s">
        <v>1747</v>
      </c>
      <c r="X186" s="35" t="s">
        <v>53</v>
      </c>
      <c r="Y186" s="35" t="s">
        <v>552</v>
      </c>
      <c r="Z186" s="35" t="s">
        <v>46</v>
      </c>
      <c r="AA186" s="35" t="s">
        <v>74</v>
      </c>
      <c r="AB186" s="35" t="s">
        <v>74</v>
      </c>
      <c r="AC186" s="35" t="s">
        <v>74</v>
      </c>
      <c r="AD186" s="35" t="s">
        <v>53</v>
      </c>
      <c r="AE186" s="35" t="s">
        <v>1748</v>
      </c>
      <c r="AF186" s="35"/>
      <c r="AG186" s="128" t="s">
        <v>1749</v>
      </c>
    </row>
    <row r="187" spans="1:33" ht="25.5" x14ac:dyDescent="0.25">
      <c r="A187" s="35" t="s">
        <v>142</v>
      </c>
      <c r="B187" s="35" t="s">
        <v>164</v>
      </c>
      <c r="C187" s="35" t="s">
        <v>1784</v>
      </c>
      <c r="D187" s="35" t="s">
        <v>1785</v>
      </c>
      <c r="E187" s="35" t="s">
        <v>209</v>
      </c>
      <c r="F187" s="35" t="s">
        <v>1786</v>
      </c>
      <c r="G187" s="35"/>
      <c r="H187" s="35" t="s">
        <v>1787</v>
      </c>
      <c r="I187" s="35">
        <v>5</v>
      </c>
      <c r="J187" s="35">
        <v>5</v>
      </c>
      <c r="K187" s="35" t="s">
        <v>77</v>
      </c>
      <c r="L187" s="35">
        <v>0.6</v>
      </c>
      <c r="M187" s="35" t="s">
        <v>53</v>
      </c>
      <c r="N187" s="35" t="s">
        <v>45</v>
      </c>
      <c r="O187" s="35" t="s">
        <v>1744</v>
      </c>
      <c r="P187" s="35" t="s">
        <v>945</v>
      </c>
      <c r="Q187" s="35" t="s">
        <v>81</v>
      </c>
      <c r="R187" s="35" t="s">
        <v>73</v>
      </c>
      <c r="S187" s="35" t="s">
        <v>148</v>
      </c>
      <c r="T187" s="35" t="s">
        <v>1745</v>
      </c>
      <c r="U187" s="35" t="s">
        <v>1746</v>
      </c>
      <c r="V187" s="35" t="s">
        <v>45</v>
      </c>
      <c r="W187" s="40" t="s">
        <v>1747</v>
      </c>
      <c r="X187" s="35" t="s">
        <v>53</v>
      </c>
      <c r="Y187" s="35" t="s">
        <v>552</v>
      </c>
      <c r="Z187" s="35" t="s">
        <v>46</v>
      </c>
      <c r="AA187" s="35" t="s">
        <v>74</v>
      </c>
      <c r="AB187" s="35" t="s">
        <v>74</v>
      </c>
      <c r="AC187" s="35" t="s">
        <v>74</v>
      </c>
      <c r="AD187" s="35" t="s">
        <v>53</v>
      </c>
      <c r="AE187" s="35" t="s">
        <v>1748</v>
      </c>
      <c r="AF187" s="35"/>
      <c r="AG187" s="128" t="s">
        <v>1749</v>
      </c>
    </row>
    <row r="188" spans="1:33" ht="89.25" x14ac:dyDescent="0.25">
      <c r="A188" s="35" t="s">
        <v>142</v>
      </c>
      <c r="B188" s="35" t="s">
        <v>784</v>
      </c>
      <c r="C188" s="35" t="s">
        <v>1795</v>
      </c>
      <c r="D188" s="35"/>
      <c r="E188" s="35" t="s">
        <v>27</v>
      </c>
      <c r="F188" s="35" t="s">
        <v>1796</v>
      </c>
      <c r="G188" s="35"/>
      <c r="H188" s="35" t="s">
        <v>1797</v>
      </c>
      <c r="I188" s="35">
        <v>1</v>
      </c>
      <c r="J188" s="35">
        <v>1</v>
      </c>
      <c r="K188" s="35" t="s">
        <v>64</v>
      </c>
      <c r="L188" s="35">
        <v>0.48</v>
      </c>
      <c r="M188" s="35" t="s">
        <v>45</v>
      </c>
      <c r="N188" s="35" t="s">
        <v>53</v>
      </c>
      <c r="O188" s="35" t="s">
        <v>1788</v>
      </c>
      <c r="P188" s="35" t="s">
        <v>252</v>
      </c>
      <c r="Q188" s="35" t="s">
        <v>65</v>
      </c>
      <c r="R188" s="35" t="s">
        <v>79</v>
      </c>
      <c r="S188" s="35" t="s">
        <v>1789</v>
      </c>
      <c r="T188" s="35" t="s">
        <v>1790</v>
      </c>
      <c r="U188" s="35" t="s">
        <v>1791</v>
      </c>
      <c r="V188" s="35" t="s">
        <v>45</v>
      </c>
      <c r="W188" s="161" t="s">
        <v>1792</v>
      </c>
      <c r="X188" s="35" t="s">
        <v>53</v>
      </c>
      <c r="Y188" s="35" t="s">
        <v>552</v>
      </c>
      <c r="Z188" s="35" t="s">
        <v>54</v>
      </c>
      <c r="AA188" s="35" t="s">
        <v>47</v>
      </c>
      <c r="AB188" s="35" t="s">
        <v>74</v>
      </c>
      <c r="AC188" s="35" t="s">
        <v>74</v>
      </c>
      <c r="AD188" s="35" t="s">
        <v>45</v>
      </c>
      <c r="AE188" s="35" t="s">
        <v>1793</v>
      </c>
      <c r="AF188" s="35"/>
      <c r="AG188" s="128" t="s">
        <v>1794</v>
      </c>
    </row>
    <row r="189" spans="1:33" ht="89.25" x14ac:dyDescent="0.25">
      <c r="A189" s="35" t="s">
        <v>142</v>
      </c>
      <c r="B189" s="35" t="s">
        <v>784</v>
      </c>
      <c r="C189" s="35" t="s">
        <v>1798</v>
      </c>
      <c r="D189" s="35" t="s">
        <v>252</v>
      </c>
      <c r="E189" s="35" t="s">
        <v>1799</v>
      </c>
      <c r="F189" s="35" t="s">
        <v>1800</v>
      </c>
      <c r="G189" s="35"/>
      <c r="H189" s="35" t="s">
        <v>1801</v>
      </c>
      <c r="I189" s="35">
        <v>1</v>
      </c>
      <c r="J189" s="35">
        <v>1</v>
      </c>
      <c r="K189" s="35" t="s">
        <v>71</v>
      </c>
      <c r="L189" s="35">
        <v>0.28000000000000003</v>
      </c>
      <c r="M189" s="35" t="s">
        <v>45</v>
      </c>
      <c r="N189" s="35" t="s">
        <v>53</v>
      </c>
      <c r="O189" s="35" t="s">
        <v>1788</v>
      </c>
      <c r="P189" s="35" t="s">
        <v>252</v>
      </c>
      <c r="Q189" s="35" t="s">
        <v>65</v>
      </c>
      <c r="R189" s="35" t="s">
        <v>79</v>
      </c>
      <c r="S189" s="35" t="s">
        <v>1789</v>
      </c>
      <c r="T189" s="35" t="s">
        <v>1790</v>
      </c>
      <c r="U189" s="35" t="s">
        <v>1791</v>
      </c>
      <c r="V189" s="35" t="s">
        <v>45</v>
      </c>
      <c r="W189" s="161" t="s">
        <v>1792</v>
      </c>
      <c r="X189" s="35" t="s">
        <v>53</v>
      </c>
      <c r="Y189" s="35" t="s">
        <v>552</v>
      </c>
      <c r="Z189" s="35" t="s">
        <v>54</v>
      </c>
      <c r="AA189" s="35" t="s">
        <v>47</v>
      </c>
      <c r="AB189" s="35" t="s">
        <v>74</v>
      </c>
      <c r="AC189" s="35" t="s">
        <v>74</v>
      </c>
      <c r="AD189" s="35" t="s">
        <v>45</v>
      </c>
      <c r="AE189" s="35" t="s">
        <v>1793</v>
      </c>
      <c r="AF189" s="35"/>
      <c r="AG189" s="128" t="s">
        <v>1794</v>
      </c>
    </row>
    <row r="190" spans="1:33" ht="89.25" x14ac:dyDescent="0.25">
      <c r="A190" s="35" t="s">
        <v>142</v>
      </c>
      <c r="B190" s="35" t="s">
        <v>784</v>
      </c>
      <c r="C190" s="35" t="s">
        <v>1802</v>
      </c>
      <c r="D190" s="35" t="s">
        <v>33</v>
      </c>
      <c r="E190" s="35" t="s">
        <v>785</v>
      </c>
      <c r="F190" s="35" t="s">
        <v>1803</v>
      </c>
      <c r="G190" s="35"/>
      <c r="H190" s="35" t="s">
        <v>1804</v>
      </c>
      <c r="I190" s="35">
        <v>1</v>
      </c>
      <c r="J190" s="35">
        <v>1</v>
      </c>
      <c r="K190" s="35" t="s">
        <v>64</v>
      </c>
      <c r="L190" s="35">
        <v>0.48</v>
      </c>
      <c r="M190" s="35" t="s">
        <v>45</v>
      </c>
      <c r="N190" s="35" t="s">
        <v>53</v>
      </c>
      <c r="O190" s="35" t="s">
        <v>1788</v>
      </c>
      <c r="P190" s="35" t="s">
        <v>252</v>
      </c>
      <c r="Q190" s="35" t="s">
        <v>65</v>
      </c>
      <c r="R190" s="35" t="s">
        <v>79</v>
      </c>
      <c r="S190" s="35" t="s">
        <v>1789</v>
      </c>
      <c r="T190" s="35" t="s">
        <v>1790</v>
      </c>
      <c r="U190" s="35" t="s">
        <v>1791</v>
      </c>
      <c r="V190" s="35" t="s">
        <v>45</v>
      </c>
      <c r="W190" s="161" t="s">
        <v>1792</v>
      </c>
      <c r="X190" s="35" t="s">
        <v>53</v>
      </c>
      <c r="Y190" s="35" t="s">
        <v>552</v>
      </c>
      <c r="Z190" s="35" t="s">
        <v>54</v>
      </c>
      <c r="AA190" s="35" t="s">
        <v>47</v>
      </c>
      <c r="AB190" s="35" t="s">
        <v>74</v>
      </c>
      <c r="AC190" s="35" t="s">
        <v>74</v>
      </c>
      <c r="AD190" s="35" t="s">
        <v>45</v>
      </c>
      <c r="AE190" s="35" t="s">
        <v>1793</v>
      </c>
      <c r="AF190" s="35"/>
      <c r="AG190" s="128" t="s">
        <v>1794</v>
      </c>
    </row>
    <row r="191" spans="1:33" ht="89.25" x14ac:dyDescent="0.25">
      <c r="A191" s="35" t="s">
        <v>142</v>
      </c>
      <c r="B191" s="35" t="s">
        <v>784</v>
      </c>
      <c r="C191" s="35" t="s">
        <v>1805</v>
      </c>
      <c r="D191" s="35" t="s">
        <v>193</v>
      </c>
      <c r="E191" s="35" t="s">
        <v>1806</v>
      </c>
      <c r="F191" s="35" t="s">
        <v>1807</v>
      </c>
      <c r="G191" s="35"/>
      <c r="H191" s="35" t="s">
        <v>1808</v>
      </c>
      <c r="I191" s="35">
        <v>3</v>
      </c>
      <c r="J191" s="35">
        <v>3</v>
      </c>
      <c r="K191" s="35" t="s">
        <v>77</v>
      </c>
      <c r="L191" s="35">
        <v>0.44</v>
      </c>
      <c r="M191" s="35" t="s">
        <v>45</v>
      </c>
      <c r="N191" s="35" t="s">
        <v>53</v>
      </c>
      <c r="O191" s="35" t="s">
        <v>1788</v>
      </c>
      <c r="P191" s="35" t="s">
        <v>252</v>
      </c>
      <c r="Q191" s="35" t="s">
        <v>65</v>
      </c>
      <c r="R191" s="35" t="s">
        <v>79</v>
      </c>
      <c r="S191" s="35" t="s">
        <v>1789</v>
      </c>
      <c r="T191" s="35" t="s">
        <v>1790</v>
      </c>
      <c r="U191" s="35" t="s">
        <v>1791</v>
      </c>
      <c r="V191" s="35" t="s">
        <v>45</v>
      </c>
      <c r="W191" s="161" t="s">
        <v>1792</v>
      </c>
      <c r="X191" s="35" t="s">
        <v>53</v>
      </c>
      <c r="Y191" s="35" t="s">
        <v>552</v>
      </c>
      <c r="Z191" s="35" t="s">
        <v>54</v>
      </c>
      <c r="AA191" s="35" t="s">
        <v>47</v>
      </c>
      <c r="AB191" s="35" t="s">
        <v>74</v>
      </c>
      <c r="AC191" s="35" t="s">
        <v>74</v>
      </c>
      <c r="AD191" s="35" t="s">
        <v>45</v>
      </c>
      <c r="AE191" s="35" t="s">
        <v>1793</v>
      </c>
      <c r="AF191" s="35"/>
      <c r="AG191" s="128" t="s">
        <v>1794</v>
      </c>
    </row>
    <row r="192" spans="1:33" ht="89.25" x14ac:dyDescent="0.25">
      <c r="A192" s="35" t="s">
        <v>142</v>
      </c>
      <c r="B192" s="35" t="s">
        <v>784</v>
      </c>
      <c r="C192" s="35" t="s">
        <v>1809</v>
      </c>
      <c r="D192" s="35"/>
      <c r="E192" s="35" t="s">
        <v>1810</v>
      </c>
      <c r="F192" s="35"/>
      <c r="G192" s="35"/>
      <c r="H192" s="35" t="s">
        <v>1811</v>
      </c>
      <c r="I192" s="35">
        <v>1</v>
      </c>
      <c r="J192" s="35">
        <v>1</v>
      </c>
      <c r="K192" s="35" t="s">
        <v>77</v>
      </c>
      <c r="L192" s="35">
        <v>0.28000000000000003</v>
      </c>
      <c r="M192" s="35" t="s">
        <v>45</v>
      </c>
      <c r="N192" s="35" t="s">
        <v>53</v>
      </c>
      <c r="O192" s="35" t="s">
        <v>1788</v>
      </c>
      <c r="P192" s="35" t="s">
        <v>252</v>
      </c>
      <c r="Q192" s="35" t="s">
        <v>65</v>
      </c>
      <c r="R192" s="35" t="s">
        <v>79</v>
      </c>
      <c r="S192" s="35" t="s">
        <v>1789</v>
      </c>
      <c r="T192" s="35" t="s">
        <v>1790</v>
      </c>
      <c r="U192" s="35" t="s">
        <v>1791</v>
      </c>
      <c r="V192" s="35" t="s">
        <v>45</v>
      </c>
      <c r="W192" s="161" t="s">
        <v>1792</v>
      </c>
      <c r="X192" s="35" t="s">
        <v>53</v>
      </c>
      <c r="Y192" s="35" t="s">
        <v>552</v>
      </c>
      <c r="Z192" s="35" t="s">
        <v>54</v>
      </c>
      <c r="AA192" s="35" t="s">
        <v>47</v>
      </c>
      <c r="AB192" s="35" t="s">
        <v>74</v>
      </c>
      <c r="AC192" s="35" t="s">
        <v>74</v>
      </c>
      <c r="AD192" s="35" t="s">
        <v>45</v>
      </c>
      <c r="AE192" s="35" t="s">
        <v>1793</v>
      </c>
      <c r="AF192" s="35"/>
      <c r="AG192" s="128" t="s">
        <v>1794</v>
      </c>
    </row>
    <row r="193" spans="1:33" ht="89.25" x14ac:dyDescent="0.25">
      <c r="A193" s="35" t="s">
        <v>142</v>
      </c>
      <c r="B193" s="35" t="s">
        <v>164</v>
      </c>
      <c r="C193" s="35" t="s">
        <v>1812</v>
      </c>
      <c r="D193" s="35" t="s">
        <v>193</v>
      </c>
      <c r="E193" s="35" t="s">
        <v>1813</v>
      </c>
      <c r="F193" s="35" t="s">
        <v>1814</v>
      </c>
      <c r="G193" s="35"/>
      <c r="H193" s="35" t="s">
        <v>1815</v>
      </c>
      <c r="I193" s="35">
        <v>3</v>
      </c>
      <c r="J193" s="35">
        <v>3</v>
      </c>
      <c r="K193" s="35" t="s">
        <v>77</v>
      </c>
      <c r="L193" s="35">
        <v>0.44</v>
      </c>
      <c r="M193" s="35" t="s">
        <v>45</v>
      </c>
      <c r="N193" s="35" t="s">
        <v>53</v>
      </c>
      <c r="O193" s="35" t="s">
        <v>1788</v>
      </c>
      <c r="P193" s="35" t="s">
        <v>252</v>
      </c>
      <c r="Q193" s="35" t="s">
        <v>65</v>
      </c>
      <c r="R193" s="35" t="s">
        <v>79</v>
      </c>
      <c r="S193" s="35" t="s">
        <v>1789</v>
      </c>
      <c r="T193" s="35" t="s">
        <v>1790</v>
      </c>
      <c r="U193" s="35" t="s">
        <v>1791</v>
      </c>
      <c r="V193" s="35" t="s">
        <v>45</v>
      </c>
      <c r="W193" s="161" t="s">
        <v>1792</v>
      </c>
      <c r="X193" s="35" t="s">
        <v>53</v>
      </c>
      <c r="Y193" s="35" t="s">
        <v>552</v>
      </c>
      <c r="Z193" s="35" t="s">
        <v>54</v>
      </c>
      <c r="AA193" s="35" t="s">
        <v>47</v>
      </c>
      <c r="AB193" s="35" t="s">
        <v>74</v>
      </c>
      <c r="AC193" s="35" t="s">
        <v>74</v>
      </c>
      <c r="AD193" s="35" t="s">
        <v>45</v>
      </c>
      <c r="AE193" s="35" t="s">
        <v>1793</v>
      </c>
      <c r="AF193" s="35"/>
      <c r="AG193" s="128" t="s">
        <v>1794</v>
      </c>
    </row>
    <row r="194" spans="1:33" ht="89.25" x14ac:dyDescent="0.25">
      <c r="A194" s="35" t="s">
        <v>142</v>
      </c>
      <c r="B194" s="35" t="s">
        <v>164</v>
      </c>
      <c r="C194" s="35" t="s">
        <v>1816</v>
      </c>
      <c r="D194" s="35" t="s">
        <v>193</v>
      </c>
      <c r="E194" s="35" t="s">
        <v>1817</v>
      </c>
      <c r="F194" s="35" t="s">
        <v>1818</v>
      </c>
      <c r="G194" s="35"/>
      <c r="H194" s="35" t="s">
        <v>1819</v>
      </c>
      <c r="I194" s="35">
        <v>5</v>
      </c>
      <c r="J194" s="35">
        <v>3</v>
      </c>
      <c r="K194" s="35" t="s">
        <v>77</v>
      </c>
      <c r="L194" s="35">
        <v>0.52</v>
      </c>
      <c r="M194" s="35" t="s">
        <v>45</v>
      </c>
      <c r="N194" s="35" t="s">
        <v>53</v>
      </c>
      <c r="O194" s="35" t="s">
        <v>1788</v>
      </c>
      <c r="P194" s="35" t="s">
        <v>252</v>
      </c>
      <c r="Q194" s="35" t="s">
        <v>65</v>
      </c>
      <c r="R194" s="35" t="s">
        <v>79</v>
      </c>
      <c r="S194" s="35" t="s">
        <v>1789</v>
      </c>
      <c r="T194" s="35" t="s">
        <v>1790</v>
      </c>
      <c r="U194" s="35" t="s">
        <v>1791</v>
      </c>
      <c r="V194" s="35" t="s">
        <v>45</v>
      </c>
      <c r="W194" s="161" t="s">
        <v>1792</v>
      </c>
      <c r="X194" s="35" t="s">
        <v>53</v>
      </c>
      <c r="Y194" s="35" t="s">
        <v>552</v>
      </c>
      <c r="Z194" s="35" t="s">
        <v>54</v>
      </c>
      <c r="AA194" s="35" t="s">
        <v>47</v>
      </c>
      <c r="AB194" s="35" t="s">
        <v>74</v>
      </c>
      <c r="AC194" s="35" t="s">
        <v>74</v>
      </c>
      <c r="AD194" s="35" t="s">
        <v>45</v>
      </c>
      <c r="AE194" s="35" t="s">
        <v>1793</v>
      </c>
      <c r="AF194" s="35"/>
      <c r="AG194" s="128" t="s">
        <v>1794</v>
      </c>
    </row>
    <row r="195" spans="1:33" ht="89.25" x14ac:dyDescent="0.25">
      <c r="A195" s="35" t="s">
        <v>142</v>
      </c>
      <c r="B195" s="35" t="s">
        <v>164</v>
      </c>
      <c r="C195" s="35" t="s">
        <v>1820</v>
      </c>
      <c r="D195" s="35" t="s">
        <v>193</v>
      </c>
      <c r="E195" s="35" t="s">
        <v>1821</v>
      </c>
      <c r="F195" s="35" t="s">
        <v>1822</v>
      </c>
      <c r="G195" s="35"/>
      <c r="H195" s="35" t="s">
        <v>1823</v>
      </c>
      <c r="I195" s="35">
        <v>1</v>
      </c>
      <c r="J195" s="35">
        <v>1</v>
      </c>
      <c r="K195" s="35" t="s">
        <v>64</v>
      </c>
      <c r="L195" s="35">
        <v>0.48</v>
      </c>
      <c r="M195" s="35" t="s">
        <v>45</v>
      </c>
      <c r="N195" s="35" t="s">
        <v>53</v>
      </c>
      <c r="O195" s="35" t="s">
        <v>1788</v>
      </c>
      <c r="P195" s="35" t="s">
        <v>252</v>
      </c>
      <c r="Q195" s="35" t="s">
        <v>65</v>
      </c>
      <c r="R195" s="35" t="s">
        <v>79</v>
      </c>
      <c r="S195" s="35" t="s">
        <v>1789</v>
      </c>
      <c r="T195" s="35" t="s">
        <v>1790</v>
      </c>
      <c r="U195" s="35" t="s">
        <v>1791</v>
      </c>
      <c r="V195" s="35" t="s">
        <v>45</v>
      </c>
      <c r="W195" s="161" t="s">
        <v>1792</v>
      </c>
      <c r="X195" s="35" t="s">
        <v>53</v>
      </c>
      <c r="Y195" s="35" t="s">
        <v>552</v>
      </c>
      <c r="Z195" s="35" t="s">
        <v>54</v>
      </c>
      <c r="AA195" s="35" t="s">
        <v>47</v>
      </c>
      <c r="AB195" s="35" t="s">
        <v>74</v>
      </c>
      <c r="AC195" s="35" t="s">
        <v>74</v>
      </c>
      <c r="AD195" s="35" t="s">
        <v>45</v>
      </c>
      <c r="AE195" s="35" t="s">
        <v>1793</v>
      </c>
      <c r="AF195" s="35"/>
      <c r="AG195" s="128" t="s">
        <v>1794</v>
      </c>
    </row>
    <row r="196" spans="1:33" ht="51" x14ac:dyDescent="0.25">
      <c r="A196" s="35" t="s">
        <v>142</v>
      </c>
      <c r="B196" s="35" t="s">
        <v>784</v>
      </c>
      <c r="C196" s="35" t="s">
        <v>1830</v>
      </c>
      <c r="D196" s="35" t="s">
        <v>179</v>
      </c>
      <c r="E196" s="35" t="s">
        <v>669</v>
      </c>
      <c r="F196" s="35"/>
      <c r="G196" s="35"/>
      <c r="H196" s="35" t="s">
        <v>1831</v>
      </c>
      <c r="I196" s="35">
        <v>0</v>
      </c>
      <c r="J196" s="35">
        <v>0</v>
      </c>
      <c r="K196" s="35" t="s">
        <v>396</v>
      </c>
      <c r="L196" s="35">
        <v>0</v>
      </c>
      <c r="M196" s="35" t="s">
        <v>45</v>
      </c>
      <c r="N196" s="35" t="s">
        <v>53</v>
      </c>
      <c r="O196" s="35" t="s">
        <v>1824</v>
      </c>
      <c r="P196" s="35" t="s">
        <v>252</v>
      </c>
      <c r="Q196" s="35" t="s">
        <v>81</v>
      </c>
      <c r="R196" s="35" t="s">
        <v>73</v>
      </c>
      <c r="S196" s="35" t="s">
        <v>756</v>
      </c>
      <c r="T196" s="35" t="s">
        <v>1825</v>
      </c>
      <c r="U196" s="35" t="s">
        <v>1826</v>
      </c>
      <c r="V196" s="35" t="s">
        <v>45</v>
      </c>
      <c r="W196" s="35" t="s">
        <v>1827</v>
      </c>
      <c r="X196" s="35" t="s">
        <v>53</v>
      </c>
      <c r="Y196" s="35" t="s">
        <v>552</v>
      </c>
      <c r="Z196" s="35" t="s">
        <v>60</v>
      </c>
      <c r="AA196" s="35" t="s">
        <v>74</v>
      </c>
      <c r="AB196" s="35" t="s">
        <v>48</v>
      </c>
      <c r="AC196" s="35" t="s">
        <v>74</v>
      </c>
      <c r="AD196" s="35" t="s">
        <v>53</v>
      </c>
      <c r="AE196" s="35" t="s">
        <v>1828</v>
      </c>
      <c r="AF196" s="35"/>
      <c r="AG196" s="128" t="s">
        <v>1829</v>
      </c>
    </row>
    <row r="197" spans="1:33" ht="51" x14ac:dyDescent="0.25">
      <c r="A197" s="35" t="s">
        <v>142</v>
      </c>
      <c r="B197" s="35" t="s">
        <v>784</v>
      </c>
      <c r="C197" s="35" t="s">
        <v>1832</v>
      </c>
      <c r="D197" s="35" t="s">
        <v>193</v>
      </c>
      <c r="E197" s="35" t="s">
        <v>748</v>
      </c>
      <c r="F197" s="35" t="s">
        <v>1833</v>
      </c>
      <c r="G197" s="35"/>
      <c r="H197" s="35" t="s">
        <v>1834</v>
      </c>
      <c r="I197" s="35">
        <v>0</v>
      </c>
      <c r="J197" s="35">
        <v>0</v>
      </c>
      <c r="K197" s="35" t="s">
        <v>396</v>
      </c>
      <c r="L197" s="35">
        <v>0</v>
      </c>
      <c r="M197" s="35" t="s">
        <v>45</v>
      </c>
      <c r="N197" s="35" t="s">
        <v>53</v>
      </c>
      <c r="O197" s="35" t="s">
        <v>1824</v>
      </c>
      <c r="P197" s="35" t="s">
        <v>252</v>
      </c>
      <c r="Q197" s="35" t="s">
        <v>81</v>
      </c>
      <c r="R197" s="35" t="s">
        <v>73</v>
      </c>
      <c r="S197" s="35" t="s">
        <v>756</v>
      </c>
      <c r="T197" s="35" t="s">
        <v>1825</v>
      </c>
      <c r="U197" s="35" t="s">
        <v>1826</v>
      </c>
      <c r="V197" s="35" t="s">
        <v>45</v>
      </c>
      <c r="W197" s="35" t="s">
        <v>1827</v>
      </c>
      <c r="X197" s="35" t="s">
        <v>53</v>
      </c>
      <c r="Y197" s="35" t="s">
        <v>552</v>
      </c>
      <c r="Z197" s="35" t="s">
        <v>60</v>
      </c>
      <c r="AA197" s="35" t="s">
        <v>74</v>
      </c>
      <c r="AB197" s="35" t="s">
        <v>48</v>
      </c>
      <c r="AC197" s="35" t="s">
        <v>74</v>
      </c>
      <c r="AD197" s="35" t="s">
        <v>53</v>
      </c>
      <c r="AE197" s="35" t="s">
        <v>1828</v>
      </c>
      <c r="AF197" s="35"/>
      <c r="AG197" s="128" t="s">
        <v>1829</v>
      </c>
    </row>
    <row r="198" spans="1:33" ht="51" x14ac:dyDescent="0.25">
      <c r="A198" s="35" t="s">
        <v>142</v>
      </c>
      <c r="B198" s="35" t="s">
        <v>784</v>
      </c>
      <c r="C198" s="35" t="s">
        <v>1835</v>
      </c>
      <c r="D198" s="35" t="s">
        <v>332</v>
      </c>
      <c r="E198" s="35" t="s">
        <v>1836</v>
      </c>
      <c r="F198" s="35" t="s">
        <v>1837</v>
      </c>
      <c r="G198" s="35"/>
      <c r="H198" s="35" t="s">
        <v>1838</v>
      </c>
      <c r="I198" s="35">
        <v>0</v>
      </c>
      <c r="J198" s="35">
        <v>0</v>
      </c>
      <c r="K198" s="35" t="s">
        <v>396</v>
      </c>
      <c r="L198" s="35">
        <v>0</v>
      </c>
      <c r="M198" s="35" t="s">
        <v>45</v>
      </c>
      <c r="N198" s="35" t="s">
        <v>53</v>
      </c>
      <c r="O198" s="35" t="s">
        <v>1824</v>
      </c>
      <c r="P198" s="35" t="s">
        <v>252</v>
      </c>
      <c r="Q198" s="35" t="s">
        <v>81</v>
      </c>
      <c r="R198" s="35" t="s">
        <v>73</v>
      </c>
      <c r="S198" s="35" t="s">
        <v>756</v>
      </c>
      <c r="T198" s="35" t="s">
        <v>1825</v>
      </c>
      <c r="U198" s="35" t="s">
        <v>1826</v>
      </c>
      <c r="V198" s="35" t="s">
        <v>45</v>
      </c>
      <c r="W198" s="35" t="s">
        <v>1827</v>
      </c>
      <c r="X198" s="35" t="s">
        <v>53</v>
      </c>
      <c r="Y198" s="35" t="s">
        <v>552</v>
      </c>
      <c r="Z198" s="35" t="s">
        <v>60</v>
      </c>
      <c r="AA198" s="35" t="s">
        <v>74</v>
      </c>
      <c r="AB198" s="35" t="s">
        <v>48</v>
      </c>
      <c r="AC198" s="35" t="s">
        <v>74</v>
      </c>
      <c r="AD198" s="35" t="s">
        <v>53</v>
      </c>
      <c r="AE198" s="35" t="s">
        <v>1828</v>
      </c>
      <c r="AF198" s="35"/>
      <c r="AG198" s="128" t="s">
        <v>1829</v>
      </c>
    </row>
    <row r="199" spans="1:33" ht="25.5" x14ac:dyDescent="0.25">
      <c r="A199" s="35" t="s">
        <v>142</v>
      </c>
      <c r="B199" s="35" t="s">
        <v>784</v>
      </c>
      <c r="C199" s="35" t="s">
        <v>1845</v>
      </c>
      <c r="D199" s="35"/>
      <c r="E199" s="35" t="s">
        <v>697</v>
      </c>
      <c r="F199" s="35" t="s">
        <v>1846</v>
      </c>
      <c r="G199" s="35"/>
      <c r="H199" s="35" t="s">
        <v>1847</v>
      </c>
      <c r="I199" s="35">
        <v>1</v>
      </c>
      <c r="J199" s="35">
        <v>1</v>
      </c>
      <c r="K199" s="35" t="s">
        <v>64</v>
      </c>
      <c r="L199" s="35">
        <v>0.48</v>
      </c>
      <c r="M199" s="35" t="s">
        <v>53</v>
      </c>
      <c r="N199" s="35" t="s">
        <v>45</v>
      </c>
      <c r="O199" s="35" t="s">
        <v>1839</v>
      </c>
      <c r="P199" s="35" t="s">
        <v>1840</v>
      </c>
      <c r="Q199" s="35" t="s">
        <v>81</v>
      </c>
      <c r="R199" s="35" t="s">
        <v>79</v>
      </c>
      <c r="S199" s="35" t="s">
        <v>148</v>
      </c>
      <c r="T199" s="35" t="s">
        <v>1841</v>
      </c>
      <c r="U199" s="35" t="s">
        <v>1842</v>
      </c>
      <c r="V199" s="35" t="s">
        <v>53</v>
      </c>
      <c r="W199" s="35" t="s">
        <v>552</v>
      </c>
      <c r="X199" s="35" t="s">
        <v>53</v>
      </c>
      <c r="Y199" s="35" t="s">
        <v>552</v>
      </c>
      <c r="Z199" s="35" t="s">
        <v>46</v>
      </c>
      <c r="AA199" s="35" t="s">
        <v>61</v>
      </c>
      <c r="AB199" s="35" t="s">
        <v>69</v>
      </c>
      <c r="AC199" s="35" t="s">
        <v>74</v>
      </c>
      <c r="AD199" s="35" t="s">
        <v>53</v>
      </c>
      <c r="AE199" s="35" t="s">
        <v>1843</v>
      </c>
      <c r="AF199" s="35"/>
      <c r="AG199" s="128" t="s">
        <v>1844</v>
      </c>
    </row>
    <row r="200" spans="1:33" ht="25.5" x14ac:dyDescent="0.25">
      <c r="A200" s="35" t="s">
        <v>142</v>
      </c>
      <c r="B200" s="35" t="s">
        <v>784</v>
      </c>
      <c r="C200" s="35" t="s">
        <v>1848</v>
      </c>
      <c r="D200" s="35" t="s">
        <v>252</v>
      </c>
      <c r="E200" s="35" t="s">
        <v>669</v>
      </c>
      <c r="F200" s="35" t="s">
        <v>1849</v>
      </c>
      <c r="G200" s="35"/>
      <c r="H200" s="35" t="s">
        <v>1850</v>
      </c>
      <c r="I200" s="35">
        <v>1</v>
      </c>
      <c r="J200" s="35">
        <v>1</v>
      </c>
      <c r="K200" s="35" t="s">
        <v>64</v>
      </c>
      <c r="L200" s="35">
        <v>0.48</v>
      </c>
      <c r="M200" s="35" t="s">
        <v>53</v>
      </c>
      <c r="N200" s="35" t="s">
        <v>45</v>
      </c>
      <c r="O200" s="35" t="s">
        <v>1839</v>
      </c>
      <c r="P200" s="35" t="s">
        <v>1840</v>
      </c>
      <c r="Q200" s="35" t="s">
        <v>81</v>
      </c>
      <c r="R200" s="35" t="s">
        <v>79</v>
      </c>
      <c r="S200" s="35" t="s">
        <v>148</v>
      </c>
      <c r="T200" s="35" t="s">
        <v>1841</v>
      </c>
      <c r="U200" s="35" t="s">
        <v>1842</v>
      </c>
      <c r="V200" s="35" t="s">
        <v>53</v>
      </c>
      <c r="W200" s="35" t="s">
        <v>552</v>
      </c>
      <c r="X200" s="35" t="s">
        <v>53</v>
      </c>
      <c r="Y200" s="35" t="s">
        <v>552</v>
      </c>
      <c r="Z200" s="35" t="s">
        <v>46</v>
      </c>
      <c r="AA200" s="35" t="s">
        <v>61</v>
      </c>
      <c r="AB200" s="35" t="s">
        <v>69</v>
      </c>
      <c r="AC200" s="35" t="s">
        <v>74</v>
      </c>
      <c r="AD200" s="35" t="s">
        <v>53</v>
      </c>
      <c r="AE200" s="35" t="s">
        <v>1843</v>
      </c>
      <c r="AF200" s="35"/>
      <c r="AG200" s="128" t="s">
        <v>1844</v>
      </c>
    </row>
    <row r="201" spans="1:33" ht="38.25" x14ac:dyDescent="0.25">
      <c r="A201" s="35" t="s">
        <v>142</v>
      </c>
      <c r="B201" s="35" t="s">
        <v>784</v>
      </c>
      <c r="C201" s="35" t="s">
        <v>1851</v>
      </c>
      <c r="D201" s="35" t="s">
        <v>193</v>
      </c>
      <c r="E201" s="35" t="s">
        <v>169</v>
      </c>
      <c r="F201" s="35" t="s">
        <v>1852</v>
      </c>
      <c r="G201" s="35"/>
      <c r="H201" s="35" t="s">
        <v>1853</v>
      </c>
      <c r="I201" s="35">
        <v>3</v>
      </c>
      <c r="J201" s="35">
        <v>2</v>
      </c>
      <c r="K201" s="35" t="s">
        <v>64</v>
      </c>
      <c r="L201" s="35">
        <v>0.6</v>
      </c>
      <c r="M201" s="35" t="s">
        <v>53</v>
      </c>
      <c r="N201" s="35" t="s">
        <v>45</v>
      </c>
      <c r="O201" s="35" t="s">
        <v>1839</v>
      </c>
      <c r="P201" s="35" t="s">
        <v>1840</v>
      </c>
      <c r="Q201" s="35" t="s">
        <v>81</v>
      </c>
      <c r="R201" s="35" t="s">
        <v>79</v>
      </c>
      <c r="S201" s="35" t="s">
        <v>148</v>
      </c>
      <c r="T201" s="35" t="s">
        <v>1841</v>
      </c>
      <c r="U201" s="35" t="s">
        <v>1842</v>
      </c>
      <c r="V201" s="35" t="s">
        <v>53</v>
      </c>
      <c r="W201" s="35" t="s">
        <v>552</v>
      </c>
      <c r="X201" s="35" t="s">
        <v>53</v>
      </c>
      <c r="Y201" s="35" t="s">
        <v>552</v>
      </c>
      <c r="Z201" s="35" t="s">
        <v>46</v>
      </c>
      <c r="AA201" s="35" t="s">
        <v>61</v>
      </c>
      <c r="AB201" s="35" t="s">
        <v>69</v>
      </c>
      <c r="AC201" s="35" t="s">
        <v>74</v>
      </c>
      <c r="AD201" s="35" t="s">
        <v>53</v>
      </c>
      <c r="AE201" s="35" t="s">
        <v>1843</v>
      </c>
      <c r="AF201" s="35"/>
      <c r="AG201" s="128" t="s">
        <v>1844</v>
      </c>
    </row>
    <row r="202" spans="1:33" ht="25.5" x14ac:dyDescent="0.25">
      <c r="A202" s="35" t="s">
        <v>142</v>
      </c>
      <c r="B202" s="35" t="s">
        <v>164</v>
      </c>
      <c r="C202" s="35" t="s">
        <v>1854</v>
      </c>
      <c r="D202" s="35" t="s">
        <v>193</v>
      </c>
      <c r="E202" s="35" t="s">
        <v>609</v>
      </c>
      <c r="F202" s="35" t="s">
        <v>1855</v>
      </c>
      <c r="G202" s="35"/>
      <c r="H202" s="35" t="s">
        <v>1856</v>
      </c>
      <c r="I202" s="35">
        <v>5</v>
      </c>
      <c r="J202" s="35">
        <v>5</v>
      </c>
      <c r="K202" s="35" t="s">
        <v>77</v>
      </c>
      <c r="L202" s="35">
        <v>0.6</v>
      </c>
      <c r="M202" s="35" t="s">
        <v>53</v>
      </c>
      <c r="N202" s="35" t="s">
        <v>45</v>
      </c>
      <c r="O202" s="35" t="s">
        <v>1839</v>
      </c>
      <c r="P202" s="35" t="s">
        <v>1840</v>
      </c>
      <c r="Q202" s="35" t="s">
        <v>81</v>
      </c>
      <c r="R202" s="35" t="s">
        <v>79</v>
      </c>
      <c r="S202" s="35" t="s">
        <v>148</v>
      </c>
      <c r="T202" s="35" t="s">
        <v>1841</v>
      </c>
      <c r="U202" s="35" t="s">
        <v>1842</v>
      </c>
      <c r="V202" s="35" t="s">
        <v>53</v>
      </c>
      <c r="W202" s="35" t="s">
        <v>552</v>
      </c>
      <c r="X202" s="35" t="s">
        <v>53</v>
      </c>
      <c r="Y202" s="35" t="s">
        <v>552</v>
      </c>
      <c r="Z202" s="35" t="s">
        <v>46</v>
      </c>
      <c r="AA202" s="35" t="s">
        <v>61</v>
      </c>
      <c r="AB202" s="35" t="s">
        <v>69</v>
      </c>
      <c r="AC202" s="35" t="s">
        <v>74</v>
      </c>
      <c r="AD202" s="35" t="s">
        <v>53</v>
      </c>
      <c r="AE202" s="35" t="s">
        <v>1843</v>
      </c>
      <c r="AF202" s="35"/>
      <c r="AG202" s="128" t="s">
        <v>1844</v>
      </c>
    </row>
    <row r="203" spans="1:33" ht="25.5" x14ac:dyDescent="0.25">
      <c r="A203" s="35" t="s">
        <v>142</v>
      </c>
      <c r="B203" s="35" t="s">
        <v>784</v>
      </c>
      <c r="C203" s="35" t="s">
        <v>1864</v>
      </c>
      <c r="D203" s="35"/>
      <c r="E203" s="35" t="s">
        <v>27</v>
      </c>
      <c r="F203" s="35" t="s">
        <v>1865</v>
      </c>
      <c r="G203" s="35"/>
      <c r="H203" s="35" t="s">
        <v>1866</v>
      </c>
      <c r="I203" s="35">
        <v>1</v>
      </c>
      <c r="J203" s="35">
        <v>1</v>
      </c>
      <c r="K203" s="35" t="s">
        <v>64</v>
      </c>
      <c r="L203" s="35">
        <v>0.48</v>
      </c>
      <c r="M203" s="35" t="s">
        <v>53</v>
      </c>
      <c r="N203" s="35" t="s">
        <v>45</v>
      </c>
      <c r="O203" s="35" t="s">
        <v>1857</v>
      </c>
      <c r="P203" s="35" t="s">
        <v>1858</v>
      </c>
      <c r="Q203" s="35" t="s">
        <v>72</v>
      </c>
      <c r="R203" s="35" t="s">
        <v>79</v>
      </c>
      <c r="S203" s="35" t="s">
        <v>1859</v>
      </c>
      <c r="T203" s="35" t="s">
        <v>1860</v>
      </c>
      <c r="U203" s="35" t="s">
        <v>1861</v>
      </c>
      <c r="V203" s="35" t="s">
        <v>53</v>
      </c>
      <c r="W203" s="35" t="s">
        <v>552</v>
      </c>
      <c r="X203" s="35" t="s">
        <v>53</v>
      </c>
      <c r="Y203" s="35" t="s">
        <v>552</v>
      </c>
      <c r="Z203" s="35" t="s">
        <v>60</v>
      </c>
      <c r="AA203" s="35" t="s">
        <v>47</v>
      </c>
      <c r="AB203" s="35" t="s">
        <v>74</v>
      </c>
      <c r="AC203" s="35" t="s">
        <v>1863</v>
      </c>
      <c r="AD203" s="35" t="s">
        <v>45</v>
      </c>
      <c r="AE203" s="35" t="s">
        <v>1862</v>
      </c>
      <c r="AF203" s="35"/>
      <c r="AG203" s="128" t="s">
        <v>97</v>
      </c>
    </row>
    <row r="204" spans="1:33" ht="25.5" x14ac:dyDescent="0.25">
      <c r="A204" s="35" t="s">
        <v>142</v>
      </c>
      <c r="B204" s="35" t="s">
        <v>784</v>
      </c>
      <c r="C204" s="35" t="s">
        <v>1867</v>
      </c>
      <c r="D204" s="35" t="s">
        <v>252</v>
      </c>
      <c r="E204" s="35" t="s">
        <v>321</v>
      </c>
      <c r="F204" s="35" t="s">
        <v>1868</v>
      </c>
      <c r="G204" s="35"/>
      <c r="H204" s="35"/>
      <c r="I204" s="35">
        <v>5</v>
      </c>
      <c r="J204" s="35">
        <v>5</v>
      </c>
      <c r="K204" s="35" t="s">
        <v>64</v>
      </c>
      <c r="L204" s="35">
        <v>0.8</v>
      </c>
      <c r="M204" s="35" t="s">
        <v>53</v>
      </c>
      <c r="N204" s="35" t="s">
        <v>45</v>
      </c>
      <c r="O204" s="35" t="s">
        <v>1857</v>
      </c>
      <c r="P204" s="35" t="s">
        <v>1858</v>
      </c>
      <c r="Q204" s="35" t="s">
        <v>72</v>
      </c>
      <c r="R204" s="35" t="s">
        <v>79</v>
      </c>
      <c r="S204" s="35" t="s">
        <v>1859</v>
      </c>
      <c r="T204" s="35" t="s">
        <v>1860</v>
      </c>
      <c r="U204" s="35" t="s">
        <v>1861</v>
      </c>
      <c r="V204" s="35" t="s">
        <v>53</v>
      </c>
      <c r="W204" s="35" t="s">
        <v>552</v>
      </c>
      <c r="X204" s="35" t="s">
        <v>53</v>
      </c>
      <c r="Y204" s="35" t="s">
        <v>552</v>
      </c>
      <c r="Z204" s="35" t="s">
        <v>60</v>
      </c>
      <c r="AA204" s="35" t="s">
        <v>47</v>
      </c>
      <c r="AB204" s="35" t="s">
        <v>74</v>
      </c>
      <c r="AC204" s="35" t="s">
        <v>1863</v>
      </c>
      <c r="AD204" s="35" t="s">
        <v>45</v>
      </c>
      <c r="AE204" s="35" t="s">
        <v>1862</v>
      </c>
      <c r="AF204" s="35"/>
      <c r="AG204" s="128" t="s">
        <v>97</v>
      </c>
    </row>
    <row r="205" spans="1:33" ht="25.5" x14ac:dyDescent="0.25">
      <c r="A205" s="35" t="s">
        <v>142</v>
      </c>
      <c r="B205" s="35" t="s">
        <v>784</v>
      </c>
      <c r="C205" s="35" t="s">
        <v>1869</v>
      </c>
      <c r="D205" s="35" t="s">
        <v>193</v>
      </c>
      <c r="E205" s="35" t="s">
        <v>365</v>
      </c>
      <c r="F205" s="35" t="s">
        <v>1870</v>
      </c>
      <c r="G205" s="35"/>
      <c r="H205" s="35" t="s">
        <v>1871</v>
      </c>
      <c r="I205" s="35">
        <v>1</v>
      </c>
      <c r="J205" s="35">
        <v>1</v>
      </c>
      <c r="K205" s="35" t="s">
        <v>77</v>
      </c>
      <c r="L205" s="35">
        <v>0.28000000000000003</v>
      </c>
      <c r="M205" s="35" t="s">
        <v>53</v>
      </c>
      <c r="N205" s="35" t="s">
        <v>45</v>
      </c>
      <c r="O205" s="35" t="s">
        <v>1857</v>
      </c>
      <c r="P205" s="35" t="s">
        <v>1858</v>
      </c>
      <c r="Q205" s="35" t="s">
        <v>72</v>
      </c>
      <c r="R205" s="35" t="s">
        <v>79</v>
      </c>
      <c r="S205" s="35" t="s">
        <v>1859</v>
      </c>
      <c r="T205" s="35" t="s">
        <v>1860</v>
      </c>
      <c r="U205" s="35" t="s">
        <v>1861</v>
      </c>
      <c r="V205" s="35" t="s">
        <v>53</v>
      </c>
      <c r="W205" s="35" t="s">
        <v>552</v>
      </c>
      <c r="X205" s="35" t="s">
        <v>53</v>
      </c>
      <c r="Y205" s="35" t="s">
        <v>552</v>
      </c>
      <c r="Z205" s="35" t="s">
        <v>60</v>
      </c>
      <c r="AA205" s="35" t="s">
        <v>47</v>
      </c>
      <c r="AB205" s="35" t="s">
        <v>74</v>
      </c>
      <c r="AC205" s="35" t="s">
        <v>1863</v>
      </c>
      <c r="AD205" s="35" t="s">
        <v>45</v>
      </c>
      <c r="AE205" s="35" t="s">
        <v>1862</v>
      </c>
      <c r="AF205" s="35"/>
      <c r="AG205" s="128" t="s">
        <v>97</v>
      </c>
    </row>
    <row r="206" spans="1:33" ht="25.5" x14ac:dyDescent="0.25">
      <c r="A206" s="35" t="s">
        <v>142</v>
      </c>
      <c r="B206" s="35" t="s">
        <v>784</v>
      </c>
      <c r="C206" s="35" t="s">
        <v>1872</v>
      </c>
      <c r="D206" s="35" t="s">
        <v>193</v>
      </c>
      <c r="E206" s="35" t="s">
        <v>1873</v>
      </c>
      <c r="F206" s="35" t="s">
        <v>1874</v>
      </c>
      <c r="G206" s="35"/>
      <c r="H206" s="35" t="s">
        <v>1866</v>
      </c>
      <c r="I206" s="35">
        <v>5</v>
      </c>
      <c r="J206" s="35">
        <v>5</v>
      </c>
      <c r="K206" s="35" t="s">
        <v>77</v>
      </c>
      <c r="L206" s="35">
        <v>0.6</v>
      </c>
      <c r="M206" s="35" t="s">
        <v>53</v>
      </c>
      <c r="N206" s="35" t="s">
        <v>45</v>
      </c>
      <c r="O206" s="35" t="s">
        <v>1857</v>
      </c>
      <c r="P206" s="35" t="s">
        <v>1858</v>
      </c>
      <c r="Q206" s="35" t="s">
        <v>72</v>
      </c>
      <c r="R206" s="35" t="s">
        <v>79</v>
      </c>
      <c r="S206" s="35" t="s">
        <v>1859</v>
      </c>
      <c r="T206" s="35" t="s">
        <v>1860</v>
      </c>
      <c r="U206" s="35" t="s">
        <v>1861</v>
      </c>
      <c r="V206" s="35" t="s">
        <v>53</v>
      </c>
      <c r="W206" s="35" t="s">
        <v>552</v>
      </c>
      <c r="X206" s="35" t="s">
        <v>53</v>
      </c>
      <c r="Y206" s="35" t="s">
        <v>552</v>
      </c>
      <c r="Z206" s="35" t="s">
        <v>60</v>
      </c>
      <c r="AA206" s="35" t="s">
        <v>47</v>
      </c>
      <c r="AB206" s="35" t="s">
        <v>74</v>
      </c>
      <c r="AC206" s="35" t="s">
        <v>1863</v>
      </c>
      <c r="AD206" s="35" t="s">
        <v>45</v>
      </c>
      <c r="AE206" s="35" t="s">
        <v>1862</v>
      </c>
      <c r="AF206" s="35"/>
      <c r="AG206" s="128" t="s">
        <v>97</v>
      </c>
    </row>
    <row r="207" spans="1:33" ht="25.5" x14ac:dyDescent="0.25">
      <c r="A207" s="35" t="s">
        <v>142</v>
      </c>
      <c r="B207" s="35" t="s">
        <v>784</v>
      </c>
      <c r="C207" s="35" t="s">
        <v>1875</v>
      </c>
      <c r="D207" s="35" t="s">
        <v>193</v>
      </c>
      <c r="E207" s="35" t="s">
        <v>1876</v>
      </c>
      <c r="F207" s="35" t="s">
        <v>1877</v>
      </c>
      <c r="G207" s="35"/>
      <c r="H207" s="35" t="s">
        <v>1878</v>
      </c>
      <c r="I207" s="35">
        <v>4</v>
      </c>
      <c r="J207" s="35">
        <v>3</v>
      </c>
      <c r="K207" s="35" t="s">
        <v>77</v>
      </c>
      <c r="L207" s="35">
        <v>0.48</v>
      </c>
      <c r="M207" s="35" t="s">
        <v>53</v>
      </c>
      <c r="N207" s="35" t="s">
        <v>45</v>
      </c>
      <c r="O207" s="35" t="s">
        <v>1857</v>
      </c>
      <c r="P207" s="35" t="s">
        <v>1858</v>
      </c>
      <c r="Q207" s="35" t="s">
        <v>72</v>
      </c>
      <c r="R207" s="35" t="s">
        <v>79</v>
      </c>
      <c r="S207" s="35" t="s">
        <v>1859</v>
      </c>
      <c r="T207" s="35" t="s">
        <v>1860</v>
      </c>
      <c r="U207" s="35" t="s">
        <v>1861</v>
      </c>
      <c r="V207" s="35" t="s">
        <v>53</v>
      </c>
      <c r="W207" s="35" t="s">
        <v>552</v>
      </c>
      <c r="X207" s="35" t="s">
        <v>53</v>
      </c>
      <c r="Y207" s="35" t="s">
        <v>552</v>
      </c>
      <c r="Z207" s="35" t="s">
        <v>60</v>
      </c>
      <c r="AA207" s="35" t="s">
        <v>47</v>
      </c>
      <c r="AB207" s="35" t="s">
        <v>74</v>
      </c>
      <c r="AC207" s="35" t="s">
        <v>1863</v>
      </c>
      <c r="AD207" s="35" t="s">
        <v>45</v>
      </c>
      <c r="AE207" s="35" t="s">
        <v>1862</v>
      </c>
      <c r="AF207" s="35"/>
      <c r="AG207" s="128" t="s">
        <v>97</v>
      </c>
    </row>
    <row r="208" spans="1:33" ht="38.25" x14ac:dyDescent="0.25">
      <c r="A208" s="35" t="s">
        <v>142</v>
      </c>
      <c r="B208" s="35" t="s">
        <v>784</v>
      </c>
      <c r="C208" s="35" t="s">
        <v>1879</v>
      </c>
      <c r="D208" s="35" t="s">
        <v>332</v>
      </c>
      <c r="E208" s="35" t="s">
        <v>1880</v>
      </c>
      <c r="F208" s="35" t="s">
        <v>1881</v>
      </c>
      <c r="G208" s="35"/>
      <c r="H208" s="35" t="s">
        <v>1882</v>
      </c>
      <c r="I208" s="35">
        <v>1</v>
      </c>
      <c r="J208" s="35">
        <v>1</v>
      </c>
      <c r="K208" s="35" t="s">
        <v>77</v>
      </c>
      <c r="L208" s="35">
        <v>0.28000000000000003</v>
      </c>
      <c r="M208" s="35" t="s">
        <v>53</v>
      </c>
      <c r="N208" s="35" t="s">
        <v>45</v>
      </c>
      <c r="O208" s="35" t="s">
        <v>1857</v>
      </c>
      <c r="P208" s="35" t="s">
        <v>1858</v>
      </c>
      <c r="Q208" s="35" t="s">
        <v>72</v>
      </c>
      <c r="R208" s="35" t="s">
        <v>79</v>
      </c>
      <c r="S208" s="35" t="s">
        <v>1859</v>
      </c>
      <c r="T208" s="35" t="s">
        <v>1860</v>
      </c>
      <c r="U208" s="35" t="s">
        <v>1861</v>
      </c>
      <c r="V208" s="35" t="s">
        <v>53</v>
      </c>
      <c r="W208" s="35" t="s">
        <v>552</v>
      </c>
      <c r="X208" s="35" t="s">
        <v>53</v>
      </c>
      <c r="Y208" s="35" t="s">
        <v>552</v>
      </c>
      <c r="Z208" s="35" t="s">
        <v>60</v>
      </c>
      <c r="AA208" s="35" t="s">
        <v>47</v>
      </c>
      <c r="AB208" s="35" t="s">
        <v>74</v>
      </c>
      <c r="AC208" s="35" t="s">
        <v>1863</v>
      </c>
      <c r="AD208" s="35" t="s">
        <v>45</v>
      </c>
      <c r="AE208" s="35" t="s">
        <v>1862</v>
      </c>
      <c r="AF208" s="35"/>
      <c r="AG208" s="128" t="s">
        <v>97</v>
      </c>
    </row>
    <row r="209" spans="1:33" ht="25.5" x14ac:dyDescent="0.25">
      <c r="A209" s="35" t="s">
        <v>142</v>
      </c>
      <c r="B209" s="35" t="s">
        <v>164</v>
      </c>
      <c r="C209" s="35" t="s">
        <v>1883</v>
      </c>
      <c r="D209" s="35" t="s">
        <v>193</v>
      </c>
      <c r="E209" s="35" t="s">
        <v>1884</v>
      </c>
      <c r="F209" s="35" t="s">
        <v>1885</v>
      </c>
      <c r="G209" s="35" t="s">
        <v>1886</v>
      </c>
      <c r="H209" s="35" t="s">
        <v>1887</v>
      </c>
      <c r="I209" s="35">
        <v>1</v>
      </c>
      <c r="J209" s="35">
        <v>5</v>
      </c>
      <c r="K209" s="35" t="s">
        <v>77</v>
      </c>
      <c r="L209" s="35">
        <v>0.44</v>
      </c>
      <c r="M209" s="35" t="s">
        <v>53</v>
      </c>
      <c r="N209" s="35" t="s">
        <v>45</v>
      </c>
      <c r="O209" s="35" t="s">
        <v>1857</v>
      </c>
      <c r="P209" s="35" t="s">
        <v>1858</v>
      </c>
      <c r="Q209" s="35" t="s">
        <v>72</v>
      </c>
      <c r="R209" s="35" t="s">
        <v>79</v>
      </c>
      <c r="S209" s="35" t="s">
        <v>1859</v>
      </c>
      <c r="T209" s="35" t="s">
        <v>1860</v>
      </c>
      <c r="U209" s="35" t="s">
        <v>1861</v>
      </c>
      <c r="V209" s="35" t="s">
        <v>53</v>
      </c>
      <c r="W209" s="35" t="s">
        <v>552</v>
      </c>
      <c r="X209" s="35" t="s">
        <v>53</v>
      </c>
      <c r="Y209" s="35" t="s">
        <v>552</v>
      </c>
      <c r="Z209" s="35" t="s">
        <v>60</v>
      </c>
      <c r="AA209" s="35" t="s">
        <v>47</v>
      </c>
      <c r="AB209" s="35" t="s">
        <v>74</v>
      </c>
      <c r="AC209" s="35" t="s">
        <v>1863</v>
      </c>
      <c r="AD209" s="35" t="s">
        <v>45</v>
      </c>
      <c r="AE209" s="35" t="s">
        <v>1862</v>
      </c>
      <c r="AF209" s="35"/>
      <c r="AG209" s="128" t="s">
        <v>97</v>
      </c>
    </row>
    <row r="210" spans="1:33" ht="25.5" x14ac:dyDescent="0.25">
      <c r="A210" s="35" t="s">
        <v>142</v>
      </c>
      <c r="B210" s="35" t="s">
        <v>164</v>
      </c>
      <c r="C210" s="35" t="s">
        <v>1888</v>
      </c>
      <c r="D210" s="35" t="s">
        <v>193</v>
      </c>
      <c r="E210" s="35" t="s">
        <v>1889</v>
      </c>
      <c r="F210" s="35" t="s">
        <v>1890</v>
      </c>
      <c r="G210" s="35"/>
      <c r="H210" s="35" t="s">
        <v>1891</v>
      </c>
      <c r="I210" s="35">
        <v>5</v>
      </c>
      <c r="J210" s="35">
        <v>5</v>
      </c>
      <c r="K210" s="35" t="s">
        <v>77</v>
      </c>
      <c r="L210" s="35">
        <v>0.6</v>
      </c>
      <c r="M210" s="35" t="s">
        <v>53</v>
      </c>
      <c r="N210" s="35" t="s">
        <v>45</v>
      </c>
      <c r="O210" s="35" t="s">
        <v>1857</v>
      </c>
      <c r="P210" s="35" t="s">
        <v>1858</v>
      </c>
      <c r="Q210" s="35" t="s">
        <v>72</v>
      </c>
      <c r="R210" s="35" t="s">
        <v>79</v>
      </c>
      <c r="S210" s="35" t="s">
        <v>1859</v>
      </c>
      <c r="T210" s="35" t="s">
        <v>1860</v>
      </c>
      <c r="U210" s="35" t="s">
        <v>1861</v>
      </c>
      <c r="V210" s="35" t="s">
        <v>53</v>
      </c>
      <c r="W210" s="35" t="s">
        <v>552</v>
      </c>
      <c r="X210" s="35" t="s">
        <v>53</v>
      </c>
      <c r="Y210" s="35" t="s">
        <v>552</v>
      </c>
      <c r="Z210" s="35" t="s">
        <v>60</v>
      </c>
      <c r="AA210" s="35" t="s">
        <v>47</v>
      </c>
      <c r="AB210" s="35" t="s">
        <v>74</v>
      </c>
      <c r="AC210" s="35" t="s">
        <v>1863</v>
      </c>
      <c r="AD210" s="35" t="s">
        <v>45</v>
      </c>
      <c r="AE210" s="35" t="s">
        <v>1862</v>
      </c>
      <c r="AF210" s="35"/>
      <c r="AG210" s="128" t="s">
        <v>97</v>
      </c>
    </row>
    <row r="211" spans="1:33" ht="25.5" x14ac:dyDescent="0.25">
      <c r="A211" s="35" t="s">
        <v>142</v>
      </c>
      <c r="B211" s="35" t="s">
        <v>784</v>
      </c>
      <c r="C211" s="35" t="s">
        <v>1900</v>
      </c>
      <c r="D211" s="35"/>
      <c r="E211" s="35" t="s">
        <v>318</v>
      </c>
      <c r="F211" s="35" t="s">
        <v>1901</v>
      </c>
      <c r="G211" s="35" t="s">
        <v>1902</v>
      </c>
      <c r="H211" s="35" t="s">
        <v>1903</v>
      </c>
      <c r="I211" s="35">
        <v>1</v>
      </c>
      <c r="J211" s="35">
        <v>5</v>
      </c>
      <c r="K211" s="35" t="s">
        <v>64</v>
      </c>
      <c r="L211" s="35">
        <v>0.64</v>
      </c>
      <c r="M211" s="35" t="s">
        <v>53</v>
      </c>
      <c r="N211" s="35" t="s">
        <v>45</v>
      </c>
      <c r="O211" s="35" t="s">
        <v>1892</v>
      </c>
      <c r="P211" s="35" t="s">
        <v>688</v>
      </c>
      <c r="Q211" s="35" t="s">
        <v>81</v>
      </c>
      <c r="R211" s="35" t="s">
        <v>79</v>
      </c>
      <c r="S211" s="35" t="s">
        <v>1893</v>
      </c>
      <c r="T211" s="35" t="s">
        <v>1894</v>
      </c>
      <c r="U211" s="35" t="s">
        <v>1895</v>
      </c>
      <c r="V211" s="35" t="s">
        <v>53</v>
      </c>
      <c r="W211" s="35" t="s">
        <v>552</v>
      </c>
      <c r="X211" s="35" t="s">
        <v>53</v>
      </c>
      <c r="Y211" s="35" t="s">
        <v>552</v>
      </c>
      <c r="Z211" s="35" t="s">
        <v>60</v>
      </c>
      <c r="AA211" s="35" t="s">
        <v>55</v>
      </c>
      <c r="AB211" s="35" t="s">
        <v>1898</v>
      </c>
      <c r="AC211" s="35" t="s">
        <v>1897</v>
      </c>
      <c r="AD211" s="35" t="s">
        <v>1896</v>
      </c>
      <c r="AE211" s="35" t="s">
        <v>655</v>
      </c>
      <c r="AF211" s="35"/>
      <c r="AG211" s="128" t="s">
        <v>1899</v>
      </c>
    </row>
    <row r="212" spans="1:33" ht="25.5" x14ac:dyDescent="0.25">
      <c r="A212" s="35" t="s">
        <v>142</v>
      </c>
      <c r="B212" s="35" t="s">
        <v>784</v>
      </c>
      <c r="C212" s="35" t="s">
        <v>1904</v>
      </c>
      <c r="D212" s="35" t="s">
        <v>252</v>
      </c>
      <c r="E212" s="35" t="s">
        <v>669</v>
      </c>
      <c r="F212" s="35" t="s">
        <v>1905</v>
      </c>
      <c r="G212" s="35" t="s">
        <v>1906</v>
      </c>
      <c r="H212" s="35" t="s">
        <v>1907</v>
      </c>
      <c r="I212" s="35">
        <v>2</v>
      </c>
      <c r="J212" s="35">
        <v>2</v>
      </c>
      <c r="K212" s="35" t="s">
        <v>64</v>
      </c>
      <c r="L212" s="35">
        <v>0.56000000000000005</v>
      </c>
      <c r="M212" s="35" t="s">
        <v>53</v>
      </c>
      <c r="N212" s="35" t="s">
        <v>45</v>
      </c>
      <c r="O212" s="35" t="s">
        <v>1892</v>
      </c>
      <c r="P212" s="35" t="s">
        <v>688</v>
      </c>
      <c r="Q212" s="35" t="s">
        <v>81</v>
      </c>
      <c r="R212" s="35" t="s">
        <v>79</v>
      </c>
      <c r="S212" s="35" t="s">
        <v>1893</v>
      </c>
      <c r="T212" s="35" t="s">
        <v>1894</v>
      </c>
      <c r="U212" s="35" t="s">
        <v>1895</v>
      </c>
      <c r="V212" s="35" t="s">
        <v>53</v>
      </c>
      <c r="W212" s="35" t="s">
        <v>552</v>
      </c>
      <c r="X212" s="35" t="s">
        <v>53</v>
      </c>
      <c r="Y212" s="35" t="s">
        <v>552</v>
      </c>
      <c r="Z212" s="35" t="s">
        <v>60</v>
      </c>
      <c r="AA212" s="35" t="s">
        <v>55</v>
      </c>
      <c r="AB212" s="35" t="s">
        <v>1898</v>
      </c>
      <c r="AC212" s="35" t="s">
        <v>1897</v>
      </c>
      <c r="AD212" s="35" t="s">
        <v>1896</v>
      </c>
      <c r="AE212" s="35" t="s">
        <v>655</v>
      </c>
      <c r="AF212" s="35"/>
      <c r="AG212" s="128" t="s">
        <v>1899</v>
      </c>
    </row>
    <row r="213" spans="1:33" ht="76.5" x14ac:dyDescent="0.25">
      <c r="A213" s="35" t="s">
        <v>142</v>
      </c>
      <c r="B213" s="35" t="s">
        <v>784</v>
      </c>
      <c r="C213" s="35" t="s">
        <v>1908</v>
      </c>
      <c r="D213" s="35" t="s">
        <v>189</v>
      </c>
      <c r="E213" s="35" t="s">
        <v>669</v>
      </c>
      <c r="F213" s="35"/>
      <c r="G213" s="35"/>
      <c r="H213" s="35" t="s">
        <v>1909</v>
      </c>
      <c r="I213" s="35">
        <v>1</v>
      </c>
      <c r="J213" s="35">
        <v>1</v>
      </c>
      <c r="K213" s="35" t="s">
        <v>77</v>
      </c>
      <c r="L213" s="35">
        <v>0.28000000000000003</v>
      </c>
      <c r="M213" s="35" t="s">
        <v>53</v>
      </c>
      <c r="N213" s="35" t="s">
        <v>45</v>
      </c>
      <c r="O213" s="35" t="s">
        <v>1892</v>
      </c>
      <c r="P213" s="35" t="s">
        <v>688</v>
      </c>
      <c r="Q213" s="35" t="s">
        <v>81</v>
      </c>
      <c r="R213" s="35" t="s">
        <v>79</v>
      </c>
      <c r="S213" s="35" t="s">
        <v>1893</v>
      </c>
      <c r="T213" s="35" t="s">
        <v>1894</v>
      </c>
      <c r="U213" s="35" t="s">
        <v>1895</v>
      </c>
      <c r="V213" s="35" t="s">
        <v>53</v>
      </c>
      <c r="W213" s="35" t="s">
        <v>552</v>
      </c>
      <c r="X213" s="35" t="s">
        <v>53</v>
      </c>
      <c r="Y213" s="35" t="s">
        <v>552</v>
      </c>
      <c r="Z213" s="35" t="s">
        <v>60</v>
      </c>
      <c r="AA213" s="35" t="s">
        <v>55</v>
      </c>
      <c r="AB213" s="35" t="s">
        <v>1898</v>
      </c>
      <c r="AC213" s="35" t="s">
        <v>1897</v>
      </c>
      <c r="AD213" s="35" t="s">
        <v>1896</v>
      </c>
      <c r="AE213" s="35" t="s">
        <v>655</v>
      </c>
      <c r="AF213" s="35"/>
      <c r="AG213" s="128" t="s">
        <v>1899</v>
      </c>
    </row>
    <row r="214" spans="1:33" ht="25.5" x14ac:dyDescent="0.25">
      <c r="A214" s="35" t="s">
        <v>142</v>
      </c>
      <c r="B214" s="35" t="s">
        <v>784</v>
      </c>
      <c r="C214" s="35" t="s">
        <v>1910</v>
      </c>
      <c r="D214" s="35" t="s">
        <v>193</v>
      </c>
      <c r="E214" s="35" t="s">
        <v>169</v>
      </c>
      <c r="F214" s="35" t="s">
        <v>1911</v>
      </c>
      <c r="G214" s="35"/>
      <c r="H214" s="35" t="s">
        <v>1912</v>
      </c>
      <c r="I214" s="35">
        <v>4</v>
      </c>
      <c r="J214" s="35">
        <v>3</v>
      </c>
      <c r="K214" s="35" t="s">
        <v>83</v>
      </c>
      <c r="L214" s="35">
        <v>0.88</v>
      </c>
      <c r="M214" s="35" t="s">
        <v>53</v>
      </c>
      <c r="N214" s="35" t="s">
        <v>45</v>
      </c>
      <c r="O214" s="35" t="s">
        <v>1892</v>
      </c>
      <c r="P214" s="35" t="s">
        <v>688</v>
      </c>
      <c r="Q214" s="35" t="s">
        <v>81</v>
      </c>
      <c r="R214" s="35" t="s">
        <v>79</v>
      </c>
      <c r="S214" s="35" t="s">
        <v>1893</v>
      </c>
      <c r="T214" s="35" t="s">
        <v>1894</v>
      </c>
      <c r="U214" s="35" t="s">
        <v>1895</v>
      </c>
      <c r="V214" s="35" t="s">
        <v>53</v>
      </c>
      <c r="W214" s="35" t="s">
        <v>552</v>
      </c>
      <c r="X214" s="35" t="s">
        <v>53</v>
      </c>
      <c r="Y214" s="35" t="s">
        <v>552</v>
      </c>
      <c r="Z214" s="35" t="s">
        <v>60</v>
      </c>
      <c r="AA214" s="35" t="s">
        <v>55</v>
      </c>
      <c r="AB214" s="35" t="s">
        <v>1898</v>
      </c>
      <c r="AC214" s="35" t="s">
        <v>1897</v>
      </c>
      <c r="AD214" s="35" t="s">
        <v>1896</v>
      </c>
      <c r="AE214" s="35" t="s">
        <v>655</v>
      </c>
      <c r="AF214" s="35"/>
      <c r="AG214" s="128" t="s">
        <v>1899</v>
      </c>
    </row>
    <row r="215" spans="1:33" ht="38.25" x14ac:dyDescent="0.25">
      <c r="A215" s="35" t="s">
        <v>142</v>
      </c>
      <c r="B215" s="35" t="s">
        <v>784</v>
      </c>
      <c r="C215" s="35" t="s">
        <v>1913</v>
      </c>
      <c r="D215" s="35" t="s">
        <v>332</v>
      </c>
      <c r="E215" s="35" t="s">
        <v>169</v>
      </c>
      <c r="F215" s="35" t="s">
        <v>1914</v>
      </c>
      <c r="G215" s="35"/>
      <c r="H215" s="35" t="s">
        <v>1915</v>
      </c>
      <c r="I215" s="35">
        <v>1</v>
      </c>
      <c r="J215" s="35">
        <v>1</v>
      </c>
      <c r="K215" s="35" t="s">
        <v>57</v>
      </c>
      <c r="L215" s="35">
        <v>0.08</v>
      </c>
      <c r="M215" s="35" t="s">
        <v>53</v>
      </c>
      <c r="N215" s="35" t="s">
        <v>45</v>
      </c>
      <c r="O215" s="35" t="s">
        <v>1892</v>
      </c>
      <c r="P215" s="35" t="s">
        <v>688</v>
      </c>
      <c r="Q215" s="35" t="s">
        <v>81</v>
      </c>
      <c r="R215" s="35" t="s">
        <v>79</v>
      </c>
      <c r="S215" s="35" t="s">
        <v>1893</v>
      </c>
      <c r="T215" s="35" t="s">
        <v>1894</v>
      </c>
      <c r="U215" s="35" t="s">
        <v>1895</v>
      </c>
      <c r="V215" s="35" t="s">
        <v>53</v>
      </c>
      <c r="W215" s="35" t="s">
        <v>552</v>
      </c>
      <c r="X215" s="35" t="s">
        <v>53</v>
      </c>
      <c r="Y215" s="35" t="s">
        <v>552</v>
      </c>
      <c r="Z215" s="35" t="s">
        <v>60</v>
      </c>
      <c r="AA215" s="35" t="s">
        <v>55</v>
      </c>
      <c r="AB215" s="35" t="s">
        <v>1898</v>
      </c>
      <c r="AC215" s="35" t="s">
        <v>1897</v>
      </c>
      <c r="AD215" s="35" t="s">
        <v>1896</v>
      </c>
      <c r="AE215" s="35" t="s">
        <v>655</v>
      </c>
      <c r="AF215" s="35"/>
      <c r="AG215" s="128" t="s">
        <v>1899</v>
      </c>
    </row>
    <row r="216" spans="1:33" ht="38.25" x14ac:dyDescent="0.25">
      <c r="A216" s="35" t="s">
        <v>142</v>
      </c>
      <c r="B216" s="35" t="s">
        <v>784</v>
      </c>
      <c r="C216" s="35" t="s">
        <v>1921</v>
      </c>
      <c r="D216" s="35"/>
      <c r="E216" s="35" t="s">
        <v>27</v>
      </c>
      <c r="F216" s="35"/>
      <c r="G216" s="35" t="s">
        <v>1922</v>
      </c>
      <c r="H216" s="35" t="s">
        <v>1923</v>
      </c>
      <c r="I216" s="35">
        <v>1</v>
      </c>
      <c r="J216" s="35">
        <v>1</v>
      </c>
      <c r="K216" s="35" t="s">
        <v>64</v>
      </c>
      <c r="L216" s="35">
        <v>0.48</v>
      </c>
      <c r="M216" s="35" t="s">
        <v>53</v>
      </c>
      <c r="N216" s="35" t="s">
        <v>45</v>
      </c>
      <c r="O216" s="35" t="s">
        <v>1916</v>
      </c>
      <c r="P216" s="35" t="s">
        <v>1917</v>
      </c>
      <c r="Q216" s="35" t="s">
        <v>72</v>
      </c>
      <c r="R216" s="35" t="s">
        <v>73</v>
      </c>
      <c r="S216" s="35" t="s">
        <v>148</v>
      </c>
      <c r="T216" s="35" t="s">
        <v>1918</v>
      </c>
      <c r="U216" s="35" t="s">
        <v>1919</v>
      </c>
      <c r="V216" s="35" t="s">
        <v>53</v>
      </c>
      <c r="W216" s="35" t="s">
        <v>552</v>
      </c>
      <c r="X216" s="35" t="s">
        <v>53</v>
      </c>
      <c r="Y216" s="35" t="s">
        <v>552</v>
      </c>
      <c r="Z216" s="35" t="s">
        <v>46</v>
      </c>
      <c r="AA216" s="35" t="s">
        <v>67</v>
      </c>
      <c r="AB216" s="35" t="s">
        <v>67</v>
      </c>
      <c r="AC216" s="35" t="s">
        <v>67</v>
      </c>
      <c r="AD216" s="35" t="s">
        <v>53</v>
      </c>
      <c r="AE216" s="35" t="s">
        <v>222</v>
      </c>
      <c r="AF216" s="35"/>
      <c r="AG216" s="128" t="s">
        <v>1920</v>
      </c>
    </row>
    <row r="217" spans="1:33" ht="25.5" x14ac:dyDescent="0.25">
      <c r="A217" s="35" t="s">
        <v>142</v>
      </c>
      <c r="B217" s="35" t="s">
        <v>784</v>
      </c>
      <c r="C217" s="35" t="s">
        <v>1924</v>
      </c>
      <c r="D217" s="35" t="s">
        <v>252</v>
      </c>
      <c r="E217" s="35" t="s">
        <v>1925</v>
      </c>
      <c r="F217" s="35" t="s">
        <v>1926</v>
      </c>
      <c r="G217" s="35" t="s">
        <v>1922</v>
      </c>
      <c r="H217" s="35" t="s">
        <v>1927</v>
      </c>
      <c r="I217" s="35">
        <v>1</v>
      </c>
      <c r="J217" s="35">
        <v>1</v>
      </c>
      <c r="K217" s="35" t="s">
        <v>64</v>
      </c>
      <c r="L217" s="35">
        <v>0.48</v>
      </c>
      <c r="M217" s="35" t="s">
        <v>53</v>
      </c>
      <c r="N217" s="35" t="s">
        <v>45</v>
      </c>
      <c r="O217" s="35" t="s">
        <v>1916</v>
      </c>
      <c r="P217" s="35" t="s">
        <v>1917</v>
      </c>
      <c r="Q217" s="35" t="s">
        <v>72</v>
      </c>
      <c r="R217" s="35" t="s">
        <v>73</v>
      </c>
      <c r="S217" s="35" t="s">
        <v>148</v>
      </c>
      <c r="T217" s="35" t="s">
        <v>1918</v>
      </c>
      <c r="U217" s="35" t="s">
        <v>1919</v>
      </c>
      <c r="V217" s="35" t="s">
        <v>53</v>
      </c>
      <c r="W217" s="35" t="s">
        <v>552</v>
      </c>
      <c r="X217" s="35" t="s">
        <v>53</v>
      </c>
      <c r="Y217" s="35" t="s">
        <v>552</v>
      </c>
      <c r="Z217" s="35" t="s">
        <v>46</v>
      </c>
      <c r="AA217" s="35" t="s">
        <v>67</v>
      </c>
      <c r="AB217" s="35" t="s">
        <v>67</v>
      </c>
      <c r="AC217" s="35" t="s">
        <v>67</v>
      </c>
      <c r="AD217" s="35" t="s">
        <v>53</v>
      </c>
      <c r="AE217" s="35" t="s">
        <v>222</v>
      </c>
      <c r="AF217" s="35"/>
      <c r="AG217" s="128" t="s">
        <v>1920</v>
      </c>
    </row>
    <row r="218" spans="1:33" ht="25.5" x14ac:dyDescent="0.25">
      <c r="A218" s="35" t="s">
        <v>142</v>
      </c>
      <c r="B218" s="35" t="s">
        <v>784</v>
      </c>
      <c r="C218" s="35" t="s">
        <v>1928</v>
      </c>
      <c r="D218" s="35" t="s">
        <v>1929</v>
      </c>
      <c r="E218" s="35" t="s">
        <v>1930</v>
      </c>
      <c r="F218" s="35" t="s">
        <v>1931</v>
      </c>
      <c r="G218" s="35" t="s">
        <v>1922</v>
      </c>
      <c r="H218" s="35" t="s">
        <v>1932</v>
      </c>
      <c r="I218" s="35">
        <v>2</v>
      </c>
      <c r="J218" s="35">
        <v>2</v>
      </c>
      <c r="K218" s="35" t="s">
        <v>64</v>
      </c>
      <c r="L218" s="35">
        <v>0.56000000000000005</v>
      </c>
      <c r="M218" s="35" t="s">
        <v>53</v>
      </c>
      <c r="N218" s="35" t="s">
        <v>45</v>
      </c>
      <c r="O218" s="35" t="s">
        <v>1916</v>
      </c>
      <c r="P218" s="35" t="s">
        <v>1917</v>
      </c>
      <c r="Q218" s="35" t="s">
        <v>72</v>
      </c>
      <c r="R218" s="35" t="s">
        <v>73</v>
      </c>
      <c r="S218" s="35" t="s">
        <v>148</v>
      </c>
      <c r="T218" s="35" t="s">
        <v>1918</v>
      </c>
      <c r="U218" s="35" t="s">
        <v>1919</v>
      </c>
      <c r="V218" s="35" t="s">
        <v>53</v>
      </c>
      <c r="W218" s="35" t="s">
        <v>552</v>
      </c>
      <c r="X218" s="35" t="s">
        <v>53</v>
      </c>
      <c r="Y218" s="35" t="s">
        <v>552</v>
      </c>
      <c r="Z218" s="35" t="s">
        <v>46</v>
      </c>
      <c r="AA218" s="35" t="s">
        <v>67</v>
      </c>
      <c r="AB218" s="35" t="s">
        <v>67</v>
      </c>
      <c r="AC218" s="35" t="s">
        <v>67</v>
      </c>
      <c r="AD218" s="35" t="s">
        <v>53</v>
      </c>
      <c r="AE218" s="35" t="s">
        <v>222</v>
      </c>
      <c r="AF218" s="35"/>
      <c r="AG218" s="128" t="s">
        <v>1920</v>
      </c>
    </row>
    <row r="219" spans="1:33" ht="38.25" x14ac:dyDescent="0.25">
      <c r="A219" s="35" t="s">
        <v>142</v>
      </c>
      <c r="B219" s="35" t="s">
        <v>784</v>
      </c>
      <c r="C219" s="35" t="s">
        <v>1933</v>
      </c>
      <c r="D219" s="35" t="s">
        <v>33</v>
      </c>
      <c r="E219" s="35" t="s">
        <v>785</v>
      </c>
      <c r="F219" s="35" t="s">
        <v>1934</v>
      </c>
      <c r="G219" s="35" t="s">
        <v>1922</v>
      </c>
      <c r="H219" s="35" t="s">
        <v>1935</v>
      </c>
      <c r="I219" s="35">
        <v>1</v>
      </c>
      <c r="J219" s="35">
        <v>1</v>
      </c>
      <c r="K219" s="35" t="s">
        <v>64</v>
      </c>
      <c r="L219" s="35">
        <v>0.48</v>
      </c>
      <c r="M219" s="35" t="s">
        <v>53</v>
      </c>
      <c r="N219" s="35" t="s">
        <v>45</v>
      </c>
      <c r="O219" s="35" t="s">
        <v>1916</v>
      </c>
      <c r="P219" s="35" t="s">
        <v>1917</v>
      </c>
      <c r="Q219" s="35" t="s">
        <v>72</v>
      </c>
      <c r="R219" s="35" t="s">
        <v>73</v>
      </c>
      <c r="S219" s="35" t="s">
        <v>148</v>
      </c>
      <c r="T219" s="35" t="s">
        <v>1918</v>
      </c>
      <c r="U219" s="35" t="s">
        <v>1919</v>
      </c>
      <c r="V219" s="35" t="s">
        <v>53</v>
      </c>
      <c r="W219" s="35" t="s">
        <v>552</v>
      </c>
      <c r="X219" s="35" t="s">
        <v>53</v>
      </c>
      <c r="Y219" s="35" t="s">
        <v>552</v>
      </c>
      <c r="Z219" s="35" t="s">
        <v>46</v>
      </c>
      <c r="AA219" s="35" t="s">
        <v>67</v>
      </c>
      <c r="AB219" s="35" t="s">
        <v>67</v>
      </c>
      <c r="AC219" s="35" t="s">
        <v>67</v>
      </c>
      <c r="AD219" s="35" t="s">
        <v>53</v>
      </c>
      <c r="AE219" s="35" t="s">
        <v>222</v>
      </c>
      <c r="AF219" s="35"/>
      <c r="AG219" s="128" t="s">
        <v>1920</v>
      </c>
    </row>
    <row r="220" spans="1:33" ht="25.5" x14ac:dyDescent="0.25">
      <c r="A220" s="35" t="s">
        <v>142</v>
      </c>
      <c r="B220" s="35" t="s">
        <v>784</v>
      </c>
      <c r="C220" s="35" t="s">
        <v>1936</v>
      </c>
      <c r="D220" s="35" t="s">
        <v>1937</v>
      </c>
      <c r="E220" s="35" t="s">
        <v>1938</v>
      </c>
      <c r="F220" s="35" t="s">
        <v>1939</v>
      </c>
      <c r="G220" s="35" t="s">
        <v>1922</v>
      </c>
      <c r="H220" s="35" t="s">
        <v>1940</v>
      </c>
      <c r="I220" s="35">
        <v>4</v>
      </c>
      <c r="J220" s="35">
        <v>4</v>
      </c>
      <c r="K220" s="35" t="s">
        <v>77</v>
      </c>
      <c r="L220" s="35">
        <v>0.52</v>
      </c>
      <c r="M220" s="35" t="s">
        <v>53</v>
      </c>
      <c r="N220" s="35" t="s">
        <v>45</v>
      </c>
      <c r="O220" s="35" t="s">
        <v>1916</v>
      </c>
      <c r="P220" s="35" t="s">
        <v>1917</v>
      </c>
      <c r="Q220" s="35" t="s">
        <v>72</v>
      </c>
      <c r="R220" s="35" t="s">
        <v>73</v>
      </c>
      <c r="S220" s="35" t="s">
        <v>148</v>
      </c>
      <c r="T220" s="35" t="s">
        <v>1918</v>
      </c>
      <c r="U220" s="35" t="s">
        <v>1919</v>
      </c>
      <c r="V220" s="35" t="s">
        <v>53</v>
      </c>
      <c r="W220" s="35" t="s">
        <v>552</v>
      </c>
      <c r="X220" s="35" t="s">
        <v>53</v>
      </c>
      <c r="Y220" s="35" t="s">
        <v>552</v>
      </c>
      <c r="Z220" s="35" t="s">
        <v>46</v>
      </c>
      <c r="AA220" s="35" t="s">
        <v>67</v>
      </c>
      <c r="AB220" s="35" t="s">
        <v>67</v>
      </c>
      <c r="AC220" s="35" t="s">
        <v>67</v>
      </c>
      <c r="AD220" s="35" t="s">
        <v>53</v>
      </c>
      <c r="AE220" s="35" t="s">
        <v>222</v>
      </c>
      <c r="AF220" s="35"/>
      <c r="AG220" s="128" t="s">
        <v>1920</v>
      </c>
    </row>
    <row r="221" spans="1:33" ht="38.25" x14ac:dyDescent="0.25">
      <c r="A221" s="35" t="s">
        <v>142</v>
      </c>
      <c r="B221" s="35" t="s">
        <v>784</v>
      </c>
      <c r="C221" s="35" t="s">
        <v>1941</v>
      </c>
      <c r="D221" s="35" t="s">
        <v>332</v>
      </c>
      <c r="E221" s="35" t="s">
        <v>169</v>
      </c>
      <c r="F221" s="35" t="s">
        <v>1942</v>
      </c>
      <c r="G221" s="35" t="s">
        <v>1922</v>
      </c>
      <c r="H221" s="35" t="s">
        <v>1943</v>
      </c>
      <c r="I221" s="35">
        <v>1</v>
      </c>
      <c r="J221" s="35">
        <v>1</v>
      </c>
      <c r="K221" s="35" t="s">
        <v>77</v>
      </c>
      <c r="L221" s="35">
        <v>0.28000000000000003</v>
      </c>
      <c r="M221" s="35" t="s">
        <v>53</v>
      </c>
      <c r="N221" s="35" t="s">
        <v>45</v>
      </c>
      <c r="O221" s="35" t="s">
        <v>1916</v>
      </c>
      <c r="P221" s="35" t="s">
        <v>1917</v>
      </c>
      <c r="Q221" s="35" t="s">
        <v>72</v>
      </c>
      <c r="R221" s="35" t="s">
        <v>73</v>
      </c>
      <c r="S221" s="35" t="s">
        <v>148</v>
      </c>
      <c r="T221" s="35" t="s">
        <v>1918</v>
      </c>
      <c r="U221" s="35" t="s">
        <v>1919</v>
      </c>
      <c r="V221" s="35" t="s">
        <v>53</v>
      </c>
      <c r="W221" s="35" t="s">
        <v>552</v>
      </c>
      <c r="X221" s="35" t="s">
        <v>53</v>
      </c>
      <c r="Y221" s="35" t="s">
        <v>552</v>
      </c>
      <c r="Z221" s="35" t="s">
        <v>46</v>
      </c>
      <c r="AA221" s="35" t="s">
        <v>67</v>
      </c>
      <c r="AB221" s="35" t="s">
        <v>67</v>
      </c>
      <c r="AC221" s="35" t="s">
        <v>67</v>
      </c>
      <c r="AD221" s="35" t="s">
        <v>53</v>
      </c>
      <c r="AE221" s="35" t="s">
        <v>222</v>
      </c>
      <c r="AF221" s="35"/>
      <c r="AG221" s="128" t="s">
        <v>1920</v>
      </c>
    </row>
    <row r="222" spans="1:33" ht="25.5" x14ac:dyDescent="0.25">
      <c r="A222" s="35" t="s">
        <v>142</v>
      </c>
      <c r="B222" s="35" t="s">
        <v>164</v>
      </c>
      <c r="C222" s="35" t="s">
        <v>1944</v>
      </c>
      <c r="D222" s="35" t="s">
        <v>193</v>
      </c>
      <c r="E222" s="35" t="s">
        <v>1945</v>
      </c>
      <c r="F222" s="35" t="s">
        <v>1946</v>
      </c>
      <c r="G222" s="35" t="s">
        <v>1922</v>
      </c>
      <c r="H222" s="35" t="s">
        <v>1947</v>
      </c>
      <c r="I222" s="35">
        <v>1</v>
      </c>
      <c r="J222" s="35">
        <v>1</v>
      </c>
      <c r="K222" s="35" t="s">
        <v>77</v>
      </c>
      <c r="L222" s="35">
        <v>0.28000000000000003</v>
      </c>
      <c r="M222" s="35" t="s">
        <v>53</v>
      </c>
      <c r="N222" s="35" t="s">
        <v>45</v>
      </c>
      <c r="O222" s="35" t="s">
        <v>1916</v>
      </c>
      <c r="P222" s="35" t="s">
        <v>1917</v>
      </c>
      <c r="Q222" s="35" t="s">
        <v>72</v>
      </c>
      <c r="R222" s="35" t="s">
        <v>73</v>
      </c>
      <c r="S222" s="35" t="s">
        <v>148</v>
      </c>
      <c r="T222" s="35" t="s">
        <v>1918</v>
      </c>
      <c r="U222" s="35" t="s">
        <v>1919</v>
      </c>
      <c r="V222" s="35" t="s">
        <v>53</v>
      </c>
      <c r="W222" s="35" t="s">
        <v>552</v>
      </c>
      <c r="X222" s="35" t="s">
        <v>53</v>
      </c>
      <c r="Y222" s="35" t="s">
        <v>552</v>
      </c>
      <c r="Z222" s="35" t="s">
        <v>46</v>
      </c>
      <c r="AA222" s="35" t="s">
        <v>67</v>
      </c>
      <c r="AB222" s="35" t="s">
        <v>67</v>
      </c>
      <c r="AC222" s="35" t="s">
        <v>67</v>
      </c>
      <c r="AD222" s="35" t="s">
        <v>53</v>
      </c>
      <c r="AE222" s="35" t="s">
        <v>222</v>
      </c>
      <c r="AF222" s="35"/>
      <c r="AG222" s="128" t="s">
        <v>1920</v>
      </c>
    </row>
    <row r="223" spans="1:33" ht="25.5" x14ac:dyDescent="0.25">
      <c r="A223" s="35" t="s">
        <v>142</v>
      </c>
      <c r="B223" s="35" t="s">
        <v>164</v>
      </c>
      <c r="C223" s="35" t="s">
        <v>1948</v>
      </c>
      <c r="D223" s="35" t="s">
        <v>274</v>
      </c>
      <c r="E223" s="35" t="s">
        <v>1949</v>
      </c>
      <c r="F223" s="35" t="s">
        <v>1950</v>
      </c>
      <c r="G223" s="35" t="s">
        <v>1922</v>
      </c>
      <c r="H223" s="35" t="s">
        <v>1951</v>
      </c>
      <c r="I223" s="35">
        <v>1</v>
      </c>
      <c r="J223" s="35">
        <v>1</v>
      </c>
      <c r="K223" s="35" t="s">
        <v>71</v>
      </c>
      <c r="L223" s="35">
        <v>0.28000000000000003</v>
      </c>
      <c r="M223" s="35" t="s">
        <v>53</v>
      </c>
      <c r="N223" s="35" t="s">
        <v>45</v>
      </c>
      <c r="O223" s="35" t="s">
        <v>1916</v>
      </c>
      <c r="P223" s="35" t="s">
        <v>1917</v>
      </c>
      <c r="Q223" s="35" t="s">
        <v>72</v>
      </c>
      <c r="R223" s="35" t="s">
        <v>73</v>
      </c>
      <c r="S223" s="35" t="s">
        <v>148</v>
      </c>
      <c r="T223" s="35" t="s">
        <v>1918</v>
      </c>
      <c r="U223" s="35" t="s">
        <v>1919</v>
      </c>
      <c r="V223" s="35" t="s">
        <v>53</v>
      </c>
      <c r="W223" s="35" t="s">
        <v>552</v>
      </c>
      <c r="X223" s="35" t="s">
        <v>53</v>
      </c>
      <c r="Y223" s="35" t="s">
        <v>552</v>
      </c>
      <c r="Z223" s="35" t="s">
        <v>46</v>
      </c>
      <c r="AA223" s="35" t="s">
        <v>67</v>
      </c>
      <c r="AB223" s="35" t="s">
        <v>67</v>
      </c>
      <c r="AC223" s="35" t="s">
        <v>67</v>
      </c>
      <c r="AD223" s="35" t="s">
        <v>53</v>
      </c>
      <c r="AE223" s="35" t="s">
        <v>222</v>
      </c>
      <c r="AF223" s="35"/>
      <c r="AG223" s="128" t="s">
        <v>1920</v>
      </c>
    </row>
    <row r="224" spans="1:33" ht="38.25" x14ac:dyDescent="0.25">
      <c r="A224" s="35" t="s">
        <v>142</v>
      </c>
      <c r="B224" s="35" t="s">
        <v>164</v>
      </c>
      <c r="C224" s="35" t="s">
        <v>1952</v>
      </c>
      <c r="D224" s="35" t="s">
        <v>193</v>
      </c>
      <c r="E224" s="35" t="s">
        <v>1953</v>
      </c>
      <c r="F224" s="35" t="s">
        <v>1954</v>
      </c>
      <c r="G224" s="35" t="s">
        <v>1922</v>
      </c>
      <c r="H224" s="35" t="s">
        <v>1955</v>
      </c>
      <c r="I224" s="35">
        <v>4</v>
      </c>
      <c r="J224" s="35">
        <v>4</v>
      </c>
      <c r="K224" s="35" t="s">
        <v>83</v>
      </c>
      <c r="L224" s="35">
        <v>0.92</v>
      </c>
      <c r="M224" s="35" t="s">
        <v>53</v>
      </c>
      <c r="N224" s="35" t="s">
        <v>45</v>
      </c>
      <c r="O224" s="35" t="s">
        <v>1916</v>
      </c>
      <c r="P224" s="35" t="s">
        <v>1917</v>
      </c>
      <c r="Q224" s="35" t="s">
        <v>72</v>
      </c>
      <c r="R224" s="35" t="s">
        <v>73</v>
      </c>
      <c r="S224" s="35" t="s">
        <v>148</v>
      </c>
      <c r="T224" s="35" t="s">
        <v>1918</v>
      </c>
      <c r="U224" s="35" t="s">
        <v>1919</v>
      </c>
      <c r="V224" s="35" t="s">
        <v>53</v>
      </c>
      <c r="W224" s="35" t="s">
        <v>552</v>
      </c>
      <c r="X224" s="35" t="s">
        <v>53</v>
      </c>
      <c r="Y224" s="35" t="s">
        <v>552</v>
      </c>
      <c r="Z224" s="35" t="s">
        <v>46</v>
      </c>
      <c r="AA224" s="35" t="s">
        <v>67</v>
      </c>
      <c r="AB224" s="35" t="s">
        <v>67</v>
      </c>
      <c r="AC224" s="35" t="s">
        <v>67</v>
      </c>
      <c r="AD224" s="35" t="s">
        <v>53</v>
      </c>
      <c r="AE224" s="35" t="s">
        <v>222</v>
      </c>
      <c r="AF224" s="35"/>
      <c r="AG224" s="128" t="s">
        <v>1920</v>
      </c>
    </row>
    <row r="225" spans="1:33" ht="25.5" x14ac:dyDescent="0.25">
      <c r="A225" s="35" t="s">
        <v>142</v>
      </c>
      <c r="B225" s="35" t="s">
        <v>164</v>
      </c>
      <c r="C225" s="35" t="s">
        <v>1956</v>
      </c>
      <c r="D225" s="35" t="s">
        <v>193</v>
      </c>
      <c r="E225" s="35" t="s">
        <v>1957</v>
      </c>
      <c r="F225" s="35" t="s">
        <v>1958</v>
      </c>
      <c r="G225" s="35" t="s">
        <v>1922</v>
      </c>
      <c r="H225" s="35" t="s">
        <v>1959</v>
      </c>
      <c r="I225" s="35">
        <v>3</v>
      </c>
      <c r="J225" s="35">
        <v>3</v>
      </c>
      <c r="K225" s="35" t="s">
        <v>77</v>
      </c>
      <c r="L225" s="35">
        <v>0.44</v>
      </c>
      <c r="M225" s="35" t="s">
        <v>53</v>
      </c>
      <c r="N225" s="35" t="s">
        <v>45</v>
      </c>
      <c r="O225" s="35" t="s">
        <v>1916</v>
      </c>
      <c r="P225" s="35" t="s">
        <v>1917</v>
      </c>
      <c r="Q225" s="35" t="s">
        <v>72</v>
      </c>
      <c r="R225" s="35" t="s">
        <v>73</v>
      </c>
      <c r="S225" s="35" t="s">
        <v>148</v>
      </c>
      <c r="T225" s="35" t="s">
        <v>1918</v>
      </c>
      <c r="U225" s="35" t="s">
        <v>1919</v>
      </c>
      <c r="V225" s="35" t="s">
        <v>53</v>
      </c>
      <c r="W225" s="35" t="s">
        <v>552</v>
      </c>
      <c r="X225" s="35" t="s">
        <v>53</v>
      </c>
      <c r="Y225" s="35" t="s">
        <v>552</v>
      </c>
      <c r="Z225" s="35" t="s">
        <v>46</v>
      </c>
      <c r="AA225" s="35" t="s">
        <v>67</v>
      </c>
      <c r="AB225" s="35" t="s">
        <v>67</v>
      </c>
      <c r="AC225" s="35" t="s">
        <v>67</v>
      </c>
      <c r="AD225" s="35" t="s">
        <v>53</v>
      </c>
      <c r="AE225" s="35" t="s">
        <v>222</v>
      </c>
      <c r="AF225" s="35"/>
      <c r="AG225" s="128" t="s">
        <v>1920</v>
      </c>
    </row>
    <row r="226" spans="1:33" ht="38.25" x14ac:dyDescent="0.25">
      <c r="A226" s="35" t="s">
        <v>367</v>
      </c>
      <c r="B226" s="35" t="s">
        <v>784</v>
      </c>
      <c r="C226" s="35" t="s">
        <v>1967</v>
      </c>
      <c r="D226" s="35"/>
      <c r="E226" s="35" t="s">
        <v>27</v>
      </c>
      <c r="F226" s="35" t="s">
        <v>1968</v>
      </c>
      <c r="G226" s="35"/>
      <c r="H226" s="35"/>
      <c r="I226" s="35">
        <v>1</v>
      </c>
      <c r="J226" s="35">
        <v>2</v>
      </c>
      <c r="K226" s="35" t="s">
        <v>50</v>
      </c>
      <c r="L226" s="35">
        <v>0.52</v>
      </c>
      <c r="M226" s="35" t="s">
        <v>45</v>
      </c>
      <c r="N226" s="35" t="s">
        <v>45</v>
      </c>
      <c r="O226" s="35" t="s">
        <v>1960</v>
      </c>
      <c r="P226" s="35" t="s">
        <v>1961</v>
      </c>
      <c r="Q226" s="35" t="s">
        <v>84</v>
      </c>
      <c r="R226" s="35" t="s">
        <v>79</v>
      </c>
      <c r="S226" s="35" t="s">
        <v>148</v>
      </c>
      <c r="T226" s="35" t="s">
        <v>1962</v>
      </c>
      <c r="U226" s="35" t="s">
        <v>1963</v>
      </c>
      <c r="V226" s="35" t="s">
        <v>45</v>
      </c>
      <c r="W226" s="162" t="s">
        <v>1964</v>
      </c>
      <c r="X226" s="35" t="s">
        <v>53</v>
      </c>
      <c r="Y226" s="35" t="s">
        <v>552</v>
      </c>
      <c r="Z226" s="35" t="s">
        <v>46</v>
      </c>
      <c r="AA226" s="35" t="s">
        <v>61</v>
      </c>
      <c r="AB226" s="35" t="s">
        <v>74</v>
      </c>
      <c r="AC226" s="35" t="s">
        <v>222</v>
      </c>
      <c r="AD226" s="35" t="s">
        <v>45</v>
      </c>
      <c r="AE226" s="35" t="s">
        <v>1965</v>
      </c>
      <c r="AF226" s="35"/>
      <c r="AG226" s="128" t="s">
        <v>1966</v>
      </c>
    </row>
    <row r="227" spans="1:33" ht="38.25" x14ac:dyDescent="0.25">
      <c r="A227" s="35" t="s">
        <v>367</v>
      </c>
      <c r="B227" s="35" t="s">
        <v>784</v>
      </c>
      <c r="C227" s="35" t="s">
        <v>1969</v>
      </c>
      <c r="D227" s="35" t="s">
        <v>193</v>
      </c>
      <c r="E227" s="35" t="s">
        <v>1970</v>
      </c>
      <c r="F227" s="35" t="s">
        <v>1971</v>
      </c>
      <c r="G227" s="35" t="s">
        <v>1972</v>
      </c>
      <c r="H227" s="35"/>
      <c r="I227" s="35">
        <v>5</v>
      </c>
      <c r="J227" s="35">
        <v>5</v>
      </c>
      <c r="K227" s="35" t="s">
        <v>83</v>
      </c>
      <c r="L227" s="35">
        <v>1</v>
      </c>
      <c r="M227" s="35" t="s">
        <v>45</v>
      </c>
      <c r="N227" s="35" t="s">
        <v>45</v>
      </c>
      <c r="O227" s="35" t="s">
        <v>1960</v>
      </c>
      <c r="P227" s="35" t="s">
        <v>1961</v>
      </c>
      <c r="Q227" s="35" t="s">
        <v>84</v>
      </c>
      <c r="R227" s="35" t="s">
        <v>79</v>
      </c>
      <c r="S227" s="35" t="s">
        <v>148</v>
      </c>
      <c r="T227" s="35" t="s">
        <v>1962</v>
      </c>
      <c r="U227" s="35" t="s">
        <v>1963</v>
      </c>
      <c r="V227" s="35" t="s">
        <v>45</v>
      </c>
      <c r="W227" s="35" t="s">
        <v>1964</v>
      </c>
      <c r="X227" s="35" t="s">
        <v>53</v>
      </c>
      <c r="Y227" s="35" t="s">
        <v>552</v>
      </c>
      <c r="Z227" s="35" t="s">
        <v>46</v>
      </c>
      <c r="AA227" s="35" t="s">
        <v>61</v>
      </c>
      <c r="AB227" s="35" t="s">
        <v>74</v>
      </c>
      <c r="AC227" s="35" t="s">
        <v>222</v>
      </c>
      <c r="AD227" s="35" t="s">
        <v>45</v>
      </c>
      <c r="AE227" s="35" t="s">
        <v>1965</v>
      </c>
      <c r="AF227" s="35"/>
      <c r="AG227" s="128" t="s">
        <v>1966</v>
      </c>
    </row>
    <row r="228" spans="1:33" ht="38.25" x14ac:dyDescent="0.25">
      <c r="A228" s="35" t="s">
        <v>367</v>
      </c>
      <c r="B228" s="35" t="s">
        <v>784</v>
      </c>
      <c r="C228" s="35" t="s">
        <v>1973</v>
      </c>
      <c r="D228" s="35" t="s">
        <v>193</v>
      </c>
      <c r="E228" s="35" t="s">
        <v>1974</v>
      </c>
      <c r="F228" s="35" t="s">
        <v>1975</v>
      </c>
      <c r="G228" s="35"/>
      <c r="H228" s="35"/>
      <c r="I228" s="35">
        <v>4</v>
      </c>
      <c r="J228" s="35">
        <v>3</v>
      </c>
      <c r="K228" s="35" t="s">
        <v>64</v>
      </c>
      <c r="L228" s="35">
        <v>0.68</v>
      </c>
      <c r="M228" s="35" t="s">
        <v>45</v>
      </c>
      <c r="N228" s="35" t="s">
        <v>45</v>
      </c>
      <c r="O228" s="35" t="s">
        <v>1960</v>
      </c>
      <c r="P228" s="35" t="s">
        <v>1961</v>
      </c>
      <c r="Q228" s="35" t="s">
        <v>84</v>
      </c>
      <c r="R228" s="35" t="s">
        <v>79</v>
      </c>
      <c r="S228" s="35" t="s">
        <v>148</v>
      </c>
      <c r="T228" s="35" t="s">
        <v>1962</v>
      </c>
      <c r="U228" s="35" t="s">
        <v>1963</v>
      </c>
      <c r="V228" s="35" t="s">
        <v>45</v>
      </c>
      <c r="W228" s="35" t="s">
        <v>1964</v>
      </c>
      <c r="X228" s="35" t="s">
        <v>53</v>
      </c>
      <c r="Y228" s="35" t="s">
        <v>552</v>
      </c>
      <c r="Z228" s="35" t="s">
        <v>46</v>
      </c>
      <c r="AA228" s="35" t="s">
        <v>61</v>
      </c>
      <c r="AB228" s="35" t="s">
        <v>74</v>
      </c>
      <c r="AC228" s="35" t="s">
        <v>222</v>
      </c>
      <c r="AD228" s="35" t="s">
        <v>45</v>
      </c>
      <c r="AE228" s="35" t="s">
        <v>1965</v>
      </c>
      <c r="AF228" s="35"/>
      <c r="AG228" s="128" t="s">
        <v>1966</v>
      </c>
    </row>
    <row r="229" spans="1:33" ht="38.25" x14ac:dyDescent="0.25">
      <c r="A229" s="35" t="s">
        <v>367</v>
      </c>
      <c r="B229" s="35" t="s">
        <v>164</v>
      </c>
      <c r="C229" s="35" t="s">
        <v>1976</v>
      </c>
      <c r="D229" s="35" t="s">
        <v>1050</v>
      </c>
      <c r="E229" s="35" t="s">
        <v>71</v>
      </c>
      <c r="F229" s="35" t="s">
        <v>1977</v>
      </c>
      <c r="G229" s="35" t="s">
        <v>1978</v>
      </c>
      <c r="H229" s="35"/>
      <c r="I229" s="35">
        <v>4</v>
      </c>
      <c r="J229" s="35">
        <v>3</v>
      </c>
      <c r="K229" s="35" t="s">
        <v>71</v>
      </c>
      <c r="L229" s="35">
        <v>0.48</v>
      </c>
      <c r="M229" s="35" t="s">
        <v>45</v>
      </c>
      <c r="N229" s="35" t="s">
        <v>45</v>
      </c>
      <c r="O229" s="35" t="s">
        <v>1960</v>
      </c>
      <c r="P229" s="35" t="s">
        <v>1961</v>
      </c>
      <c r="Q229" s="35" t="s">
        <v>84</v>
      </c>
      <c r="R229" s="35" t="s">
        <v>79</v>
      </c>
      <c r="S229" s="35" t="s">
        <v>148</v>
      </c>
      <c r="T229" s="35" t="s">
        <v>1962</v>
      </c>
      <c r="U229" s="35" t="s">
        <v>1963</v>
      </c>
      <c r="V229" s="35" t="s">
        <v>45</v>
      </c>
      <c r="W229" s="35" t="s">
        <v>1964</v>
      </c>
      <c r="X229" s="35" t="s">
        <v>53</v>
      </c>
      <c r="Y229" s="35" t="s">
        <v>552</v>
      </c>
      <c r="Z229" s="35" t="s">
        <v>46</v>
      </c>
      <c r="AA229" s="35" t="s">
        <v>61</v>
      </c>
      <c r="AB229" s="35" t="s">
        <v>74</v>
      </c>
      <c r="AC229" s="35" t="s">
        <v>222</v>
      </c>
      <c r="AD229" s="35" t="s">
        <v>45</v>
      </c>
      <c r="AE229" s="35" t="s">
        <v>1965</v>
      </c>
      <c r="AF229" s="35"/>
      <c r="AG229" s="128" t="s">
        <v>1966</v>
      </c>
    </row>
    <row r="230" spans="1:33" ht="38.25" x14ac:dyDescent="0.25">
      <c r="A230" s="35" t="s">
        <v>367</v>
      </c>
      <c r="B230" s="35" t="s">
        <v>164</v>
      </c>
      <c r="C230" s="35" t="s">
        <v>1979</v>
      </c>
      <c r="D230" s="35" t="s">
        <v>1050</v>
      </c>
      <c r="E230" s="35" t="s">
        <v>1980</v>
      </c>
      <c r="F230" s="35" t="s">
        <v>1981</v>
      </c>
      <c r="G230" s="35" t="s">
        <v>1982</v>
      </c>
      <c r="H230" s="35"/>
      <c r="I230" s="35">
        <v>4</v>
      </c>
      <c r="J230" s="35">
        <v>3</v>
      </c>
      <c r="K230" s="35" t="s">
        <v>71</v>
      </c>
      <c r="L230" s="35">
        <v>0.48</v>
      </c>
      <c r="M230" s="35" t="s">
        <v>45</v>
      </c>
      <c r="N230" s="35" t="s">
        <v>45</v>
      </c>
      <c r="O230" s="35" t="s">
        <v>1960</v>
      </c>
      <c r="P230" s="35" t="s">
        <v>1961</v>
      </c>
      <c r="Q230" s="35" t="s">
        <v>84</v>
      </c>
      <c r="R230" s="35" t="s">
        <v>79</v>
      </c>
      <c r="S230" s="35" t="s">
        <v>148</v>
      </c>
      <c r="T230" s="35" t="s">
        <v>1962</v>
      </c>
      <c r="U230" s="35" t="s">
        <v>1963</v>
      </c>
      <c r="V230" s="35" t="s">
        <v>45</v>
      </c>
      <c r="W230" s="35" t="s">
        <v>1964</v>
      </c>
      <c r="X230" s="35" t="s">
        <v>53</v>
      </c>
      <c r="Y230" s="35" t="s">
        <v>552</v>
      </c>
      <c r="Z230" s="35" t="s">
        <v>46</v>
      </c>
      <c r="AA230" s="35" t="s">
        <v>61</v>
      </c>
      <c r="AB230" s="35" t="s">
        <v>74</v>
      </c>
      <c r="AC230" s="35" t="s">
        <v>222</v>
      </c>
      <c r="AD230" s="35" t="s">
        <v>45</v>
      </c>
      <c r="AE230" s="35" t="s">
        <v>1965</v>
      </c>
      <c r="AF230" s="35"/>
      <c r="AG230" s="128" t="s">
        <v>1966</v>
      </c>
    </row>
    <row r="231" spans="1:33" ht="25.5" x14ac:dyDescent="0.25">
      <c r="A231" s="35" t="s">
        <v>367</v>
      </c>
      <c r="B231" s="35" t="s">
        <v>784</v>
      </c>
      <c r="C231" s="35" t="s">
        <v>1988</v>
      </c>
      <c r="D231" s="35"/>
      <c r="E231" s="35" t="s">
        <v>27</v>
      </c>
      <c r="F231" s="35"/>
      <c r="G231" s="35"/>
      <c r="H231" s="35" t="s">
        <v>1989</v>
      </c>
      <c r="I231" s="35">
        <v>1</v>
      </c>
      <c r="J231" s="35">
        <v>1</v>
      </c>
      <c r="K231" s="35" t="s">
        <v>64</v>
      </c>
      <c r="L231" s="35">
        <v>0.48</v>
      </c>
      <c r="M231" s="35" t="s">
        <v>45</v>
      </c>
      <c r="N231" s="35" t="s">
        <v>45</v>
      </c>
      <c r="O231" s="35" t="s">
        <v>1983</v>
      </c>
      <c r="P231" s="35" t="s">
        <v>1984</v>
      </c>
      <c r="Q231" s="35" t="s">
        <v>85</v>
      </c>
      <c r="R231" s="35" t="s">
        <v>82</v>
      </c>
      <c r="S231" s="35" t="s">
        <v>148</v>
      </c>
      <c r="T231" s="35" t="s">
        <v>1985</v>
      </c>
      <c r="U231" s="35"/>
      <c r="V231" s="35" t="s">
        <v>45</v>
      </c>
      <c r="W231" s="35" t="s">
        <v>1986</v>
      </c>
      <c r="X231" s="35" t="s">
        <v>45</v>
      </c>
      <c r="Y231" s="35" t="s">
        <v>46</v>
      </c>
      <c r="Z231" s="35" t="s">
        <v>46</v>
      </c>
      <c r="AA231" s="35" t="s">
        <v>55</v>
      </c>
      <c r="AB231" s="35" t="s">
        <v>56</v>
      </c>
      <c r="AC231" s="35" t="s">
        <v>222</v>
      </c>
      <c r="AD231" s="35" t="s">
        <v>45</v>
      </c>
      <c r="AE231" s="35" t="s">
        <v>222</v>
      </c>
      <c r="AF231" s="35"/>
      <c r="AG231" s="128" t="s">
        <v>1987</v>
      </c>
    </row>
    <row r="232" spans="1:33" ht="25.5" x14ac:dyDescent="0.25">
      <c r="A232" s="35" t="s">
        <v>367</v>
      </c>
      <c r="B232" s="35" t="s">
        <v>784</v>
      </c>
      <c r="C232" s="35" t="s">
        <v>1990</v>
      </c>
      <c r="D232" s="35" t="s">
        <v>189</v>
      </c>
      <c r="E232" s="35" t="s">
        <v>1991</v>
      </c>
      <c r="F232" s="35" t="s">
        <v>1992</v>
      </c>
      <c r="G232" s="35"/>
      <c r="H232" s="35"/>
      <c r="I232" s="35">
        <v>2</v>
      </c>
      <c r="J232" s="35">
        <v>4</v>
      </c>
      <c r="K232" s="35" t="s">
        <v>77</v>
      </c>
      <c r="L232" s="35">
        <v>0.44</v>
      </c>
      <c r="M232" s="35" t="s">
        <v>45</v>
      </c>
      <c r="N232" s="35" t="s">
        <v>45</v>
      </c>
      <c r="O232" s="35" t="s">
        <v>1983</v>
      </c>
      <c r="P232" s="35" t="s">
        <v>1984</v>
      </c>
      <c r="Q232" s="35" t="s">
        <v>85</v>
      </c>
      <c r="R232" s="35" t="s">
        <v>82</v>
      </c>
      <c r="S232" s="35" t="s">
        <v>148</v>
      </c>
      <c r="T232" s="35" t="s">
        <v>1985</v>
      </c>
      <c r="U232" s="35"/>
      <c r="V232" s="35" t="s">
        <v>45</v>
      </c>
      <c r="W232" s="35" t="s">
        <v>1986</v>
      </c>
      <c r="X232" s="35" t="s">
        <v>45</v>
      </c>
      <c r="Y232" s="35" t="s">
        <v>46</v>
      </c>
      <c r="Z232" s="35" t="s">
        <v>46</v>
      </c>
      <c r="AA232" s="35" t="s">
        <v>55</v>
      </c>
      <c r="AB232" s="35" t="s">
        <v>56</v>
      </c>
      <c r="AC232" s="35" t="s">
        <v>222</v>
      </c>
      <c r="AD232" s="35" t="s">
        <v>45</v>
      </c>
      <c r="AE232" s="35" t="s">
        <v>222</v>
      </c>
      <c r="AF232" s="35"/>
      <c r="AG232" s="128" t="s">
        <v>1987</v>
      </c>
    </row>
    <row r="233" spans="1:33" ht="25.5" x14ac:dyDescent="0.25">
      <c r="A233" s="35" t="s">
        <v>367</v>
      </c>
      <c r="B233" s="35" t="s">
        <v>784</v>
      </c>
      <c r="C233" s="35" t="s">
        <v>1993</v>
      </c>
      <c r="D233" s="35" t="s">
        <v>193</v>
      </c>
      <c r="E233" s="35" t="s">
        <v>1994</v>
      </c>
      <c r="F233" s="35" t="s">
        <v>1995</v>
      </c>
      <c r="G233" s="35"/>
      <c r="H233" s="35"/>
      <c r="I233" s="35">
        <v>4</v>
      </c>
      <c r="J233" s="35">
        <v>3</v>
      </c>
      <c r="K233" s="35" t="s">
        <v>64</v>
      </c>
      <c r="L233" s="35">
        <v>0.68</v>
      </c>
      <c r="M233" s="35" t="s">
        <v>45</v>
      </c>
      <c r="N233" s="35" t="s">
        <v>45</v>
      </c>
      <c r="O233" s="35" t="s">
        <v>1983</v>
      </c>
      <c r="P233" s="35" t="s">
        <v>1984</v>
      </c>
      <c r="Q233" s="35" t="s">
        <v>85</v>
      </c>
      <c r="R233" s="35" t="s">
        <v>82</v>
      </c>
      <c r="S233" s="35" t="s">
        <v>148</v>
      </c>
      <c r="T233" s="35" t="s">
        <v>1985</v>
      </c>
      <c r="U233" s="35"/>
      <c r="V233" s="35" t="s">
        <v>45</v>
      </c>
      <c r="W233" s="35" t="s">
        <v>1986</v>
      </c>
      <c r="X233" s="35" t="s">
        <v>45</v>
      </c>
      <c r="Y233" s="35" t="s">
        <v>46</v>
      </c>
      <c r="Z233" s="35" t="s">
        <v>46</v>
      </c>
      <c r="AA233" s="35" t="s">
        <v>55</v>
      </c>
      <c r="AB233" s="35" t="s">
        <v>56</v>
      </c>
      <c r="AC233" s="35" t="s">
        <v>222</v>
      </c>
      <c r="AD233" s="35" t="s">
        <v>45</v>
      </c>
      <c r="AE233" s="35" t="s">
        <v>222</v>
      </c>
      <c r="AF233" s="35"/>
      <c r="AG233" s="128" t="s">
        <v>1987</v>
      </c>
    </row>
    <row r="234" spans="1:33" ht="25.5" x14ac:dyDescent="0.25">
      <c r="A234" s="35" t="s">
        <v>367</v>
      </c>
      <c r="B234" s="35" t="s">
        <v>164</v>
      </c>
      <c r="C234" s="35" t="s">
        <v>1996</v>
      </c>
      <c r="D234" s="35" t="s">
        <v>1050</v>
      </c>
      <c r="E234" s="35" t="s">
        <v>373</v>
      </c>
      <c r="F234" s="35" t="s">
        <v>1997</v>
      </c>
      <c r="G234" s="35"/>
      <c r="H234" s="35"/>
      <c r="I234" s="35">
        <v>3</v>
      </c>
      <c r="J234" s="35">
        <v>4</v>
      </c>
      <c r="K234" s="35" t="s">
        <v>71</v>
      </c>
      <c r="L234" s="35">
        <v>0.48</v>
      </c>
      <c r="M234" s="35" t="s">
        <v>45</v>
      </c>
      <c r="N234" s="35" t="s">
        <v>45</v>
      </c>
      <c r="O234" s="35" t="s">
        <v>1983</v>
      </c>
      <c r="P234" s="35" t="s">
        <v>1984</v>
      </c>
      <c r="Q234" s="35" t="s">
        <v>85</v>
      </c>
      <c r="R234" s="35" t="s">
        <v>82</v>
      </c>
      <c r="S234" s="35" t="s">
        <v>148</v>
      </c>
      <c r="T234" s="35" t="s">
        <v>1985</v>
      </c>
      <c r="U234" s="35"/>
      <c r="V234" s="35" t="s">
        <v>45</v>
      </c>
      <c r="W234" s="35" t="s">
        <v>1986</v>
      </c>
      <c r="X234" s="35" t="s">
        <v>45</v>
      </c>
      <c r="Y234" s="35" t="s">
        <v>46</v>
      </c>
      <c r="Z234" s="35" t="s">
        <v>46</v>
      </c>
      <c r="AA234" s="35" t="s">
        <v>55</v>
      </c>
      <c r="AB234" s="35" t="s">
        <v>56</v>
      </c>
      <c r="AC234" s="35" t="s">
        <v>222</v>
      </c>
      <c r="AD234" s="35" t="s">
        <v>45</v>
      </c>
      <c r="AE234" s="35" t="s">
        <v>222</v>
      </c>
      <c r="AF234" s="35"/>
      <c r="AG234" s="128" t="s">
        <v>1987</v>
      </c>
    </row>
    <row r="235" spans="1:33" ht="25.5" x14ac:dyDescent="0.25">
      <c r="A235" s="35" t="s">
        <v>367</v>
      </c>
      <c r="B235" s="35" t="s">
        <v>164</v>
      </c>
      <c r="C235" s="35" t="s">
        <v>1998</v>
      </c>
      <c r="D235" s="35" t="s">
        <v>193</v>
      </c>
      <c r="E235" s="35" t="s">
        <v>1999</v>
      </c>
      <c r="F235" s="35" t="s">
        <v>2000</v>
      </c>
      <c r="G235" s="35"/>
      <c r="H235" s="35"/>
      <c r="I235" s="35">
        <v>4</v>
      </c>
      <c r="J235" s="35">
        <v>5</v>
      </c>
      <c r="K235" s="35" t="s">
        <v>77</v>
      </c>
      <c r="L235" s="35">
        <v>0.56000000000000005</v>
      </c>
      <c r="M235" s="35" t="s">
        <v>45</v>
      </c>
      <c r="N235" s="35" t="s">
        <v>45</v>
      </c>
      <c r="O235" s="35" t="s">
        <v>1983</v>
      </c>
      <c r="P235" s="35" t="s">
        <v>1984</v>
      </c>
      <c r="Q235" s="35" t="s">
        <v>85</v>
      </c>
      <c r="R235" s="35" t="s">
        <v>82</v>
      </c>
      <c r="S235" s="35" t="s">
        <v>148</v>
      </c>
      <c r="T235" s="35" t="s">
        <v>1985</v>
      </c>
      <c r="U235" s="35"/>
      <c r="V235" s="35" t="s">
        <v>45</v>
      </c>
      <c r="W235" s="35" t="s">
        <v>1986</v>
      </c>
      <c r="X235" s="35" t="s">
        <v>45</v>
      </c>
      <c r="Y235" s="35" t="s">
        <v>46</v>
      </c>
      <c r="Z235" s="35" t="s">
        <v>46</v>
      </c>
      <c r="AA235" s="35" t="s">
        <v>55</v>
      </c>
      <c r="AB235" s="35" t="s">
        <v>56</v>
      </c>
      <c r="AC235" s="35" t="s">
        <v>222</v>
      </c>
      <c r="AD235" s="35" t="s">
        <v>45</v>
      </c>
      <c r="AE235" s="35" t="s">
        <v>222</v>
      </c>
      <c r="AF235" s="35"/>
      <c r="AG235" s="128" t="s">
        <v>1987</v>
      </c>
    </row>
    <row r="236" spans="1:33" ht="25.5" x14ac:dyDescent="0.25">
      <c r="A236" s="35" t="s">
        <v>367</v>
      </c>
      <c r="B236" s="35" t="s">
        <v>164</v>
      </c>
      <c r="C236" s="35" t="s">
        <v>2001</v>
      </c>
      <c r="D236" s="35" t="s">
        <v>193</v>
      </c>
      <c r="E236" s="35" t="s">
        <v>2002</v>
      </c>
      <c r="F236" s="35" t="s">
        <v>2003</v>
      </c>
      <c r="G236" s="35" t="s">
        <v>2004</v>
      </c>
      <c r="H236" s="35"/>
      <c r="I236" s="35">
        <v>5</v>
      </c>
      <c r="J236" s="35">
        <v>5</v>
      </c>
      <c r="K236" s="35" t="s">
        <v>83</v>
      </c>
      <c r="L236" s="35">
        <v>1</v>
      </c>
      <c r="M236" s="35" t="s">
        <v>45</v>
      </c>
      <c r="N236" s="35" t="s">
        <v>45</v>
      </c>
      <c r="O236" s="35" t="s">
        <v>1983</v>
      </c>
      <c r="P236" s="35" t="s">
        <v>1984</v>
      </c>
      <c r="Q236" s="35" t="s">
        <v>85</v>
      </c>
      <c r="R236" s="35" t="s">
        <v>82</v>
      </c>
      <c r="S236" s="35" t="s">
        <v>148</v>
      </c>
      <c r="T236" s="35" t="s">
        <v>1985</v>
      </c>
      <c r="U236" s="35"/>
      <c r="V236" s="35" t="s">
        <v>45</v>
      </c>
      <c r="W236" s="35" t="s">
        <v>1986</v>
      </c>
      <c r="X236" s="35" t="s">
        <v>45</v>
      </c>
      <c r="Y236" s="35" t="s">
        <v>46</v>
      </c>
      <c r="Z236" s="35" t="s">
        <v>46</v>
      </c>
      <c r="AA236" s="35" t="s">
        <v>55</v>
      </c>
      <c r="AB236" s="35" t="s">
        <v>56</v>
      </c>
      <c r="AC236" s="35" t="s">
        <v>222</v>
      </c>
      <c r="AD236" s="35" t="s">
        <v>45</v>
      </c>
      <c r="AE236" s="35" t="s">
        <v>222</v>
      </c>
      <c r="AF236" s="35"/>
      <c r="AG236" s="128" t="s">
        <v>1987</v>
      </c>
    </row>
    <row r="237" spans="1:33" ht="25.5" x14ac:dyDescent="0.25">
      <c r="A237" s="35" t="s">
        <v>367</v>
      </c>
      <c r="B237" s="35" t="s">
        <v>164</v>
      </c>
      <c r="C237" s="35" t="s">
        <v>2005</v>
      </c>
      <c r="D237" s="35" t="s">
        <v>193</v>
      </c>
      <c r="E237" s="35" t="s">
        <v>2006</v>
      </c>
      <c r="F237" s="35" t="s">
        <v>2007</v>
      </c>
      <c r="G237" s="35"/>
      <c r="H237" s="35"/>
      <c r="I237" s="35">
        <v>4</v>
      </c>
      <c r="J237" s="35">
        <v>3</v>
      </c>
      <c r="K237" s="35" t="s">
        <v>77</v>
      </c>
      <c r="L237" s="35">
        <v>0.48</v>
      </c>
      <c r="M237" s="35" t="s">
        <v>45</v>
      </c>
      <c r="N237" s="35" t="s">
        <v>45</v>
      </c>
      <c r="O237" s="35" t="s">
        <v>1983</v>
      </c>
      <c r="P237" s="35" t="s">
        <v>1984</v>
      </c>
      <c r="Q237" s="35" t="s">
        <v>85</v>
      </c>
      <c r="R237" s="35" t="s">
        <v>82</v>
      </c>
      <c r="S237" s="35" t="s">
        <v>148</v>
      </c>
      <c r="T237" s="35" t="s">
        <v>1985</v>
      </c>
      <c r="U237" s="35"/>
      <c r="V237" s="35" t="s">
        <v>45</v>
      </c>
      <c r="W237" s="35" t="s">
        <v>1986</v>
      </c>
      <c r="X237" s="35" t="s">
        <v>45</v>
      </c>
      <c r="Y237" s="35" t="s">
        <v>46</v>
      </c>
      <c r="Z237" s="35" t="s">
        <v>46</v>
      </c>
      <c r="AA237" s="35" t="s">
        <v>55</v>
      </c>
      <c r="AB237" s="35" t="s">
        <v>56</v>
      </c>
      <c r="AC237" s="35" t="s">
        <v>222</v>
      </c>
      <c r="AD237" s="35" t="s">
        <v>45</v>
      </c>
      <c r="AE237" s="35" t="s">
        <v>222</v>
      </c>
      <c r="AF237" s="35"/>
      <c r="AG237" s="128" t="s">
        <v>1987</v>
      </c>
    </row>
    <row r="238" spans="1:33" ht="51" x14ac:dyDescent="0.25">
      <c r="A238" s="35" t="s">
        <v>367</v>
      </c>
      <c r="B238" s="35" t="s">
        <v>164</v>
      </c>
      <c r="C238" s="35" t="s">
        <v>2009</v>
      </c>
      <c r="D238" s="35" t="s">
        <v>2010</v>
      </c>
      <c r="E238" s="35" t="s">
        <v>2011</v>
      </c>
      <c r="F238" s="35" t="s">
        <v>2012</v>
      </c>
      <c r="G238" s="35" t="s">
        <v>2013</v>
      </c>
      <c r="H238" s="35"/>
      <c r="I238" s="35">
        <v>5</v>
      </c>
      <c r="J238" s="35">
        <v>5</v>
      </c>
      <c r="K238" s="35" t="s">
        <v>83</v>
      </c>
      <c r="L238" s="35">
        <v>1</v>
      </c>
      <c r="M238" s="35" t="s">
        <v>45</v>
      </c>
      <c r="N238" s="35" t="s">
        <v>45</v>
      </c>
      <c r="O238" s="35" t="s">
        <v>349</v>
      </c>
      <c r="P238" s="35" t="s">
        <v>350</v>
      </c>
      <c r="Q238" s="35" t="s">
        <v>85</v>
      </c>
      <c r="R238" s="35" t="s">
        <v>82</v>
      </c>
      <c r="S238" s="35" t="s">
        <v>351</v>
      </c>
      <c r="T238" s="35" t="s">
        <v>352</v>
      </c>
      <c r="U238" s="35" t="s">
        <v>353</v>
      </c>
      <c r="V238" s="35" t="s">
        <v>45</v>
      </c>
      <c r="W238" s="35" t="s">
        <v>354</v>
      </c>
      <c r="X238" s="35" t="s">
        <v>45</v>
      </c>
      <c r="Y238" s="35" t="s">
        <v>355</v>
      </c>
      <c r="Z238" s="35" t="s">
        <v>356</v>
      </c>
      <c r="AA238" s="35" t="s">
        <v>47</v>
      </c>
      <c r="AB238" s="35" t="s">
        <v>222</v>
      </c>
      <c r="AC238" s="35" t="s">
        <v>49</v>
      </c>
      <c r="AD238" s="35" t="s">
        <v>222</v>
      </c>
      <c r="AE238" s="35" t="s">
        <v>357</v>
      </c>
      <c r="AF238" s="35"/>
      <c r="AG238" s="128" t="s">
        <v>2008</v>
      </c>
    </row>
    <row r="239" spans="1:33" ht="51" x14ac:dyDescent="0.25">
      <c r="A239" s="35" t="s">
        <v>367</v>
      </c>
      <c r="B239" s="35" t="s">
        <v>164</v>
      </c>
      <c r="C239" s="35" t="s">
        <v>2014</v>
      </c>
      <c r="D239" s="35" t="s">
        <v>2010</v>
      </c>
      <c r="E239" s="35" t="s">
        <v>2015</v>
      </c>
      <c r="F239" s="35" t="s">
        <v>2016</v>
      </c>
      <c r="G239" s="35" t="s">
        <v>2017</v>
      </c>
      <c r="H239" s="35"/>
      <c r="I239" s="35">
        <v>5</v>
      </c>
      <c r="J239" s="35">
        <v>5</v>
      </c>
      <c r="K239" s="35" t="s">
        <v>83</v>
      </c>
      <c r="L239" s="35">
        <v>1</v>
      </c>
      <c r="M239" s="35" t="s">
        <v>45</v>
      </c>
      <c r="N239" s="35" t="s">
        <v>45</v>
      </c>
      <c r="O239" s="35" t="s">
        <v>349</v>
      </c>
      <c r="P239" s="35" t="s">
        <v>350</v>
      </c>
      <c r="Q239" s="35" t="s">
        <v>85</v>
      </c>
      <c r="R239" s="35" t="s">
        <v>82</v>
      </c>
      <c r="S239" s="35" t="s">
        <v>351</v>
      </c>
      <c r="T239" s="35" t="s">
        <v>352</v>
      </c>
      <c r="U239" s="35" t="s">
        <v>353</v>
      </c>
      <c r="V239" s="35" t="s">
        <v>45</v>
      </c>
      <c r="W239" s="35" t="s">
        <v>354</v>
      </c>
      <c r="X239" s="35" t="s">
        <v>45</v>
      </c>
      <c r="Y239" s="35" t="s">
        <v>355</v>
      </c>
      <c r="Z239" s="35" t="s">
        <v>356</v>
      </c>
      <c r="AA239" s="35" t="s">
        <v>47</v>
      </c>
      <c r="AB239" s="35" t="s">
        <v>222</v>
      </c>
      <c r="AC239" s="35" t="s">
        <v>49</v>
      </c>
      <c r="AD239" s="35" t="s">
        <v>222</v>
      </c>
      <c r="AE239" s="35" t="s">
        <v>357</v>
      </c>
      <c r="AF239" s="35"/>
      <c r="AG239" s="128" t="s">
        <v>2008</v>
      </c>
    </row>
    <row r="240" spans="1:33" ht="51" x14ac:dyDescent="0.25">
      <c r="A240" s="35" t="s">
        <v>367</v>
      </c>
      <c r="B240" s="35" t="s">
        <v>164</v>
      </c>
      <c r="C240" s="35" t="s">
        <v>2018</v>
      </c>
      <c r="D240" s="35" t="s">
        <v>2010</v>
      </c>
      <c r="E240" s="35" t="s">
        <v>2019</v>
      </c>
      <c r="F240" s="35" t="s">
        <v>2020</v>
      </c>
      <c r="G240" s="35" t="s">
        <v>2021</v>
      </c>
      <c r="H240" s="35"/>
      <c r="I240" s="35">
        <v>4</v>
      </c>
      <c r="J240" s="35">
        <v>3</v>
      </c>
      <c r="K240" s="35" t="s">
        <v>64</v>
      </c>
      <c r="L240" s="35">
        <v>0.68</v>
      </c>
      <c r="M240" s="35" t="s">
        <v>45</v>
      </c>
      <c r="N240" s="35" t="s">
        <v>45</v>
      </c>
      <c r="O240" s="35" t="s">
        <v>531</v>
      </c>
      <c r="P240" s="35" t="s">
        <v>350</v>
      </c>
      <c r="Q240" s="35" t="s">
        <v>85</v>
      </c>
      <c r="R240" s="35" t="s">
        <v>82</v>
      </c>
      <c r="S240" s="35" t="s">
        <v>351</v>
      </c>
      <c r="T240" s="35" t="s">
        <v>352</v>
      </c>
      <c r="U240" s="35" t="s">
        <v>353</v>
      </c>
      <c r="V240" s="35" t="s">
        <v>45</v>
      </c>
      <c r="W240" s="35" t="s">
        <v>354</v>
      </c>
      <c r="X240" s="35" t="s">
        <v>45</v>
      </c>
      <c r="Y240" s="35" t="s">
        <v>355</v>
      </c>
      <c r="Z240" s="35" t="s">
        <v>356</v>
      </c>
      <c r="AA240" s="35" t="s">
        <v>47</v>
      </c>
      <c r="AB240" s="35" t="s">
        <v>222</v>
      </c>
      <c r="AC240" s="35" t="s">
        <v>49</v>
      </c>
      <c r="AD240" s="35" t="s">
        <v>222</v>
      </c>
      <c r="AE240" s="35" t="s">
        <v>357</v>
      </c>
      <c r="AF240" s="35"/>
      <c r="AG240" s="128" t="s">
        <v>2008</v>
      </c>
    </row>
    <row r="241" spans="1:33" ht="30" x14ac:dyDescent="0.25">
      <c r="A241" s="35" t="s">
        <v>367</v>
      </c>
      <c r="B241" s="35" t="s">
        <v>784</v>
      </c>
      <c r="C241" s="35" t="s">
        <v>2029</v>
      </c>
      <c r="D241" s="35" t="s">
        <v>2030</v>
      </c>
      <c r="E241" s="35" t="s">
        <v>318</v>
      </c>
      <c r="F241" s="35" t="s">
        <v>2031</v>
      </c>
      <c r="G241" s="35"/>
      <c r="H241" s="35" t="s">
        <v>2032</v>
      </c>
      <c r="I241" s="35">
        <v>2</v>
      </c>
      <c r="J241" s="35">
        <v>1</v>
      </c>
      <c r="K241" s="35" t="s">
        <v>64</v>
      </c>
      <c r="L241" s="35">
        <v>0.52</v>
      </c>
      <c r="M241" s="35" t="s">
        <v>45</v>
      </c>
      <c r="N241" s="35" t="s">
        <v>53</v>
      </c>
      <c r="O241" s="35" t="s">
        <v>2028</v>
      </c>
      <c r="P241" s="35" t="s">
        <v>2022</v>
      </c>
      <c r="Q241" s="35" t="s">
        <v>85</v>
      </c>
      <c r="R241" s="35" t="s">
        <v>82</v>
      </c>
      <c r="S241" s="35" t="s">
        <v>2023</v>
      </c>
      <c r="T241" s="36" t="s">
        <v>2024</v>
      </c>
      <c r="U241" s="35"/>
      <c r="V241" s="35" t="s">
        <v>45</v>
      </c>
      <c r="W241" s="40" t="s">
        <v>2025</v>
      </c>
      <c r="X241" s="35" t="s">
        <v>45</v>
      </c>
      <c r="Y241" s="40" t="s">
        <v>2026</v>
      </c>
      <c r="Z241" s="35" t="s">
        <v>60</v>
      </c>
      <c r="AA241" s="35" t="s">
        <v>61</v>
      </c>
      <c r="AB241" s="35" t="s">
        <v>222</v>
      </c>
      <c r="AC241" s="35" t="s">
        <v>222</v>
      </c>
      <c r="AD241" s="13" t="s">
        <v>2027</v>
      </c>
      <c r="AE241" s="35" t="s">
        <v>222</v>
      </c>
      <c r="AF241" s="35"/>
      <c r="AG241" s="128" t="s">
        <v>2057</v>
      </c>
    </row>
    <row r="242" spans="1:33" ht="25.5" x14ac:dyDescent="0.25">
      <c r="A242" s="35" t="s">
        <v>367</v>
      </c>
      <c r="B242" s="35" t="s">
        <v>784</v>
      </c>
      <c r="C242" s="35" t="s">
        <v>2033</v>
      </c>
      <c r="D242" s="35" t="s">
        <v>2030</v>
      </c>
      <c r="E242" s="35" t="s">
        <v>321</v>
      </c>
      <c r="F242" s="35" t="s">
        <v>2034</v>
      </c>
      <c r="G242" s="35"/>
      <c r="H242" s="35" t="s">
        <v>2035</v>
      </c>
      <c r="I242" s="35">
        <v>1</v>
      </c>
      <c r="J242" s="35">
        <v>1</v>
      </c>
      <c r="K242" s="35" t="s">
        <v>64</v>
      </c>
      <c r="L242" s="35">
        <v>0.48</v>
      </c>
      <c r="M242" s="35" t="s">
        <v>45</v>
      </c>
      <c r="N242" s="35" t="s">
        <v>53</v>
      </c>
      <c r="O242" s="35" t="s">
        <v>2028</v>
      </c>
      <c r="P242" s="35" t="s">
        <v>2022</v>
      </c>
      <c r="Q242" s="35" t="s">
        <v>85</v>
      </c>
      <c r="R242" s="35" t="s">
        <v>82</v>
      </c>
      <c r="S242" s="35" t="s">
        <v>2023</v>
      </c>
      <c r="T242" s="35" t="s">
        <v>2024</v>
      </c>
      <c r="U242" s="35"/>
      <c r="V242" s="35" t="s">
        <v>45</v>
      </c>
      <c r="W242" s="35" t="s">
        <v>2025</v>
      </c>
      <c r="X242" s="35" t="s">
        <v>45</v>
      </c>
      <c r="Y242" s="35" t="s">
        <v>2026</v>
      </c>
      <c r="Z242" s="35" t="s">
        <v>60</v>
      </c>
      <c r="AA242" s="35" t="s">
        <v>61</v>
      </c>
      <c r="AB242" s="35" t="s">
        <v>222</v>
      </c>
      <c r="AC242" s="35" t="s">
        <v>222</v>
      </c>
      <c r="AD242" s="35" t="s">
        <v>2027</v>
      </c>
      <c r="AE242" s="35" t="s">
        <v>222</v>
      </c>
      <c r="AF242" s="35"/>
      <c r="AG242" s="128" t="s">
        <v>2057</v>
      </c>
    </row>
    <row r="243" spans="1:33" ht="25.5" x14ac:dyDescent="0.25">
      <c r="A243" s="35" t="s">
        <v>367</v>
      </c>
      <c r="B243" s="35" t="s">
        <v>784</v>
      </c>
      <c r="C243" s="35" t="s">
        <v>2036</v>
      </c>
      <c r="D243" s="35" t="s">
        <v>189</v>
      </c>
      <c r="E243" s="35" t="s">
        <v>156</v>
      </c>
      <c r="F243" s="35"/>
      <c r="G243" s="35"/>
      <c r="H243" s="35" t="s">
        <v>2037</v>
      </c>
      <c r="I243" s="35">
        <v>1</v>
      </c>
      <c r="J243" s="35">
        <v>1</v>
      </c>
      <c r="K243" s="35" t="s">
        <v>50</v>
      </c>
      <c r="L243" s="35">
        <v>0.48</v>
      </c>
      <c r="M243" s="35" t="s">
        <v>45</v>
      </c>
      <c r="N243" s="35" t="s">
        <v>53</v>
      </c>
      <c r="O243" s="35" t="s">
        <v>2028</v>
      </c>
      <c r="P243" s="35" t="s">
        <v>2022</v>
      </c>
      <c r="Q243" s="35" t="s">
        <v>85</v>
      </c>
      <c r="R243" s="35" t="s">
        <v>82</v>
      </c>
      <c r="S243" s="35" t="s">
        <v>2023</v>
      </c>
      <c r="T243" s="35" t="s">
        <v>2024</v>
      </c>
      <c r="U243" s="35"/>
      <c r="V243" s="35" t="s">
        <v>45</v>
      </c>
      <c r="W243" s="35" t="s">
        <v>2025</v>
      </c>
      <c r="X243" s="35" t="s">
        <v>45</v>
      </c>
      <c r="Y243" s="35" t="s">
        <v>2026</v>
      </c>
      <c r="Z243" s="35" t="s">
        <v>60</v>
      </c>
      <c r="AA243" s="35" t="s">
        <v>61</v>
      </c>
      <c r="AB243" s="35" t="s">
        <v>222</v>
      </c>
      <c r="AC243" s="35" t="s">
        <v>222</v>
      </c>
      <c r="AD243" s="35" t="s">
        <v>2027</v>
      </c>
      <c r="AE243" s="35" t="s">
        <v>222</v>
      </c>
      <c r="AF243" s="35"/>
      <c r="AG243" s="128" t="s">
        <v>2057</v>
      </c>
    </row>
    <row r="244" spans="1:33" ht="25.5" x14ac:dyDescent="0.25">
      <c r="A244" s="35" t="s">
        <v>367</v>
      </c>
      <c r="B244" s="35" t="s">
        <v>784</v>
      </c>
      <c r="C244" s="35" t="s">
        <v>2038</v>
      </c>
      <c r="D244" s="35" t="s">
        <v>185</v>
      </c>
      <c r="E244" s="35" t="s">
        <v>156</v>
      </c>
      <c r="F244" s="35" t="s">
        <v>2039</v>
      </c>
      <c r="G244" s="35"/>
      <c r="H244" s="35" t="s">
        <v>2040</v>
      </c>
      <c r="I244" s="35">
        <v>1</v>
      </c>
      <c r="J244" s="35">
        <v>1</v>
      </c>
      <c r="K244" s="35" t="s">
        <v>50</v>
      </c>
      <c r="L244" s="35">
        <v>0.48</v>
      </c>
      <c r="M244" s="35" t="s">
        <v>45</v>
      </c>
      <c r="N244" s="35" t="s">
        <v>53</v>
      </c>
      <c r="O244" s="35" t="s">
        <v>2028</v>
      </c>
      <c r="P244" s="35" t="s">
        <v>2022</v>
      </c>
      <c r="Q244" s="35" t="s">
        <v>85</v>
      </c>
      <c r="R244" s="35" t="s">
        <v>82</v>
      </c>
      <c r="S244" s="35" t="s">
        <v>2023</v>
      </c>
      <c r="T244" s="35" t="s">
        <v>2024</v>
      </c>
      <c r="U244" s="35"/>
      <c r="V244" s="35" t="s">
        <v>45</v>
      </c>
      <c r="W244" s="35" t="s">
        <v>2025</v>
      </c>
      <c r="X244" s="35" t="s">
        <v>45</v>
      </c>
      <c r="Y244" s="35" t="s">
        <v>2026</v>
      </c>
      <c r="Z244" s="35" t="s">
        <v>60</v>
      </c>
      <c r="AA244" s="35" t="s">
        <v>61</v>
      </c>
      <c r="AB244" s="35" t="s">
        <v>222</v>
      </c>
      <c r="AC244" s="35" t="s">
        <v>222</v>
      </c>
      <c r="AD244" s="35" t="s">
        <v>2027</v>
      </c>
      <c r="AE244" s="35" t="s">
        <v>222</v>
      </c>
      <c r="AF244" s="35"/>
      <c r="AG244" s="128" t="s">
        <v>2057</v>
      </c>
    </row>
    <row r="245" spans="1:33" ht="25.5" x14ac:dyDescent="0.25">
      <c r="A245" s="35" t="s">
        <v>367</v>
      </c>
      <c r="B245" s="35" t="s">
        <v>164</v>
      </c>
      <c r="C245" s="35" t="s">
        <v>2041</v>
      </c>
      <c r="D245" s="35" t="s">
        <v>193</v>
      </c>
      <c r="E245" s="35" t="s">
        <v>2042</v>
      </c>
      <c r="F245" s="35" t="s">
        <v>2043</v>
      </c>
      <c r="G245" s="35" t="s">
        <v>2044</v>
      </c>
      <c r="H245" s="35" t="s">
        <v>2045</v>
      </c>
      <c r="I245" s="35">
        <v>4</v>
      </c>
      <c r="J245" s="35">
        <v>5</v>
      </c>
      <c r="K245" s="35" t="s">
        <v>64</v>
      </c>
      <c r="L245" s="35">
        <v>0.76</v>
      </c>
      <c r="M245" s="35" t="s">
        <v>45</v>
      </c>
      <c r="N245" s="35" t="s">
        <v>53</v>
      </c>
      <c r="O245" s="35" t="s">
        <v>2028</v>
      </c>
      <c r="P245" s="35" t="s">
        <v>2022</v>
      </c>
      <c r="Q245" s="35" t="s">
        <v>85</v>
      </c>
      <c r="R245" s="35" t="s">
        <v>82</v>
      </c>
      <c r="S245" s="35" t="s">
        <v>2023</v>
      </c>
      <c r="T245" s="35" t="s">
        <v>2024</v>
      </c>
      <c r="U245" s="35"/>
      <c r="V245" s="35" t="s">
        <v>45</v>
      </c>
      <c r="W245" s="35" t="s">
        <v>2025</v>
      </c>
      <c r="X245" s="35" t="s">
        <v>45</v>
      </c>
      <c r="Y245" s="35" t="s">
        <v>2026</v>
      </c>
      <c r="Z245" s="35" t="s">
        <v>60</v>
      </c>
      <c r="AA245" s="35" t="s">
        <v>61</v>
      </c>
      <c r="AB245" s="35" t="s">
        <v>222</v>
      </c>
      <c r="AC245" s="35" t="s">
        <v>222</v>
      </c>
      <c r="AD245" s="35" t="s">
        <v>2027</v>
      </c>
      <c r="AE245" s="35" t="s">
        <v>222</v>
      </c>
      <c r="AF245" s="35"/>
      <c r="AG245" s="128" t="s">
        <v>2057</v>
      </c>
    </row>
    <row r="246" spans="1:33" ht="25.5" x14ac:dyDescent="0.25">
      <c r="A246" s="35" t="s">
        <v>367</v>
      </c>
      <c r="B246" s="35" t="s">
        <v>164</v>
      </c>
      <c r="C246" s="35" t="s">
        <v>2046</v>
      </c>
      <c r="D246" s="35" t="s">
        <v>193</v>
      </c>
      <c r="E246" s="35" t="s">
        <v>2047</v>
      </c>
      <c r="F246" s="35"/>
      <c r="G246" s="35"/>
      <c r="H246" s="35" t="s">
        <v>2048</v>
      </c>
      <c r="I246" s="35">
        <v>1</v>
      </c>
      <c r="J246" s="35">
        <v>2</v>
      </c>
      <c r="K246" s="35" t="s">
        <v>50</v>
      </c>
      <c r="L246" s="35">
        <v>0.52</v>
      </c>
      <c r="M246" s="35" t="s">
        <v>45</v>
      </c>
      <c r="N246" s="35" t="s">
        <v>53</v>
      </c>
      <c r="O246" s="35" t="s">
        <v>2028</v>
      </c>
      <c r="P246" s="35" t="s">
        <v>2022</v>
      </c>
      <c r="Q246" s="35" t="s">
        <v>85</v>
      </c>
      <c r="R246" s="35" t="s">
        <v>82</v>
      </c>
      <c r="S246" s="35" t="s">
        <v>2023</v>
      </c>
      <c r="T246" s="35" t="s">
        <v>2024</v>
      </c>
      <c r="U246" s="35"/>
      <c r="V246" s="35" t="s">
        <v>45</v>
      </c>
      <c r="W246" s="35" t="s">
        <v>2025</v>
      </c>
      <c r="X246" s="35" t="s">
        <v>45</v>
      </c>
      <c r="Y246" s="35" t="s">
        <v>2026</v>
      </c>
      <c r="Z246" s="35" t="s">
        <v>60</v>
      </c>
      <c r="AA246" s="35" t="s">
        <v>61</v>
      </c>
      <c r="AB246" s="35" t="s">
        <v>222</v>
      </c>
      <c r="AC246" s="35" t="s">
        <v>222</v>
      </c>
      <c r="AD246" s="35" t="s">
        <v>2027</v>
      </c>
      <c r="AE246" s="35" t="s">
        <v>222</v>
      </c>
      <c r="AF246" s="35"/>
      <c r="AG246" s="128" t="s">
        <v>2057</v>
      </c>
    </row>
    <row r="247" spans="1:33" ht="25.5" x14ac:dyDescent="0.25">
      <c r="A247" s="35" t="s">
        <v>367</v>
      </c>
      <c r="B247" s="35" t="s">
        <v>164</v>
      </c>
      <c r="C247" s="35" t="s">
        <v>2049</v>
      </c>
      <c r="D247" s="35" t="s">
        <v>193</v>
      </c>
      <c r="E247" s="35" t="s">
        <v>2050</v>
      </c>
      <c r="F247" s="35" t="s">
        <v>2051</v>
      </c>
      <c r="G247" s="35"/>
      <c r="H247" s="35" t="s">
        <v>2052</v>
      </c>
      <c r="I247" s="35">
        <v>3</v>
      </c>
      <c r="J247" s="35">
        <v>4</v>
      </c>
      <c r="K247" s="35" t="s">
        <v>77</v>
      </c>
      <c r="L247" s="35">
        <v>0.48</v>
      </c>
      <c r="M247" s="35" t="s">
        <v>45</v>
      </c>
      <c r="N247" s="35" t="s">
        <v>53</v>
      </c>
      <c r="O247" s="35" t="s">
        <v>2028</v>
      </c>
      <c r="P247" s="35" t="s">
        <v>2022</v>
      </c>
      <c r="Q247" s="35" t="s">
        <v>85</v>
      </c>
      <c r="R247" s="35" t="s">
        <v>82</v>
      </c>
      <c r="S247" s="35" t="s">
        <v>2023</v>
      </c>
      <c r="T247" s="35" t="s">
        <v>2024</v>
      </c>
      <c r="U247" s="35"/>
      <c r="V247" s="35" t="s">
        <v>45</v>
      </c>
      <c r="W247" s="35" t="s">
        <v>2025</v>
      </c>
      <c r="X247" s="35" t="s">
        <v>45</v>
      </c>
      <c r="Y247" s="35" t="s">
        <v>2026</v>
      </c>
      <c r="Z247" s="35" t="s">
        <v>60</v>
      </c>
      <c r="AA247" s="35" t="s">
        <v>61</v>
      </c>
      <c r="AB247" s="35" t="s">
        <v>222</v>
      </c>
      <c r="AC247" s="35" t="s">
        <v>222</v>
      </c>
      <c r="AD247" s="35" t="s">
        <v>2027</v>
      </c>
      <c r="AE247" s="35" t="s">
        <v>222</v>
      </c>
      <c r="AF247" s="35"/>
      <c r="AG247" s="128" t="s">
        <v>2057</v>
      </c>
    </row>
    <row r="248" spans="1:33" ht="25.5" x14ac:dyDescent="0.25">
      <c r="A248" s="35" t="s">
        <v>367</v>
      </c>
      <c r="B248" s="35" t="s">
        <v>164</v>
      </c>
      <c r="C248" s="35" t="s">
        <v>2053</v>
      </c>
      <c r="D248" s="35"/>
      <c r="E248" s="35" t="s">
        <v>2054</v>
      </c>
      <c r="F248" s="35" t="s">
        <v>2055</v>
      </c>
      <c r="G248" s="35"/>
      <c r="H248" s="35" t="s">
        <v>2056</v>
      </c>
      <c r="I248" s="35">
        <v>1</v>
      </c>
      <c r="J248" s="35">
        <v>2</v>
      </c>
      <c r="K248" s="35" t="s">
        <v>50</v>
      </c>
      <c r="L248" s="35">
        <v>0.52</v>
      </c>
      <c r="M248" s="35" t="s">
        <v>45</v>
      </c>
      <c r="N248" s="35" t="s">
        <v>53</v>
      </c>
      <c r="O248" s="35" t="s">
        <v>2028</v>
      </c>
      <c r="P248" s="35" t="s">
        <v>2022</v>
      </c>
      <c r="Q248" s="35" t="s">
        <v>85</v>
      </c>
      <c r="R248" s="35" t="s">
        <v>82</v>
      </c>
      <c r="S248" s="35" t="s">
        <v>2023</v>
      </c>
      <c r="T248" s="35" t="s">
        <v>2024</v>
      </c>
      <c r="U248" s="35"/>
      <c r="V248" s="35" t="s">
        <v>45</v>
      </c>
      <c r="W248" s="35" t="s">
        <v>2025</v>
      </c>
      <c r="X248" s="35" t="s">
        <v>45</v>
      </c>
      <c r="Y248" s="35" t="s">
        <v>2026</v>
      </c>
      <c r="Z248" s="35" t="s">
        <v>60</v>
      </c>
      <c r="AA248" s="35" t="s">
        <v>61</v>
      </c>
      <c r="AB248" s="35" t="s">
        <v>222</v>
      </c>
      <c r="AC248" s="35" t="s">
        <v>222</v>
      </c>
      <c r="AD248" s="35" t="s">
        <v>2027</v>
      </c>
      <c r="AE248" s="35" t="s">
        <v>222</v>
      </c>
      <c r="AF248" s="35"/>
      <c r="AG248" s="128" t="s">
        <v>2057</v>
      </c>
    </row>
    <row r="249" spans="1:33" ht="25.5" x14ac:dyDescent="0.25">
      <c r="A249" s="35" t="s">
        <v>367</v>
      </c>
      <c r="B249" s="35" t="s">
        <v>784</v>
      </c>
      <c r="C249" s="35" t="s">
        <v>2065</v>
      </c>
      <c r="D249" s="35" t="s">
        <v>2030</v>
      </c>
      <c r="E249" s="35" t="s">
        <v>2066</v>
      </c>
      <c r="F249" s="35" t="s">
        <v>2067</v>
      </c>
      <c r="G249" s="35"/>
      <c r="H249" s="35" t="s">
        <v>2068</v>
      </c>
      <c r="I249" s="35">
        <v>3</v>
      </c>
      <c r="J249" s="35">
        <v>3</v>
      </c>
      <c r="K249" s="35" t="s">
        <v>64</v>
      </c>
      <c r="L249" s="35">
        <v>0.64</v>
      </c>
      <c r="M249" s="35" t="s">
        <v>53</v>
      </c>
      <c r="N249" s="35" t="s">
        <v>45</v>
      </c>
      <c r="O249" s="35" t="s">
        <v>2058</v>
      </c>
      <c r="P249" s="35" t="s">
        <v>2059</v>
      </c>
      <c r="Q249" s="35" t="s">
        <v>72</v>
      </c>
      <c r="R249" s="35" t="s">
        <v>79</v>
      </c>
      <c r="S249" s="35" t="s">
        <v>2060</v>
      </c>
      <c r="T249" s="35" t="s">
        <v>2061</v>
      </c>
      <c r="U249" s="35" t="s">
        <v>2062</v>
      </c>
      <c r="V249" s="35" t="s">
        <v>45</v>
      </c>
      <c r="W249" s="35" t="s">
        <v>2063</v>
      </c>
      <c r="X249" s="35" t="s">
        <v>53</v>
      </c>
      <c r="Y249" s="35" t="s">
        <v>53</v>
      </c>
      <c r="Z249" s="35" t="s">
        <v>46</v>
      </c>
      <c r="AA249" s="35" t="s">
        <v>61</v>
      </c>
      <c r="AB249" s="35" t="s">
        <v>222</v>
      </c>
      <c r="AC249" s="35" t="s">
        <v>74</v>
      </c>
      <c r="AD249" s="35" t="s">
        <v>45</v>
      </c>
      <c r="AE249" s="35" t="s">
        <v>68</v>
      </c>
      <c r="AF249" s="35"/>
      <c r="AG249" s="128" t="s">
        <v>2064</v>
      </c>
    </row>
    <row r="250" spans="1:33" ht="25.5" x14ac:dyDescent="0.25">
      <c r="A250" s="35" t="s">
        <v>367</v>
      </c>
      <c r="B250" s="35" t="s">
        <v>784</v>
      </c>
      <c r="C250" s="35" t="s">
        <v>2069</v>
      </c>
      <c r="D250" s="35" t="s">
        <v>2030</v>
      </c>
      <c r="E250" s="35" t="s">
        <v>2070</v>
      </c>
      <c r="F250" s="35" t="s">
        <v>2071</v>
      </c>
      <c r="G250" s="35"/>
      <c r="H250" s="35" t="s">
        <v>2072</v>
      </c>
      <c r="I250" s="35">
        <v>1</v>
      </c>
      <c r="J250" s="35">
        <v>1</v>
      </c>
      <c r="K250" s="35" t="s">
        <v>50</v>
      </c>
      <c r="L250" s="35">
        <v>0.48</v>
      </c>
      <c r="M250" s="35" t="s">
        <v>53</v>
      </c>
      <c r="N250" s="35" t="s">
        <v>45</v>
      </c>
      <c r="O250" s="35" t="s">
        <v>2058</v>
      </c>
      <c r="P250" s="35" t="s">
        <v>2059</v>
      </c>
      <c r="Q250" s="35" t="s">
        <v>72</v>
      </c>
      <c r="R250" s="35" t="s">
        <v>79</v>
      </c>
      <c r="S250" s="35" t="s">
        <v>2060</v>
      </c>
      <c r="T250" s="35" t="s">
        <v>2061</v>
      </c>
      <c r="U250" s="35" t="s">
        <v>2062</v>
      </c>
      <c r="V250" s="35" t="s">
        <v>45</v>
      </c>
      <c r="W250" s="35" t="s">
        <v>2063</v>
      </c>
      <c r="X250" s="35" t="s">
        <v>53</v>
      </c>
      <c r="Y250" s="35" t="s">
        <v>53</v>
      </c>
      <c r="Z250" s="35" t="s">
        <v>46</v>
      </c>
      <c r="AA250" s="35" t="s">
        <v>61</v>
      </c>
      <c r="AB250" s="35" t="s">
        <v>222</v>
      </c>
      <c r="AC250" s="35" t="s">
        <v>74</v>
      </c>
      <c r="AD250" s="35" t="s">
        <v>45</v>
      </c>
      <c r="AE250" s="35" t="s">
        <v>68</v>
      </c>
      <c r="AF250" s="35"/>
      <c r="AG250" s="128" t="s">
        <v>2064</v>
      </c>
    </row>
    <row r="251" spans="1:33" ht="25.5" x14ac:dyDescent="0.25">
      <c r="A251" s="35" t="s">
        <v>367</v>
      </c>
      <c r="B251" s="35" t="s">
        <v>784</v>
      </c>
      <c r="C251" s="35" t="s">
        <v>2073</v>
      </c>
      <c r="D251" s="35" t="s">
        <v>2030</v>
      </c>
      <c r="E251" s="35" t="s">
        <v>2074</v>
      </c>
      <c r="F251" s="35" t="s">
        <v>2075</v>
      </c>
      <c r="G251" s="35"/>
      <c r="H251" s="35" t="s">
        <v>2076</v>
      </c>
      <c r="I251" s="35">
        <v>1</v>
      </c>
      <c r="J251" s="35">
        <v>1</v>
      </c>
      <c r="K251" s="35" t="s">
        <v>50</v>
      </c>
      <c r="L251" s="35">
        <v>0.48</v>
      </c>
      <c r="M251" s="35" t="s">
        <v>53</v>
      </c>
      <c r="N251" s="35" t="s">
        <v>45</v>
      </c>
      <c r="O251" s="35" t="s">
        <v>2058</v>
      </c>
      <c r="P251" s="35" t="s">
        <v>2059</v>
      </c>
      <c r="Q251" s="35" t="s">
        <v>72</v>
      </c>
      <c r="R251" s="35" t="s">
        <v>79</v>
      </c>
      <c r="S251" s="35" t="s">
        <v>2060</v>
      </c>
      <c r="T251" s="35" t="s">
        <v>2061</v>
      </c>
      <c r="U251" s="35" t="s">
        <v>2062</v>
      </c>
      <c r="V251" s="35" t="s">
        <v>45</v>
      </c>
      <c r="W251" s="35" t="s">
        <v>2063</v>
      </c>
      <c r="X251" s="35" t="s">
        <v>53</v>
      </c>
      <c r="Y251" s="35" t="s">
        <v>53</v>
      </c>
      <c r="Z251" s="35" t="s">
        <v>46</v>
      </c>
      <c r="AA251" s="35" t="s">
        <v>61</v>
      </c>
      <c r="AB251" s="35" t="s">
        <v>222</v>
      </c>
      <c r="AC251" s="35" t="s">
        <v>74</v>
      </c>
      <c r="AD251" s="35" t="s">
        <v>45</v>
      </c>
      <c r="AE251" s="35" t="s">
        <v>68</v>
      </c>
      <c r="AF251" s="35"/>
      <c r="AG251" s="128" t="s">
        <v>2064</v>
      </c>
    </row>
    <row r="252" spans="1:33" ht="25.5" x14ac:dyDescent="0.25">
      <c r="A252" s="35" t="s">
        <v>367</v>
      </c>
      <c r="B252" s="35" t="s">
        <v>164</v>
      </c>
      <c r="C252" s="35" t="s">
        <v>2077</v>
      </c>
      <c r="D252" s="35" t="s">
        <v>1817</v>
      </c>
      <c r="E252" s="35" t="s">
        <v>2078</v>
      </c>
      <c r="F252" s="35" t="s">
        <v>2079</v>
      </c>
      <c r="G252" s="35" t="s">
        <v>2080</v>
      </c>
      <c r="H252" s="35" t="s">
        <v>2081</v>
      </c>
      <c r="I252" s="35">
        <v>5</v>
      </c>
      <c r="J252" s="35">
        <v>5</v>
      </c>
      <c r="K252" s="35" t="s">
        <v>83</v>
      </c>
      <c r="L252" s="35">
        <v>1</v>
      </c>
      <c r="M252" s="35" t="s">
        <v>53</v>
      </c>
      <c r="N252" s="35" t="s">
        <v>45</v>
      </c>
      <c r="O252" s="35" t="s">
        <v>2058</v>
      </c>
      <c r="P252" s="35" t="s">
        <v>2059</v>
      </c>
      <c r="Q252" s="35" t="s">
        <v>72</v>
      </c>
      <c r="R252" s="35" t="s">
        <v>79</v>
      </c>
      <c r="S252" s="35" t="s">
        <v>2060</v>
      </c>
      <c r="T252" s="35" t="s">
        <v>2061</v>
      </c>
      <c r="U252" s="35" t="s">
        <v>2062</v>
      </c>
      <c r="V252" s="35" t="s">
        <v>45</v>
      </c>
      <c r="W252" s="35" t="s">
        <v>2063</v>
      </c>
      <c r="X252" s="35" t="s">
        <v>53</v>
      </c>
      <c r="Y252" s="35" t="s">
        <v>53</v>
      </c>
      <c r="Z252" s="35" t="s">
        <v>46</v>
      </c>
      <c r="AA252" s="35" t="s">
        <v>61</v>
      </c>
      <c r="AB252" s="35" t="s">
        <v>222</v>
      </c>
      <c r="AC252" s="35" t="s">
        <v>74</v>
      </c>
      <c r="AD252" s="35" t="s">
        <v>45</v>
      </c>
      <c r="AE252" s="35" t="s">
        <v>68</v>
      </c>
      <c r="AF252" s="35"/>
      <c r="AG252" s="128" t="s">
        <v>2064</v>
      </c>
    </row>
    <row r="253" spans="1:33" ht="25.5" x14ac:dyDescent="0.25">
      <c r="A253" s="35" t="s">
        <v>367</v>
      </c>
      <c r="B253" s="35" t="s">
        <v>164</v>
      </c>
      <c r="C253" t="s">
        <v>2082</v>
      </c>
      <c r="D253" s="35" t="s">
        <v>1817</v>
      </c>
      <c r="E253" s="35" t="s">
        <v>2083</v>
      </c>
      <c r="F253" s="35" t="s">
        <v>2084</v>
      </c>
      <c r="G253" s="35" t="s">
        <v>2085</v>
      </c>
      <c r="H253" s="35" t="s">
        <v>2086</v>
      </c>
      <c r="I253" s="35">
        <v>5</v>
      </c>
      <c r="J253" s="35">
        <v>5</v>
      </c>
      <c r="K253" s="35" t="s">
        <v>83</v>
      </c>
      <c r="L253" s="35">
        <v>1</v>
      </c>
      <c r="M253" s="35" t="s">
        <v>53</v>
      </c>
      <c r="N253" s="35" t="s">
        <v>45</v>
      </c>
      <c r="O253" s="35" t="s">
        <v>2058</v>
      </c>
      <c r="P253" s="35" t="s">
        <v>2059</v>
      </c>
      <c r="Q253" s="35" t="s">
        <v>72</v>
      </c>
      <c r="R253" s="35" t="s">
        <v>79</v>
      </c>
      <c r="S253" s="35" t="s">
        <v>2060</v>
      </c>
      <c r="T253" s="35" t="s">
        <v>2061</v>
      </c>
      <c r="U253" s="35" t="s">
        <v>2062</v>
      </c>
      <c r="V253" s="35" t="s">
        <v>45</v>
      </c>
      <c r="W253" s="35" t="s">
        <v>2063</v>
      </c>
      <c r="X253" s="35" t="s">
        <v>53</v>
      </c>
      <c r="Y253" s="35" t="s">
        <v>53</v>
      </c>
      <c r="Z253" s="35" t="s">
        <v>46</v>
      </c>
      <c r="AA253" s="35" t="s">
        <v>61</v>
      </c>
      <c r="AB253" s="35" t="s">
        <v>222</v>
      </c>
      <c r="AC253" s="35" t="s">
        <v>74</v>
      </c>
      <c r="AD253" s="35" t="s">
        <v>45</v>
      </c>
      <c r="AE253" s="35" t="s">
        <v>68</v>
      </c>
      <c r="AF253" s="35"/>
      <c r="AG253" s="128" t="s">
        <v>2064</v>
      </c>
    </row>
    <row r="254" spans="1:33" ht="25.5" x14ac:dyDescent="0.25">
      <c r="A254" s="35" t="s">
        <v>367</v>
      </c>
      <c r="B254" s="35" t="s">
        <v>164</v>
      </c>
      <c r="C254" s="35" t="s">
        <v>2087</v>
      </c>
      <c r="D254" s="35" t="s">
        <v>1050</v>
      </c>
      <c r="E254" s="35" t="s">
        <v>71</v>
      </c>
      <c r="F254" s="35" t="s">
        <v>2088</v>
      </c>
      <c r="G254" s="35" t="s">
        <v>2089</v>
      </c>
      <c r="H254" s="35"/>
      <c r="I254" s="35">
        <v>4</v>
      </c>
      <c r="J254" s="35">
        <v>5</v>
      </c>
      <c r="K254" s="35" t="s">
        <v>71</v>
      </c>
      <c r="L254" s="35">
        <v>0.56000000000000005</v>
      </c>
      <c r="M254" s="35" t="s">
        <v>53</v>
      </c>
      <c r="N254" s="35" t="s">
        <v>45</v>
      </c>
      <c r="O254" s="35" t="s">
        <v>2058</v>
      </c>
      <c r="P254" s="35" t="s">
        <v>2059</v>
      </c>
      <c r="Q254" s="35" t="s">
        <v>72</v>
      </c>
      <c r="R254" s="35" t="s">
        <v>79</v>
      </c>
      <c r="S254" s="35" t="s">
        <v>2060</v>
      </c>
      <c r="T254" s="35" t="s">
        <v>2061</v>
      </c>
      <c r="U254" s="35" t="s">
        <v>2062</v>
      </c>
      <c r="V254" s="35" t="s">
        <v>45</v>
      </c>
      <c r="W254" s="35" t="s">
        <v>2063</v>
      </c>
      <c r="X254" s="35" t="s">
        <v>53</v>
      </c>
      <c r="Y254" s="35" t="s">
        <v>53</v>
      </c>
      <c r="Z254" s="35" t="s">
        <v>46</v>
      </c>
      <c r="AA254" s="35" t="s">
        <v>61</v>
      </c>
      <c r="AB254" s="35" t="s">
        <v>222</v>
      </c>
      <c r="AC254" s="35" t="s">
        <v>74</v>
      </c>
      <c r="AD254" s="35" t="s">
        <v>45</v>
      </c>
      <c r="AE254" s="35" t="s">
        <v>68</v>
      </c>
      <c r="AF254" s="35"/>
      <c r="AG254" s="128" t="s">
        <v>2064</v>
      </c>
    </row>
    <row r="255" spans="1:33" ht="25.5" x14ac:dyDescent="0.25">
      <c r="A255" s="35" t="s">
        <v>367</v>
      </c>
      <c r="B255" s="35" t="s">
        <v>164</v>
      </c>
      <c r="C255" s="35" t="s">
        <v>2090</v>
      </c>
      <c r="D255" s="35" t="s">
        <v>2091</v>
      </c>
      <c r="E255" s="35" t="s">
        <v>1777</v>
      </c>
      <c r="F255" s="35" t="s">
        <v>2092</v>
      </c>
      <c r="G255" s="35"/>
      <c r="H255" s="35" t="s">
        <v>2093</v>
      </c>
      <c r="I255" s="35">
        <v>1</v>
      </c>
      <c r="J255" s="35">
        <v>1</v>
      </c>
      <c r="K255" s="35" t="s">
        <v>77</v>
      </c>
      <c r="L255" s="35">
        <v>0.28000000000000003</v>
      </c>
      <c r="M255" s="35" t="s">
        <v>53</v>
      </c>
      <c r="N255" s="35" t="s">
        <v>45</v>
      </c>
      <c r="O255" s="35" t="s">
        <v>2058</v>
      </c>
      <c r="P255" s="35" t="s">
        <v>2059</v>
      </c>
      <c r="Q255" s="35" t="s">
        <v>72</v>
      </c>
      <c r="R255" s="35" t="s">
        <v>79</v>
      </c>
      <c r="S255" s="35" t="s">
        <v>2060</v>
      </c>
      <c r="T255" s="35" t="s">
        <v>2061</v>
      </c>
      <c r="U255" s="35" t="s">
        <v>2062</v>
      </c>
      <c r="V255" s="35" t="s">
        <v>45</v>
      </c>
      <c r="W255" s="35" t="s">
        <v>2063</v>
      </c>
      <c r="X255" s="35" t="s">
        <v>53</v>
      </c>
      <c r="Y255" s="35" t="s">
        <v>53</v>
      </c>
      <c r="Z255" s="35" t="s">
        <v>46</v>
      </c>
      <c r="AA255" s="35" t="s">
        <v>61</v>
      </c>
      <c r="AB255" s="35" t="s">
        <v>222</v>
      </c>
      <c r="AC255" s="35" t="s">
        <v>74</v>
      </c>
      <c r="AD255" s="35" t="s">
        <v>45</v>
      </c>
      <c r="AE255" s="35" t="s">
        <v>68</v>
      </c>
      <c r="AF255" s="35"/>
      <c r="AG255" s="128" t="s">
        <v>2064</v>
      </c>
    </row>
    <row r="256" spans="1:33" ht="25.5" x14ac:dyDescent="0.25">
      <c r="A256" s="35" t="s">
        <v>1654</v>
      </c>
      <c r="B256" s="35" t="s">
        <v>784</v>
      </c>
      <c r="C256" s="35" t="s">
        <v>2546</v>
      </c>
      <c r="D256" s="35" t="s">
        <v>193</v>
      </c>
      <c r="E256" s="35" t="s">
        <v>2547</v>
      </c>
      <c r="F256" s="35" t="s">
        <v>2548</v>
      </c>
      <c r="G256" s="35"/>
      <c r="H256" s="35"/>
      <c r="I256" s="35">
        <v>3</v>
      </c>
      <c r="J256" s="35">
        <v>3</v>
      </c>
      <c r="K256" s="35" t="s">
        <v>77</v>
      </c>
      <c r="L256" s="35">
        <v>0.44</v>
      </c>
      <c r="M256" s="35" t="s">
        <v>45</v>
      </c>
      <c r="N256" s="35" t="s">
        <v>45</v>
      </c>
      <c r="O256" s="35" t="s">
        <v>2540</v>
      </c>
      <c r="P256" s="35" t="s">
        <v>2541</v>
      </c>
      <c r="Q256" s="35" t="s">
        <v>84</v>
      </c>
      <c r="R256" s="35" t="s">
        <v>82</v>
      </c>
      <c r="S256" s="35" t="s">
        <v>2552</v>
      </c>
      <c r="T256" s="35" t="s">
        <v>2542</v>
      </c>
      <c r="U256" s="35" t="s">
        <v>2543</v>
      </c>
      <c r="V256" s="35" t="s">
        <v>53</v>
      </c>
      <c r="W256" s="35" t="s">
        <v>552</v>
      </c>
      <c r="X256" s="35" t="s">
        <v>45</v>
      </c>
      <c r="Y256" s="35" t="s">
        <v>552</v>
      </c>
      <c r="Z256" s="35" t="s">
        <v>46</v>
      </c>
      <c r="AA256" s="35" t="s">
        <v>1793</v>
      </c>
      <c r="AB256" s="35" t="s">
        <v>69</v>
      </c>
      <c r="AC256" s="35" t="s">
        <v>74</v>
      </c>
      <c r="AD256" s="35" t="s">
        <v>2544</v>
      </c>
      <c r="AE256" s="35" t="s">
        <v>2545</v>
      </c>
      <c r="AF256" s="35"/>
      <c r="AG256" s="128"/>
    </row>
    <row r="257" spans="1:33" ht="25.5" x14ac:dyDescent="0.25">
      <c r="A257" s="35" t="s">
        <v>1654</v>
      </c>
      <c r="B257" s="35" t="s">
        <v>784</v>
      </c>
      <c r="C257" s="35" t="s">
        <v>2549</v>
      </c>
      <c r="D257" s="35" t="s">
        <v>2550</v>
      </c>
      <c r="E257" s="35" t="s">
        <v>1522</v>
      </c>
      <c r="F257" s="35" t="s">
        <v>2551</v>
      </c>
      <c r="G257" s="35"/>
      <c r="H257" s="35"/>
      <c r="I257" s="35">
        <v>3</v>
      </c>
      <c r="J257" s="35">
        <v>3</v>
      </c>
      <c r="K257" s="35" t="s">
        <v>77</v>
      </c>
      <c r="L257" s="35">
        <v>0.44</v>
      </c>
      <c r="M257" s="35" t="s">
        <v>45</v>
      </c>
      <c r="N257" s="35" t="s">
        <v>45</v>
      </c>
      <c r="O257" s="35" t="s">
        <v>2540</v>
      </c>
      <c r="P257" s="35" t="s">
        <v>2541</v>
      </c>
      <c r="Q257" s="35" t="s">
        <v>84</v>
      </c>
      <c r="R257" s="35" t="s">
        <v>82</v>
      </c>
      <c r="S257" s="35" t="s">
        <v>2552</v>
      </c>
      <c r="T257" s="35" t="s">
        <v>2542</v>
      </c>
      <c r="U257" s="35" t="s">
        <v>2543</v>
      </c>
      <c r="V257" s="35" t="s">
        <v>53</v>
      </c>
      <c r="W257" s="35" t="s">
        <v>552</v>
      </c>
      <c r="X257" s="35" t="s">
        <v>45</v>
      </c>
      <c r="Y257" s="35" t="s">
        <v>552</v>
      </c>
      <c r="Z257" s="35" t="s">
        <v>46</v>
      </c>
      <c r="AA257" s="35" t="s">
        <v>1793</v>
      </c>
      <c r="AB257" s="35" t="s">
        <v>69</v>
      </c>
      <c r="AC257" s="35" t="s">
        <v>74</v>
      </c>
      <c r="AD257" s="35" t="s">
        <v>2544</v>
      </c>
      <c r="AE257" s="35" t="s">
        <v>2545</v>
      </c>
      <c r="AF257" s="35"/>
      <c r="AG257" s="128"/>
    </row>
    <row r="258" spans="1:33" ht="89.25" x14ac:dyDescent="0.25">
      <c r="A258" s="35" t="s">
        <v>1654</v>
      </c>
      <c r="B258" s="35" t="s">
        <v>784</v>
      </c>
      <c r="C258" s="35" t="s">
        <v>2561</v>
      </c>
      <c r="D258" s="35" t="s">
        <v>274</v>
      </c>
      <c r="E258" s="35" t="s">
        <v>2562</v>
      </c>
      <c r="F258" s="35" t="s">
        <v>2563</v>
      </c>
      <c r="G258" s="35"/>
      <c r="H258" s="35"/>
      <c r="I258" s="35">
        <v>3</v>
      </c>
      <c r="J258" s="35">
        <v>3</v>
      </c>
      <c r="K258" s="35" t="s">
        <v>71</v>
      </c>
      <c r="L258" s="35">
        <v>0.44</v>
      </c>
      <c r="M258" s="35" t="s">
        <v>53</v>
      </c>
      <c r="N258" s="35" t="s">
        <v>45</v>
      </c>
      <c r="O258" s="35" t="s">
        <v>2554</v>
      </c>
      <c r="P258" s="35" t="s">
        <v>611</v>
      </c>
      <c r="Q258" s="35" t="s">
        <v>78</v>
      </c>
      <c r="R258" s="35" t="s">
        <v>66</v>
      </c>
      <c r="S258" s="35" t="s">
        <v>2595</v>
      </c>
      <c r="T258" s="35" t="s">
        <v>2556</v>
      </c>
      <c r="U258" s="35" t="s">
        <v>2557</v>
      </c>
      <c r="V258" s="35" t="s">
        <v>53</v>
      </c>
      <c r="W258" s="35" t="s">
        <v>552</v>
      </c>
      <c r="X258" s="35" t="s">
        <v>45</v>
      </c>
      <c r="Y258" s="35" t="s">
        <v>2558</v>
      </c>
      <c r="Z258" s="35" t="s">
        <v>54</v>
      </c>
      <c r="AA258" s="35" t="s">
        <v>67</v>
      </c>
      <c r="AB258" s="35" t="s">
        <v>2560</v>
      </c>
      <c r="AC258" s="35" t="s">
        <v>74</v>
      </c>
      <c r="AD258" s="35" t="s">
        <v>53</v>
      </c>
      <c r="AE258" s="35" t="s">
        <v>1793</v>
      </c>
      <c r="AF258" s="35"/>
      <c r="AG258" s="128" t="s">
        <v>2559</v>
      </c>
    </row>
    <row r="259" spans="1:33" ht="89.25" x14ac:dyDescent="0.25">
      <c r="A259" s="35" t="s">
        <v>1654</v>
      </c>
      <c r="B259" s="35" t="s">
        <v>784</v>
      </c>
      <c r="C259" s="35" t="s">
        <v>2564</v>
      </c>
      <c r="D259" s="35" t="s">
        <v>193</v>
      </c>
      <c r="E259" s="35" t="s">
        <v>340</v>
      </c>
      <c r="F259" s="35" t="s">
        <v>2565</v>
      </c>
      <c r="G259" s="35" t="s">
        <v>2566</v>
      </c>
      <c r="H259" s="35"/>
      <c r="I259" s="35">
        <v>4</v>
      </c>
      <c r="J259" s="35">
        <v>3</v>
      </c>
      <c r="K259" s="35" t="s">
        <v>77</v>
      </c>
      <c r="L259" s="35">
        <v>0.48</v>
      </c>
      <c r="M259" s="35" t="s">
        <v>53</v>
      </c>
      <c r="N259" s="35" t="s">
        <v>45</v>
      </c>
      <c r="O259" s="35" t="s">
        <v>2554</v>
      </c>
      <c r="P259" s="35" t="s">
        <v>611</v>
      </c>
      <c r="Q259" s="35" t="s">
        <v>78</v>
      </c>
      <c r="R259" s="35" t="s">
        <v>66</v>
      </c>
      <c r="S259" s="35" t="s">
        <v>2595</v>
      </c>
      <c r="T259" s="35" t="s">
        <v>2556</v>
      </c>
      <c r="U259" s="35" t="s">
        <v>2557</v>
      </c>
      <c r="V259" s="35" t="s">
        <v>53</v>
      </c>
      <c r="W259" s="35" t="s">
        <v>552</v>
      </c>
      <c r="X259" s="35" t="s">
        <v>45</v>
      </c>
      <c r="Y259" s="35" t="s">
        <v>2558</v>
      </c>
      <c r="Z259" s="35" t="s">
        <v>54</v>
      </c>
      <c r="AA259" s="35" t="s">
        <v>67</v>
      </c>
      <c r="AB259" s="35" t="s">
        <v>2560</v>
      </c>
      <c r="AC259" s="35" t="s">
        <v>74</v>
      </c>
      <c r="AD259" s="35" t="s">
        <v>53</v>
      </c>
      <c r="AE259" s="35" t="s">
        <v>1793</v>
      </c>
      <c r="AF259" s="35"/>
      <c r="AG259" s="128" t="s">
        <v>2559</v>
      </c>
    </row>
    <row r="260" spans="1:33" ht="25.5" x14ac:dyDescent="0.25">
      <c r="A260" s="35" t="s">
        <v>2576</v>
      </c>
      <c r="B260" s="35" t="s">
        <v>784</v>
      </c>
      <c r="C260" s="35" t="s">
        <v>2577</v>
      </c>
      <c r="D260" s="35" t="s">
        <v>155</v>
      </c>
      <c r="E260" s="35" t="s">
        <v>27</v>
      </c>
      <c r="F260" s="35"/>
      <c r="G260" s="35"/>
      <c r="H260" s="35" t="s">
        <v>2578</v>
      </c>
      <c r="I260" s="35">
        <v>1</v>
      </c>
      <c r="J260" s="35">
        <v>1</v>
      </c>
      <c r="K260" s="35" t="s">
        <v>64</v>
      </c>
      <c r="L260" s="35">
        <v>0.48</v>
      </c>
      <c r="M260" s="35" t="s">
        <v>53</v>
      </c>
      <c r="N260" s="35" t="s">
        <v>45</v>
      </c>
      <c r="O260" s="35" t="s">
        <v>2572</v>
      </c>
      <c r="P260" s="35" t="s">
        <v>611</v>
      </c>
      <c r="Q260" s="35" t="s">
        <v>72</v>
      </c>
      <c r="R260" s="35" t="s">
        <v>59</v>
      </c>
      <c r="S260" s="35" t="s">
        <v>2569</v>
      </c>
      <c r="T260" s="35" t="s">
        <v>2570</v>
      </c>
      <c r="U260" s="35" t="s">
        <v>2571</v>
      </c>
      <c r="V260" s="35" t="s">
        <v>53</v>
      </c>
      <c r="W260" s="35" t="s">
        <v>552</v>
      </c>
      <c r="X260" s="35" t="s">
        <v>53</v>
      </c>
      <c r="Y260" s="35" t="s">
        <v>552</v>
      </c>
      <c r="Z260" s="35" t="s">
        <v>46</v>
      </c>
      <c r="AA260" s="35" t="s">
        <v>61</v>
      </c>
      <c r="AB260" s="13" t="s">
        <v>2574</v>
      </c>
      <c r="AC260" s="35" t="s">
        <v>74</v>
      </c>
      <c r="AD260" s="13" t="s">
        <v>2575</v>
      </c>
      <c r="AE260" s="35" t="s">
        <v>2573</v>
      </c>
      <c r="AF260" s="35"/>
      <c r="AG260" s="128"/>
    </row>
    <row r="261" spans="1:33" ht="25.5" x14ac:dyDescent="0.25">
      <c r="A261" s="35" t="s">
        <v>2576</v>
      </c>
      <c r="B261" s="35" t="s">
        <v>164</v>
      </c>
      <c r="C261" s="35" t="s">
        <v>2579</v>
      </c>
      <c r="D261" s="35" t="s">
        <v>193</v>
      </c>
      <c r="E261" s="35" t="s">
        <v>2580</v>
      </c>
      <c r="F261" s="35" t="s">
        <v>2581</v>
      </c>
      <c r="G261" s="35" t="s">
        <v>2582</v>
      </c>
      <c r="H261" s="35" t="s">
        <v>2583</v>
      </c>
      <c r="I261" s="35">
        <v>4</v>
      </c>
      <c r="J261" s="35">
        <v>5</v>
      </c>
      <c r="K261" s="35" t="s">
        <v>83</v>
      </c>
      <c r="L261" s="35">
        <v>0.96</v>
      </c>
      <c r="M261" s="35" t="s">
        <v>53</v>
      </c>
      <c r="N261" s="35" t="s">
        <v>45</v>
      </c>
      <c r="O261" s="35" t="s">
        <v>2572</v>
      </c>
      <c r="P261" s="35" t="s">
        <v>611</v>
      </c>
      <c r="Q261" s="35" t="s">
        <v>72</v>
      </c>
      <c r="R261" s="35" t="s">
        <v>59</v>
      </c>
      <c r="S261" s="35" t="s">
        <v>2569</v>
      </c>
      <c r="T261" s="35" t="s">
        <v>2570</v>
      </c>
      <c r="U261" s="35" t="s">
        <v>2571</v>
      </c>
      <c r="V261" s="35" t="s">
        <v>53</v>
      </c>
      <c r="W261" s="35" t="s">
        <v>552</v>
      </c>
      <c r="X261" s="35" t="s">
        <v>53</v>
      </c>
      <c r="Y261" s="35" t="s">
        <v>552</v>
      </c>
      <c r="Z261" s="35" t="s">
        <v>46</v>
      </c>
      <c r="AA261" s="35" t="s">
        <v>61</v>
      </c>
      <c r="AB261" s="13" t="s">
        <v>2574</v>
      </c>
      <c r="AC261" s="35" t="s">
        <v>74</v>
      </c>
      <c r="AD261" s="13" t="s">
        <v>2575</v>
      </c>
      <c r="AE261" s="35" t="s">
        <v>2573</v>
      </c>
      <c r="AF261" s="35"/>
      <c r="AG261" s="128"/>
    </row>
    <row r="262" spans="1:33" ht="25.5" x14ac:dyDescent="0.25">
      <c r="A262" s="35" t="s">
        <v>2576</v>
      </c>
      <c r="B262" s="35" t="s">
        <v>164</v>
      </c>
      <c r="C262" s="35" t="s">
        <v>2584</v>
      </c>
      <c r="D262" s="35" t="s">
        <v>193</v>
      </c>
      <c r="E262" s="35" t="s">
        <v>2585</v>
      </c>
      <c r="F262" s="35" t="s">
        <v>2586</v>
      </c>
      <c r="G262" s="35" t="s">
        <v>2587</v>
      </c>
      <c r="H262" s="35" t="s">
        <v>2588</v>
      </c>
      <c r="I262" s="35">
        <v>3</v>
      </c>
      <c r="J262" s="35">
        <v>2</v>
      </c>
      <c r="K262" s="35" t="s">
        <v>77</v>
      </c>
      <c r="L262" s="35">
        <v>0.4</v>
      </c>
      <c r="M262" s="35" t="s">
        <v>53</v>
      </c>
      <c r="N262" s="35" t="s">
        <v>45</v>
      </c>
      <c r="O262" s="35" t="s">
        <v>2572</v>
      </c>
      <c r="P262" s="35" t="s">
        <v>611</v>
      </c>
      <c r="Q262" s="35" t="s">
        <v>72</v>
      </c>
      <c r="R262" s="35" t="s">
        <v>59</v>
      </c>
      <c r="S262" s="35" t="s">
        <v>2569</v>
      </c>
      <c r="T262" s="35" t="s">
        <v>2570</v>
      </c>
      <c r="U262" s="35" t="s">
        <v>2571</v>
      </c>
      <c r="V262" s="35" t="s">
        <v>53</v>
      </c>
      <c r="W262" s="35" t="s">
        <v>552</v>
      </c>
      <c r="X262" s="35" t="s">
        <v>53</v>
      </c>
      <c r="Y262" s="35" t="s">
        <v>552</v>
      </c>
      <c r="Z262" s="35" t="s">
        <v>46</v>
      </c>
      <c r="AA262" s="35" t="s">
        <v>61</v>
      </c>
      <c r="AB262" s="13" t="s">
        <v>2574</v>
      </c>
      <c r="AC262" s="35" t="s">
        <v>74</v>
      </c>
      <c r="AD262" s="13" t="s">
        <v>2575</v>
      </c>
      <c r="AE262" s="35" t="s">
        <v>2573</v>
      </c>
      <c r="AF262" s="35"/>
      <c r="AG262" s="128"/>
    </row>
    <row r="263" spans="1:33" ht="25.5" x14ac:dyDescent="0.25">
      <c r="A263" s="35" t="s">
        <v>2576</v>
      </c>
      <c r="B263" s="35" t="s">
        <v>164</v>
      </c>
      <c r="C263" s="35" t="s">
        <v>2589</v>
      </c>
      <c r="D263" s="35" t="s">
        <v>193</v>
      </c>
      <c r="E263" s="35" t="s">
        <v>2590</v>
      </c>
      <c r="F263" s="35" t="s">
        <v>2591</v>
      </c>
      <c r="G263" s="35" t="s">
        <v>2592</v>
      </c>
      <c r="H263" s="35" t="s">
        <v>2593</v>
      </c>
      <c r="I263" s="35">
        <v>3</v>
      </c>
      <c r="J263" s="35">
        <v>2</v>
      </c>
      <c r="K263" s="35" t="s">
        <v>77</v>
      </c>
      <c r="L263" s="35">
        <v>0.4</v>
      </c>
      <c r="M263" s="35" t="s">
        <v>53</v>
      </c>
      <c r="N263" s="35" t="s">
        <v>45</v>
      </c>
      <c r="O263" s="35" t="s">
        <v>2572</v>
      </c>
      <c r="P263" s="35" t="s">
        <v>611</v>
      </c>
      <c r="Q263" s="35" t="s">
        <v>72</v>
      </c>
      <c r="R263" s="35" t="s">
        <v>59</v>
      </c>
      <c r="S263" s="35" t="s">
        <v>2569</v>
      </c>
      <c r="T263" s="35" t="s">
        <v>2570</v>
      </c>
      <c r="U263" s="35" t="s">
        <v>2571</v>
      </c>
      <c r="V263" s="35" t="s">
        <v>53</v>
      </c>
      <c r="W263" s="35" t="s">
        <v>552</v>
      </c>
      <c r="X263" s="35" t="s">
        <v>53</v>
      </c>
      <c r="Y263" s="35" t="s">
        <v>552</v>
      </c>
      <c r="Z263" s="35" t="s">
        <v>46</v>
      </c>
      <c r="AA263" s="35" t="s">
        <v>61</v>
      </c>
      <c r="AB263" s="13" t="s">
        <v>2574</v>
      </c>
      <c r="AC263" s="35" t="s">
        <v>74</v>
      </c>
      <c r="AD263" s="13" t="s">
        <v>2575</v>
      </c>
      <c r="AE263" s="35" t="s">
        <v>2573</v>
      </c>
      <c r="AF263" s="35"/>
      <c r="AG263" s="128"/>
    </row>
    <row r="264" spans="1:33" ht="38.25" x14ac:dyDescent="0.25">
      <c r="A264" s="35" t="s">
        <v>2576</v>
      </c>
      <c r="B264" s="35" t="s">
        <v>784</v>
      </c>
      <c r="C264" s="35" t="s">
        <v>2603</v>
      </c>
      <c r="D264" s="35" t="s">
        <v>193</v>
      </c>
      <c r="E264" s="35" t="s">
        <v>365</v>
      </c>
      <c r="F264" s="35" t="s">
        <v>2604</v>
      </c>
      <c r="G264" s="35" t="s">
        <v>2605</v>
      </c>
      <c r="H264" s="35" t="s">
        <v>2606</v>
      </c>
      <c r="I264" s="35">
        <v>1</v>
      </c>
      <c r="J264" s="35">
        <v>1</v>
      </c>
      <c r="K264" s="35" t="s">
        <v>64</v>
      </c>
      <c r="L264" s="35">
        <v>0.48</v>
      </c>
      <c r="M264" s="35" t="s">
        <v>53</v>
      </c>
      <c r="N264" s="35" t="s">
        <v>45</v>
      </c>
      <c r="O264" s="35" t="s">
        <v>2601</v>
      </c>
      <c r="P264" s="35" t="s">
        <v>2597</v>
      </c>
      <c r="Q264" s="35" t="s">
        <v>78</v>
      </c>
      <c r="R264" s="35" t="s">
        <v>59</v>
      </c>
      <c r="S264" s="35" t="s">
        <v>2598</v>
      </c>
      <c r="T264" s="35" t="s">
        <v>2599</v>
      </c>
      <c r="U264" s="35" t="s">
        <v>2600</v>
      </c>
      <c r="V264" s="35" t="s">
        <v>53</v>
      </c>
      <c r="W264" s="35" t="s">
        <v>552</v>
      </c>
      <c r="X264" s="35" t="s">
        <v>53</v>
      </c>
      <c r="Y264" s="35" t="s">
        <v>552</v>
      </c>
      <c r="Z264" s="35" t="s">
        <v>46</v>
      </c>
      <c r="AA264" s="35" t="s">
        <v>74</v>
      </c>
      <c r="AB264" s="35" t="s">
        <v>48</v>
      </c>
      <c r="AC264" s="35" t="s">
        <v>74</v>
      </c>
      <c r="AD264" s="35" t="s">
        <v>53</v>
      </c>
      <c r="AE264" s="35" t="s">
        <v>2602</v>
      </c>
      <c r="AF264" s="35"/>
      <c r="AG264" s="128"/>
    </row>
    <row r="265" spans="1:33" ht="38.25" x14ac:dyDescent="0.25">
      <c r="A265" s="35" t="s">
        <v>2576</v>
      </c>
      <c r="B265" s="35" t="s">
        <v>164</v>
      </c>
      <c r="C265" s="35" t="s">
        <v>2607</v>
      </c>
      <c r="D265" s="35" t="s">
        <v>193</v>
      </c>
      <c r="E265" s="35" t="s">
        <v>2608</v>
      </c>
      <c r="F265" s="35" t="s">
        <v>2609</v>
      </c>
      <c r="G265" s="35" t="s">
        <v>2610</v>
      </c>
      <c r="H265" s="35" t="s">
        <v>2611</v>
      </c>
      <c r="I265" s="35">
        <v>3</v>
      </c>
      <c r="J265" s="35">
        <v>3</v>
      </c>
      <c r="K265" s="35" t="s">
        <v>83</v>
      </c>
      <c r="L265" s="35">
        <v>0.84</v>
      </c>
      <c r="M265" s="35" t="s">
        <v>45</v>
      </c>
      <c r="N265" s="35" t="s">
        <v>45</v>
      </c>
      <c r="O265" s="35" t="s">
        <v>2601</v>
      </c>
      <c r="P265" s="35" t="s">
        <v>2597</v>
      </c>
      <c r="Q265" s="35" t="s">
        <v>78</v>
      </c>
      <c r="R265" s="35" t="s">
        <v>59</v>
      </c>
      <c r="S265" s="35" t="s">
        <v>2598</v>
      </c>
      <c r="T265" s="35" t="s">
        <v>2599</v>
      </c>
      <c r="U265" s="35" t="s">
        <v>2600</v>
      </c>
      <c r="V265" s="35" t="s">
        <v>53</v>
      </c>
      <c r="W265" s="35" t="s">
        <v>552</v>
      </c>
      <c r="X265" s="35" t="s">
        <v>53</v>
      </c>
      <c r="Y265" s="35" t="s">
        <v>552</v>
      </c>
      <c r="Z265" s="35" t="s">
        <v>46</v>
      </c>
      <c r="AA265" s="35" t="s">
        <v>74</v>
      </c>
      <c r="AB265" s="35" t="s">
        <v>48</v>
      </c>
      <c r="AC265" s="35" t="s">
        <v>74</v>
      </c>
      <c r="AD265" s="35" t="s">
        <v>53</v>
      </c>
      <c r="AE265" s="35" t="s">
        <v>2602</v>
      </c>
      <c r="AF265" s="35"/>
      <c r="AG265" s="128"/>
    </row>
    <row r="266" spans="1:33" x14ac:dyDescent="0.25">
      <c r="A266" s="35"/>
      <c r="B266" s="35"/>
      <c r="C266" s="35"/>
      <c r="D266" s="35"/>
      <c r="E266" s="35"/>
      <c r="F266" s="35"/>
      <c r="G266" s="35"/>
      <c r="H266" s="35"/>
      <c r="I266" s="35"/>
      <c r="J266" s="35"/>
      <c r="K266" s="35"/>
      <c r="L266" s="35"/>
      <c r="M266" s="35"/>
      <c r="N266" s="35"/>
      <c r="O266" s="35"/>
      <c r="P266" s="35"/>
      <c r="Q266" s="35"/>
      <c r="R266" s="35"/>
      <c r="S266" s="35"/>
      <c r="T266" s="35"/>
      <c r="U266" s="35"/>
      <c r="V266" s="35"/>
      <c r="W266" s="35"/>
      <c r="X266" s="35"/>
      <c r="Y266" s="35"/>
      <c r="Z266" s="35"/>
      <c r="AA266" s="35"/>
      <c r="AB266" s="35"/>
      <c r="AC266" s="35"/>
      <c r="AD266" s="35"/>
      <c r="AE266" s="35"/>
      <c r="AF266" s="35"/>
      <c r="AG266" s="128"/>
    </row>
    <row r="267" spans="1:33" x14ac:dyDescent="0.25">
      <c r="A267" s="35"/>
      <c r="B267" s="35"/>
      <c r="C267" s="35"/>
      <c r="D267" s="35"/>
      <c r="E267" s="35"/>
      <c r="F267" s="35"/>
      <c r="G267" s="35"/>
      <c r="H267" s="35"/>
      <c r="I267" s="35"/>
      <c r="J267" s="35"/>
      <c r="K267" s="35"/>
      <c r="L267" s="35"/>
      <c r="M267" s="35"/>
      <c r="N267" s="35"/>
      <c r="O267" s="35"/>
      <c r="P267" s="35"/>
      <c r="Q267" s="35"/>
      <c r="R267" s="35"/>
      <c r="S267" s="35"/>
      <c r="T267" s="35"/>
      <c r="U267" s="35"/>
      <c r="V267" s="35"/>
      <c r="W267" s="35"/>
      <c r="X267" s="35"/>
      <c r="Y267" s="35"/>
      <c r="Z267" s="35"/>
      <c r="AA267" s="35"/>
      <c r="AB267" s="35"/>
      <c r="AC267" s="35"/>
      <c r="AD267" s="35"/>
      <c r="AE267" s="35"/>
      <c r="AF267" s="35"/>
      <c r="AG267" s="128"/>
    </row>
    <row r="268" spans="1:33" x14ac:dyDescent="0.25">
      <c r="A268" s="35"/>
      <c r="B268" s="35"/>
      <c r="C268" s="35"/>
      <c r="D268" s="35"/>
      <c r="E268" s="35"/>
      <c r="F268" s="35"/>
      <c r="G268" s="35"/>
      <c r="H268" s="35"/>
      <c r="I268" s="35"/>
      <c r="J268" s="35"/>
      <c r="K268" s="35"/>
      <c r="L268" s="35"/>
      <c r="M268" s="35"/>
      <c r="N268" s="35"/>
      <c r="O268" s="35"/>
      <c r="P268" s="35"/>
      <c r="Q268" s="35"/>
      <c r="R268" s="35"/>
      <c r="S268" s="35"/>
      <c r="T268" s="35"/>
      <c r="U268" s="35"/>
      <c r="V268" s="35"/>
      <c r="W268" s="35"/>
      <c r="X268" s="35"/>
      <c r="Y268" s="35"/>
      <c r="Z268" s="35"/>
      <c r="AA268" s="35"/>
      <c r="AB268" s="35"/>
      <c r="AC268" s="35"/>
      <c r="AD268" s="35"/>
      <c r="AE268" s="35"/>
      <c r="AF268" s="35"/>
      <c r="AG268" s="128"/>
    </row>
    <row r="269" spans="1:33" x14ac:dyDescent="0.25">
      <c r="A269" s="35"/>
      <c r="B269" s="35"/>
      <c r="C269" s="35"/>
      <c r="D269" s="35"/>
      <c r="E269" s="35"/>
      <c r="F269" s="35"/>
      <c r="G269" s="35"/>
      <c r="H269" s="35"/>
      <c r="I269" s="35"/>
      <c r="J269" s="35"/>
      <c r="K269" s="35"/>
      <c r="L269" s="35"/>
      <c r="M269" s="35"/>
      <c r="N269" s="35"/>
      <c r="O269" s="35"/>
      <c r="P269" s="35"/>
      <c r="Q269" s="35"/>
      <c r="R269" s="35"/>
      <c r="S269" s="35"/>
      <c r="T269" s="35"/>
      <c r="U269" s="35"/>
      <c r="V269" s="35"/>
      <c r="W269" s="35"/>
      <c r="X269" s="35"/>
      <c r="Y269" s="35"/>
      <c r="Z269" s="35"/>
      <c r="AA269" s="35"/>
      <c r="AB269" s="35"/>
      <c r="AC269" s="35"/>
      <c r="AD269" s="35"/>
      <c r="AE269" s="35"/>
      <c r="AF269" s="35"/>
      <c r="AG269" s="128"/>
    </row>
    <row r="270" spans="1:33" x14ac:dyDescent="0.25">
      <c r="A270" s="35"/>
      <c r="B270" s="35"/>
      <c r="C270" s="35"/>
      <c r="D270" s="35"/>
      <c r="E270" s="35"/>
      <c r="F270" s="35"/>
      <c r="G270" s="35"/>
      <c r="H270" s="35"/>
      <c r="I270" s="35"/>
      <c r="J270" s="35"/>
      <c r="K270" s="35"/>
      <c r="L270" s="35"/>
      <c r="M270" s="35"/>
      <c r="N270" s="35"/>
      <c r="O270" s="35"/>
      <c r="P270" s="35"/>
      <c r="Q270" s="35"/>
      <c r="R270" s="35"/>
      <c r="S270" s="35"/>
      <c r="T270" s="35"/>
      <c r="U270" s="35"/>
      <c r="V270" s="35"/>
      <c r="W270" s="35"/>
      <c r="X270" s="35"/>
      <c r="Y270" s="35"/>
      <c r="Z270" s="35"/>
      <c r="AA270" s="35"/>
      <c r="AB270" s="35"/>
      <c r="AC270" s="35"/>
      <c r="AD270" s="35"/>
      <c r="AE270" s="35"/>
      <c r="AF270" s="35"/>
      <c r="AG270" s="128"/>
    </row>
    <row r="271" spans="1:33" x14ac:dyDescent="0.25">
      <c r="A271" s="35"/>
      <c r="B271" s="35"/>
      <c r="C271" s="35"/>
      <c r="D271" s="35"/>
      <c r="E271" s="35"/>
      <c r="F271" s="35"/>
      <c r="G271" s="35"/>
      <c r="H271" s="35"/>
      <c r="I271" s="35"/>
      <c r="J271" s="35"/>
      <c r="K271" s="35"/>
      <c r="L271" s="35"/>
      <c r="M271" s="35"/>
      <c r="N271" s="35"/>
      <c r="O271" s="35"/>
      <c r="P271" s="35"/>
      <c r="Q271" s="35"/>
      <c r="R271" s="35"/>
      <c r="S271" s="35"/>
      <c r="T271" s="35"/>
      <c r="U271" s="35"/>
      <c r="V271" s="35"/>
      <c r="W271" s="35"/>
      <c r="X271" s="35"/>
      <c r="Y271" s="35"/>
      <c r="Z271" s="35"/>
      <c r="AA271" s="35"/>
      <c r="AB271" s="35"/>
      <c r="AC271" s="35"/>
      <c r="AD271" s="35"/>
      <c r="AE271" s="35"/>
      <c r="AF271" s="35"/>
      <c r="AG271" s="128"/>
    </row>
    <row r="272" spans="1:33" x14ac:dyDescent="0.25">
      <c r="A272" s="35"/>
      <c r="B272" s="35"/>
      <c r="C272" s="35"/>
      <c r="D272" s="35"/>
      <c r="E272" s="35"/>
      <c r="F272" s="35"/>
      <c r="G272" s="35"/>
      <c r="H272" s="35"/>
      <c r="I272" s="35"/>
      <c r="J272" s="35"/>
      <c r="K272" s="35"/>
      <c r="L272" s="35"/>
      <c r="M272" s="35"/>
      <c r="N272" s="35"/>
      <c r="O272" s="35"/>
      <c r="P272" s="35"/>
      <c r="Q272" s="35"/>
      <c r="R272" s="35"/>
      <c r="S272" s="35"/>
      <c r="T272" s="35"/>
      <c r="U272" s="35"/>
      <c r="V272" s="35"/>
      <c r="W272" s="35"/>
      <c r="X272" s="35"/>
      <c r="Y272" s="35"/>
      <c r="Z272" s="35"/>
      <c r="AA272" s="35"/>
      <c r="AB272" s="35"/>
      <c r="AC272" s="35"/>
      <c r="AD272" s="35"/>
      <c r="AE272" s="35"/>
      <c r="AF272" s="35"/>
      <c r="AG272" s="128"/>
    </row>
    <row r="273" spans="1:33" x14ac:dyDescent="0.25">
      <c r="A273" s="35"/>
      <c r="B273" s="35"/>
      <c r="C273" s="35"/>
      <c r="D273" s="35"/>
      <c r="E273" s="35"/>
      <c r="F273" s="35"/>
      <c r="G273" s="35"/>
      <c r="H273" s="35"/>
      <c r="I273" s="35"/>
      <c r="J273" s="35"/>
      <c r="K273" s="35"/>
      <c r="L273" s="35"/>
      <c r="M273" s="35"/>
      <c r="N273" s="35"/>
      <c r="O273" s="35"/>
      <c r="P273" s="35"/>
      <c r="Q273" s="35"/>
      <c r="R273" s="35"/>
      <c r="S273" s="35"/>
      <c r="T273" s="35"/>
      <c r="U273" s="35"/>
      <c r="V273" s="35"/>
      <c r="W273" s="35"/>
      <c r="X273" s="35"/>
      <c r="Y273" s="35"/>
      <c r="Z273" s="35"/>
      <c r="AA273" s="35"/>
      <c r="AB273" s="35"/>
      <c r="AC273" s="35"/>
      <c r="AD273" s="35"/>
      <c r="AE273" s="35"/>
      <c r="AF273" s="35"/>
      <c r="AG273" s="128"/>
    </row>
    <row r="274" spans="1:33" x14ac:dyDescent="0.25">
      <c r="A274" s="35"/>
      <c r="B274" s="35"/>
      <c r="C274" s="35"/>
      <c r="D274" s="35"/>
      <c r="E274" s="35"/>
      <c r="F274" s="35"/>
      <c r="G274" s="35"/>
      <c r="H274" s="35"/>
      <c r="I274" s="35"/>
      <c r="J274" s="35"/>
      <c r="K274" s="35"/>
      <c r="L274" s="35"/>
      <c r="M274" s="35"/>
      <c r="N274" s="35"/>
      <c r="O274" s="35"/>
      <c r="P274" s="35"/>
      <c r="Q274" s="35"/>
      <c r="R274" s="35"/>
      <c r="S274" s="35"/>
      <c r="T274" s="35"/>
      <c r="U274" s="35"/>
      <c r="V274" s="35"/>
      <c r="W274" s="35"/>
      <c r="X274" s="35"/>
      <c r="Y274" s="35"/>
      <c r="Z274" s="35"/>
      <c r="AA274" s="35"/>
      <c r="AB274" s="35"/>
      <c r="AC274" s="35"/>
      <c r="AD274" s="35"/>
      <c r="AE274" s="35"/>
      <c r="AF274" s="35"/>
      <c r="AG274" s="128"/>
    </row>
    <row r="275" spans="1:33" x14ac:dyDescent="0.25">
      <c r="A275" s="35"/>
      <c r="B275" s="35"/>
      <c r="C275" s="35"/>
      <c r="D275" s="35"/>
      <c r="E275" s="35"/>
      <c r="F275" s="35"/>
      <c r="G275" s="35"/>
      <c r="H275" s="35"/>
      <c r="I275" s="35"/>
      <c r="J275" s="35"/>
      <c r="K275" s="35"/>
      <c r="L275" s="35"/>
      <c r="M275" s="35"/>
      <c r="N275" s="35"/>
      <c r="O275" s="35"/>
      <c r="P275" s="35"/>
      <c r="Q275" s="35"/>
      <c r="R275" s="35"/>
      <c r="S275" s="35"/>
      <c r="T275" s="35"/>
      <c r="U275" s="35"/>
      <c r="V275" s="35"/>
      <c r="W275" s="35"/>
      <c r="X275" s="35"/>
      <c r="Y275" s="35"/>
      <c r="Z275" s="35"/>
      <c r="AA275" s="35"/>
      <c r="AB275" s="35"/>
      <c r="AC275" s="35"/>
      <c r="AD275" s="35"/>
      <c r="AE275" s="35"/>
      <c r="AF275" s="35"/>
      <c r="AG275" s="90"/>
    </row>
    <row r="276" spans="1:33" x14ac:dyDescent="0.25">
      <c r="A276" s="35"/>
      <c r="B276" s="35"/>
      <c r="C276" s="35"/>
      <c r="D276" s="35"/>
      <c r="E276" s="35"/>
      <c r="F276" s="35"/>
      <c r="G276" s="35"/>
      <c r="H276" s="35"/>
      <c r="I276" s="35"/>
      <c r="J276" s="35"/>
      <c r="K276" s="35"/>
      <c r="L276" s="35"/>
      <c r="M276" s="35"/>
      <c r="N276" s="35"/>
      <c r="O276" s="35"/>
      <c r="P276" s="35"/>
      <c r="Q276" s="35"/>
      <c r="R276" s="35"/>
      <c r="S276" s="35"/>
      <c r="T276" s="35"/>
      <c r="U276" s="35"/>
      <c r="V276" s="35"/>
      <c r="W276" s="35"/>
      <c r="X276" s="35"/>
      <c r="Y276" s="35"/>
      <c r="Z276" s="35"/>
      <c r="AA276" s="35"/>
      <c r="AB276" s="35"/>
      <c r="AC276" s="35"/>
      <c r="AD276" s="35"/>
      <c r="AE276" s="35"/>
      <c r="AF276" s="35"/>
      <c r="AG276" s="90"/>
    </row>
    <row r="277" spans="1:33" x14ac:dyDescent="0.25">
      <c r="A277" s="35"/>
      <c r="B277" s="35"/>
      <c r="C277" s="35"/>
      <c r="D277" s="35"/>
      <c r="E277" s="35"/>
      <c r="F277" s="35"/>
      <c r="G277" s="35"/>
      <c r="H277" s="35"/>
      <c r="I277" s="35"/>
      <c r="J277" s="35"/>
      <c r="K277" s="35"/>
      <c r="L277" s="35"/>
      <c r="M277" s="35"/>
      <c r="N277" s="35"/>
      <c r="O277" s="35"/>
      <c r="P277" s="35"/>
      <c r="Q277" s="35"/>
      <c r="R277" s="35"/>
      <c r="S277" s="35"/>
      <c r="T277" s="35"/>
      <c r="U277" s="35"/>
      <c r="V277" s="35"/>
      <c r="W277" s="35"/>
      <c r="X277" s="35"/>
      <c r="Y277" s="35"/>
      <c r="Z277" s="35"/>
      <c r="AA277" s="35"/>
      <c r="AB277" s="35"/>
      <c r="AC277" s="35"/>
      <c r="AD277" s="35"/>
      <c r="AE277" s="35"/>
      <c r="AF277" s="35"/>
      <c r="AG277" s="90"/>
    </row>
    <row r="278" spans="1:33" x14ac:dyDescent="0.25">
      <c r="A278" s="35"/>
      <c r="B278" s="35"/>
      <c r="C278" s="35"/>
      <c r="D278" s="35"/>
      <c r="E278" s="35"/>
      <c r="F278" s="35"/>
      <c r="G278" s="35"/>
      <c r="H278" s="35"/>
      <c r="I278" s="35"/>
      <c r="J278" s="35"/>
      <c r="K278" s="35"/>
      <c r="L278" s="35"/>
      <c r="M278" s="35"/>
      <c r="N278" s="35"/>
      <c r="O278" s="35"/>
      <c r="P278" s="35"/>
      <c r="Q278" s="35"/>
      <c r="R278" s="35"/>
      <c r="S278" s="35"/>
      <c r="T278" s="35"/>
      <c r="U278" s="35"/>
      <c r="V278" s="35"/>
      <c r="W278" s="35"/>
      <c r="X278" s="35"/>
      <c r="Y278" s="35"/>
      <c r="Z278" s="35"/>
      <c r="AA278" s="35"/>
      <c r="AB278" s="35"/>
      <c r="AC278" s="35"/>
      <c r="AD278" s="35"/>
      <c r="AE278" s="35"/>
      <c r="AF278" s="35"/>
      <c r="AG278" s="90"/>
    </row>
    <row r="279" spans="1:33" x14ac:dyDescent="0.25">
      <c r="A279" s="35"/>
      <c r="B279" s="35"/>
      <c r="C279" s="35"/>
      <c r="D279" s="35"/>
      <c r="E279" s="35"/>
      <c r="F279" s="35"/>
      <c r="G279" s="35"/>
      <c r="H279" s="35"/>
      <c r="I279" s="35"/>
      <c r="J279" s="35"/>
      <c r="K279" s="35"/>
      <c r="L279" s="35"/>
      <c r="M279" s="35"/>
      <c r="N279" s="35"/>
      <c r="O279" s="35"/>
      <c r="P279" s="35"/>
      <c r="Q279" s="35"/>
      <c r="R279" s="35"/>
      <c r="S279" s="35"/>
      <c r="T279" s="35"/>
      <c r="U279" s="35"/>
      <c r="V279" s="35"/>
      <c r="W279" s="35"/>
      <c r="X279" s="35"/>
      <c r="Y279" s="35"/>
      <c r="Z279" s="35"/>
      <c r="AA279" s="35"/>
      <c r="AB279" s="35"/>
      <c r="AC279" s="35"/>
      <c r="AD279" s="35"/>
      <c r="AE279" s="35"/>
      <c r="AF279" s="35"/>
      <c r="AG279" s="90"/>
    </row>
    <row r="280" spans="1:33" x14ac:dyDescent="0.25">
      <c r="A280" s="35"/>
      <c r="B280" s="35"/>
      <c r="C280" s="35"/>
      <c r="D280" s="35"/>
      <c r="E280" s="35"/>
      <c r="F280" s="35"/>
      <c r="G280" s="35"/>
      <c r="H280" s="35"/>
      <c r="I280" s="35"/>
      <c r="J280" s="35"/>
      <c r="K280" s="35"/>
      <c r="L280" s="35"/>
      <c r="M280" s="35"/>
      <c r="N280" s="35"/>
      <c r="O280" s="35"/>
      <c r="P280" s="35"/>
      <c r="Q280" s="35"/>
      <c r="R280" s="35"/>
      <c r="S280" s="35"/>
      <c r="T280" s="35"/>
      <c r="U280" s="35"/>
      <c r="V280" s="35"/>
      <c r="W280" s="35"/>
      <c r="X280" s="35"/>
      <c r="Y280" s="35"/>
      <c r="Z280" s="35"/>
      <c r="AA280" s="35"/>
      <c r="AB280" s="35"/>
      <c r="AC280" s="35"/>
      <c r="AD280" s="35"/>
      <c r="AE280" s="35"/>
      <c r="AF280" s="35"/>
      <c r="AG280" s="90"/>
    </row>
    <row r="281" spans="1:33" x14ac:dyDescent="0.25">
      <c r="A281" s="35"/>
      <c r="B281" s="35"/>
      <c r="C281" s="35"/>
      <c r="D281" s="35"/>
      <c r="E281" s="35"/>
      <c r="F281" s="35"/>
      <c r="G281" s="35"/>
      <c r="H281" s="35"/>
      <c r="I281" s="35"/>
      <c r="J281" s="35"/>
      <c r="K281" s="35"/>
      <c r="L281" s="35"/>
      <c r="M281" s="35"/>
      <c r="N281" s="35"/>
      <c r="O281" s="35"/>
      <c r="P281" s="35"/>
      <c r="Q281" s="35"/>
      <c r="R281" s="35"/>
      <c r="S281" s="35"/>
      <c r="T281" s="35"/>
      <c r="U281" s="35"/>
      <c r="V281" s="35"/>
      <c r="W281" s="35"/>
      <c r="X281" s="35"/>
      <c r="Y281" s="35"/>
      <c r="Z281" s="35"/>
      <c r="AA281" s="35"/>
      <c r="AB281" s="35"/>
      <c r="AC281" s="35"/>
      <c r="AD281" s="35"/>
      <c r="AE281" s="35"/>
      <c r="AF281" s="35"/>
      <c r="AG281" s="90"/>
    </row>
    <row r="282" spans="1:33" x14ac:dyDescent="0.25">
      <c r="A282" s="35"/>
      <c r="B282" s="35"/>
      <c r="C282" s="35"/>
      <c r="D282" s="35"/>
      <c r="E282" s="35"/>
      <c r="F282" s="35"/>
      <c r="G282" s="35"/>
      <c r="H282" s="35"/>
      <c r="I282" s="35"/>
      <c r="J282" s="35"/>
      <c r="K282" s="35"/>
      <c r="L282" s="35"/>
      <c r="M282" s="35"/>
      <c r="N282" s="35"/>
      <c r="O282" s="35"/>
      <c r="P282" s="35"/>
      <c r="Q282" s="35"/>
      <c r="R282" s="35"/>
      <c r="S282" s="35"/>
      <c r="T282" s="35"/>
      <c r="U282" s="35"/>
      <c r="V282" s="35"/>
      <c r="W282" s="35"/>
      <c r="X282" s="35"/>
      <c r="Y282" s="35"/>
      <c r="Z282" s="35"/>
      <c r="AA282" s="35"/>
      <c r="AB282" s="35"/>
      <c r="AC282" s="35"/>
      <c r="AD282" s="35"/>
      <c r="AE282" s="35"/>
      <c r="AF282" s="35"/>
      <c r="AG282" s="90"/>
    </row>
    <row r="283" spans="1:33" x14ac:dyDescent="0.25">
      <c r="A283" s="35"/>
      <c r="B283" s="35"/>
      <c r="C283" s="35"/>
      <c r="D283" s="35"/>
      <c r="E283" s="35"/>
      <c r="F283" s="35"/>
      <c r="G283" s="35"/>
      <c r="H283" s="35"/>
      <c r="I283" s="35"/>
      <c r="J283" s="35"/>
      <c r="K283" s="35"/>
      <c r="L283" s="35"/>
      <c r="M283" s="35"/>
      <c r="N283" s="35"/>
      <c r="O283" s="35"/>
      <c r="P283" s="35"/>
      <c r="Q283" s="35"/>
      <c r="R283" s="35"/>
      <c r="S283" s="35"/>
      <c r="T283" s="35"/>
      <c r="U283" s="35"/>
      <c r="V283" s="35"/>
      <c r="W283" s="35"/>
      <c r="X283" s="35"/>
      <c r="Y283" s="35"/>
      <c r="Z283" s="35"/>
      <c r="AA283" s="35"/>
      <c r="AB283" s="35"/>
      <c r="AC283" s="35"/>
      <c r="AD283" s="35"/>
      <c r="AE283" s="35"/>
      <c r="AF283" s="35"/>
      <c r="AG283" s="90"/>
    </row>
    <row r="284" spans="1:33" x14ac:dyDescent="0.25">
      <c r="A284" s="35"/>
      <c r="B284" s="35"/>
      <c r="C284" s="35"/>
      <c r="D284" s="35"/>
      <c r="E284" s="35"/>
      <c r="F284" s="35"/>
      <c r="G284" s="35"/>
      <c r="H284" s="35"/>
      <c r="I284" s="35"/>
      <c r="J284" s="35"/>
      <c r="K284" s="35"/>
      <c r="L284" s="35"/>
      <c r="M284" s="35"/>
      <c r="N284" s="35"/>
      <c r="O284" s="35"/>
      <c r="P284" s="35"/>
      <c r="Q284" s="35"/>
      <c r="R284" s="35"/>
      <c r="S284" s="35"/>
      <c r="T284" s="35"/>
      <c r="U284" s="35"/>
      <c r="V284" s="35"/>
      <c r="W284" s="35"/>
      <c r="X284" s="35"/>
      <c r="Y284" s="35"/>
      <c r="Z284" s="35"/>
      <c r="AA284" s="35"/>
      <c r="AB284" s="35"/>
      <c r="AC284" s="35"/>
      <c r="AD284" s="35"/>
      <c r="AE284" s="35"/>
      <c r="AF284" s="35"/>
      <c r="AG284" s="90"/>
    </row>
    <row r="285" spans="1:33" x14ac:dyDescent="0.25">
      <c r="A285" s="35"/>
      <c r="B285" s="35"/>
      <c r="C285" s="35"/>
      <c r="D285" s="35"/>
      <c r="E285" s="35"/>
      <c r="F285" s="35"/>
      <c r="G285" s="35"/>
      <c r="H285" s="35"/>
      <c r="I285" s="35"/>
      <c r="J285" s="35"/>
      <c r="K285" s="35"/>
      <c r="L285" s="35"/>
      <c r="M285" s="35"/>
      <c r="N285" s="35"/>
      <c r="O285" s="35"/>
      <c r="P285" s="35"/>
      <c r="Q285" s="35"/>
      <c r="R285" s="35"/>
      <c r="S285" s="35"/>
      <c r="T285" s="35"/>
      <c r="U285" s="35"/>
      <c r="V285" s="35"/>
      <c r="W285" s="35"/>
      <c r="X285" s="35"/>
      <c r="Y285" s="35"/>
      <c r="Z285" s="35"/>
      <c r="AA285" s="35"/>
      <c r="AB285" s="35"/>
      <c r="AC285" s="35"/>
      <c r="AD285" s="35"/>
      <c r="AE285" s="35"/>
      <c r="AF285" s="35"/>
      <c r="AG285" s="90"/>
    </row>
    <row r="286" spans="1:33" x14ac:dyDescent="0.25">
      <c r="A286" s="35"/>
      <c r="B286" s="35"/>
      <c r="C286" s="35"/>
      <c r="D286" s="35"/>
      <c r="E286" s="35"/>
      <c r="F286" s="35"/>
      <c r="G286" s="35"/>
      <c r="H286" s="35"/>
      <c r="I286" s="35"/>
      <c r="J286" s="35"/>
      <c r="K286" s="35"/>
      <c r="L286" s="35"/>
      <c r="M286" s="35"/>
      <c r="N286" s="35"/>
      <c r="O286" s="35"/>
      <c r="P286" s="35"/>
      <c r="Q286" s="35"/>
      <c r="R286" s="35"/>
      <c r="S286" s="35"/>
      <c r="T286" s="35"/>
      <c r="U286" s="35"/>
      <c r="V286" s="35"/>
      <c r="W286" s="35"/>
      <c r="X286" s="35"/>
      <c r="Y286" s="35"/>
      <c r="Z286" s="35"/>
      <c r="AA286" s="35"/>
      <c r="AB286" s="35"/>
      <c r="AC286" s="35"/>
      <c r="AD286" s="35"/>
      <c r="AE286" s="35"/>
      <c r="AF286" s="35"/>
      <c r="AG286" s="90"/>
    </row>
    <row r="287" spans="1:33" x14ac:dyDescent="0.25">
      <c r="A287" s="35"/>
      <c r="B287" s="35"/>
      <c r="C287" s="35"/>
      <c r="D287" s="35"/>
      <c r="E287" s="35"/>
      <c r="F287" s="35"/>
      <c r="G287" s="35"/>
      <c r="H287" s="35"/>
      <c r="I287" s="35"/>
      <c r="J287" s="35"/>
      <c r="K287" s="35"/>
      <c r="L287" s="35"/>
      <c r="M287" s="35"/>
      <c r="N287" s="35"/>
      <c r="O287" s="35"/>
      <c r="P287" s="35"/>
      <c r="Q287" s="35"/>
      <c r="R287" s="35"/>
      <c r="S287" s="35"/>
      <c r="T287" s="35"/>
      <c r="U287" s="35"/>
      <c r="V287" s="35"/>
      <c r="W287" s="35"/>
      <c r="X287" s="35"/>
      <c r="Y287" s="35"/>
      <c r="Z287" s="35"/>
      <c r="AA287" s="35"/>
      <c r="AB287" s="35"/>
      <c r="AC287" s="35"/>
      <c r="AD287" s="35"/>
      <c r="AE287" s="35"/>
      <c r="AF287" s="35"/>
      <c r="AG287" s="90"/>
    </row>
    <row r="288" spans="1:33" x14ac:dyDescent="0.25">
      <c r="A288" s="35"/>
      <c r="B288" s="35"/>
      <c r="C288" s="35"/>
      <c r="D288" s="35"/>
      <c r="E288" s="35"/>
      <c r="F288" s="35"/>
      <c r="G288" s="35"/>
      <c r="H288" s="35"/>
      <c r="I288" s="35"/>
      <c r="J288" s="35"/>
      <c r="K288" s="35"/>
      <c r="L288" s="35"/>
      <c r="M288" s="35"/>
      <c r="N288" s="35"/>
      <c r="O288" s="35"/>
      <c r="P288" s="35"/>
      <c r="Q288" s="35"/>
      <c r="R288" s="35"/>
      <c r="S288" s="35"/>
      <c r="T288" s="35"/>
      <c r="U288" s="35"/>
      <c r="V288" s="35"/>
      <c r="W288" s="35"/>
      <c r="X288" s="35"/>
      <c r="Y288" s="35"/>
      <c r="Z288" s="35"/>
      <c r="AA288" s="35"/>
      <c r="AB288" s="35"/>
      <c r="AC288" s="35"/>
      <c r="AD288" s="35"/>
      <c r="AE288" s="35"/>
      <c r="AF288" s="35"/>
      <c r="AG288" s="90"/>
    </row>
    <row r="289" spans="1:33" x14ac:dyDescent="0.25">
      <c r="A289" s="35"/>
      <c r="B289" s="35"/>
      <c r="C289" s="35"/>
      <c r="D289" s="35"/>
      <c r="E289" s="35"/>
      <c r="F289" s="35"/>
      <c r="G289" s="35"/>
      <c r="H289" s="35"/>
      <c r="I289" s="35"/>
      <c r="J289" s="35"/>
      <c r="K289" s="35"/>
      <c r="L289" s="35"/>
      <c r="M289" s="35"/>
      <c r="N289" s="35"/>
      <c r="O289" s="35"/>
      <c r="P289" s="35"/>
      <c r="Q289" s="35"/>
      <c r="R289" s="35"/>
      <c r="S289" s="35"/>
      <c r="T289" s="35"/>
      <c r="U289" s="35"/>
      <c r="V289" s="35"/>
      <c r="W289" s="35"/>
      <c r="X289" s="35"/>
      <c r="Y289" s="35"/>
      <c r="Z289" s="35"/>
      <c r="AA289" s="35"/>
      <c r="AB289" s="35"/>
      <c r="AC289" s="35"/>
      <c r="AD289" s="35"/>
      <c r="AE289" s="35"/>
      <c r="AF289" s="35"/>
      <c r="AG289" s="90"/>
    </row>
    <row r="290" spans="1:33" x14ac:dyDescent="0.25">
      <c r="A290" s="35"/>
      <c r="B290" s="35"/>
      <c r="C290" s="35"/>
      <c r="D290" s="35"/>
      <c r="E290" s="35"/>
      <c r="F290" s="35"/>
      <c r="G290" s="35"/>
      <c r="H290" s="35"/>
      <c r="I290" s="35"/>
      <c r="J290" s="35"/>
      <c r="K290" s="35"/>
      <c r="L290" s="35"/>
      <c r="M290" s="35"/>
      <c r="N290" s="35"/>
      <c r="O290" s="35"/>
      <c r="P290" s="35"/>
      <c r="Q290" s="35"/>
      <c r="R290" s="35"/>
      <c r="S290" s="35"/>
      <c r="T290" s="35"/>
      <c r="U290" s="35"/>
      <c r="V290" s="35"/>
      <c r="W290" s="35"/>
      <c r="X290" s="35"/>
      <c r="Y290" s="35"/>
      <c r="Z290" s="35"/>
      <c r="AA290" s="35"/>
      <c r="AB290" s="35"/>
      <c r="AC290" s="35"/>
      <c r="AD290" s="35"/>
      <c r="AE290" s="35"/>
      <c r="AF290" s="35"/>
      <c r="AG290" s="90"/>
    </row>
    <row r="291" spans="1:33" x14ac:dyDescent="0.25">
      <c r="A291" s="35"/>
      <c r="B291" s="35"/>
      <c r="C291" s="35"/>
      <c r="D291" s="35"/>
      <c r="E291" s="35"/>
      <c r="F291" s="35"/>
      <c r="G291" s="35"/>
      <c r="H291" s="35"/>
      <c r="I291" s="35"/>
      <c r="J291" s="35"/>
      <c r="K291" s="35"/>
      <c r="L291" s="35"/>
      <c r="M291" s="35"/>
      <c r="N291" s="35"/>
      <c r="O291" s="35"/>
      <c r="P291" s="35"/>
      <c r="Q291" s="35"/>
      <c r="R291" s="35"/>
      <c r="S291" s="35"/>
      <c r="T291" s="35"/>
      <c r="U291" s="35"/>
      <c r="V291" s="35"/>
      <c r="W291" s="35"/>
      <c r="X291" s="35"/>
      <c r="Y291" s="35"/>
      <c r="Z291" s="35"/>
      <c r="AA291" s="35"/>
      <c r="AB291" s="35"/>
      <c r="AC291" s="35"/>
      <c r="AD291" s="35"/>
      <c r="AE291" s="35"/>
      <c r="AF291" s="35"/>
      <c r="AG291" s="90"/>
    </row>
    <row r="292" spans="1:33" x14ac:dyDescent="0.25">
      <c r="A292" s="35"/>
      <c r="B292" s="35"/>
      <c r="C292" s="35"/>
      <c r="D292" s="35"/>
      <c r="E292" s="35"/>
      <c r="F292" s="35"/>
      <c r="G292" s="35"/>
      <c r="H292" s="35"/>
      <c r="I292" s="35"/>
      <c r="J292" s="35"/>
      <c r="K292" s="35"/>
      <c r="L292" s="35"/>
      <c r="M292" s="35"/>
      <c r="N292" s="35"/>
      <c r="O292" s="35"/>
      <c r="P292" s="35"/>
      <c r="Q292" s="35"/>
      <c r="R292" s="35"/>
      <c r="S292" s="35"/>
      <c r="T292" s="35"/>
      <c r="U292" s="35"/>
      <c r="V292" s="35"/>
      <c r="W292" s="35"/>
      <c r="X292" s="35"/>
      <c r="Y292" s="35"/>
      <c r="Z292" s="35"/>
      <c r="AA292" s="35"/>
      <c r="AB292" s="35"/>
      <c r="AC292" s="35"/>
      <c r="AD292" s="35"/>
      <c r="AE292" s="35"/>
      <c r="AF292" s="35"/>
      <c r="AG292" s="90"/>
    </row>
    <row r="293" spans="1:33" x14ac:dyDescent="0.25">
      <c r="A293" s="35"/>
      <c r="B293" s="35"/>
      <c r="C293" s="35"/>
      <c r="D293" s="35"/>
      <c r="E293" s="35"/>
      <c r="F293" s="35"/>
      <c r="G293" s="35"/>
      <c r="H293" s="35"/>
      <c r="I293" s="35"/>
      <c r="J293" s="35"/>
      <c r="K293" s="35"/>
      <c r="L293" s="35"/>
      <c r="M293" s="35"/>
      <c r="N293" s="35"/>
      <c r="O293" s="35"/>
      <c r="P293" s="35"/>
      <c r="Q293" s="35"/>
      <c r="R293" s="35"/>
      <c r="S293" s="35"/>
      <c r="T293" s="35"/>
      <c r="U293" s="35"/>
      <c r="V293" s="35"/>
      <c r="W293" s="35"/>
      <c r="X293" s="35"/>
      <c r="Y293" s="35"/>
      <c r="Z293" s="35"/>
      <c r="AA293" s="35"/>
      <c r="AB293" s="35"/>
      <c r="AC293" s="35"/>
      <c r="AD293" s="35"/>
      <c r="AE293" s="35"/>
      <c r="AF293" s="35"/>
      <c r="AG293" s="90"/>
    </row>
    <row r="294" spans="1:33" x14ac:dyDescent="0.25">
      <c r="A294" s="35"/>
      <c r="B294" s="35"/>
      <c r="C294" s="35"/>
      <c r="D294" s="35"/>
      <c r="E294" s="35"/>
      <c r="F294" s="35"/>
      <c r="G294" s="35"/>
      <c r="H294" s="35"/>
      <c r="I294" s="35"/>
      <c r="J294" s="35"/>
      <c r="K294" s="35"/>
      <c r="L294" s="35"/>
      <c r="M294" s="35"/>
      <c r="N294" s="35"/>
      <c r="O294" s="35"/>
      <c r="P294" s="35"/>
      <c r="Q294" s="35"/>
      <c r="R294" s="35"/>
      <c r="S294" s="35"/>
      <c r="T294" s="35"/>
      <c r="U294" s="35"/>
      <c r="V294" s="35"/>
      <c r="W294" s="35"/>
      <c r="X294" s="35"/>
      <c r="Y294" s="35"/>
      <c r="Z294" s="35"/>
      <c r="AA294" s="35"/>
      <c r="AB294" s="35"/>
      <c r="AC294" s="35"/>
      <c r="AD294" s="35"/>
      <c r="AE294" s="35"/>
      <c r="AF294" s="35"/>
      <c r="AG294" s="90"/>
    </row>
    <row r="295" spans="1:33" x14ac:dyDescent="0.25">
      <c r="A295" s="35"/>
      <c r="B295" s="35"/>
      <c r="C295" s="35"/>
      <c r="D295" s="35"/>
      <c r="E295" s="35"/>
      <c r="F295" s="35"/>
      <c r="G295" s="35"/>
      <c r="H295" s="35"/>
      <c r="I295" s="35"/>
      <c r="J295" s="35"/>
      <c r="K295" s="35"/>
      <c r="L295" s="35"/>
      <c r="M295" s="35"/>
      <c r="N295" s="35"/>
      <c r="O295" s="35"/>
      <c r="P295" s="35"/>
      <c r="Q295" s="35"/>
      <c r="R295" s="35"/>
      <c r="S295" s="35"/>
      <c r="T295" s="35"/>
      <c r="U295" s="35"/>
      <c r="V295" s="35"/>
      <c r="W295" s="35"/>
      <c r="X295" s="35"/>
      <c r="Y295" s="35"/>
      <c r="Z295" s="35"/>
      <c r="AA295" s="35"/>
      <c r="AB295" s="35"/>
      <c r="AC295" s="35"/>
      <c r="AD295" s="35"/>
      <c r="AE295" s="35"/>
      <c r="AF295" s="35"/>
      <c r="AG295" s="90"/>
    </row>
    <row r="296" spans="1:33" x14ac:dyDescent="0.25">
      <c r="A296" s="35"/>
      <c r="B296" s="35"/>
      <c r="C296" s="35"/>
      <c r="D296" s="35"/>
      <c r="E296" s="35"/>
      <c r="F296" s="35"/>
      <c r="G296" s="35"/>
      <c r="H296" s="35"/>
      <c r="I296" s="35"/>
      <c r="J296" s="35"/>
      <c r="K296" s="35"/>
      <c r="L296" s="35"/>
      <c r="M296" s="35"/>
      <c r="N296" s="35"/>
      <c r="O296" s="35"/>
      <c r="P296" s="35"/>
      <c r="Q296" s="35"/>
      <c r="R296" s="35"/>
      <c r="S296" s="35"/>
      <c r="T296" s="35"/>
      <c r="U296" s="35"/>
      <c r="V296" s="35"/>
      <c r="W296" s="35"/>
      <c r="X296" s="35"/>
      <c r="Y296" s="35"/>
      <c r="Z296" s="35"/>
      <c r="AA296" s="35"/>
      <c r="AB296" s="35"/>
      <c r="AC296" s="35"/>
      <c r="AD296" s="35"/>
      <c r="AE296" s="35"/>
      <c r="AF296" s="35"/>
      <c r="AG296" s="90"/>
    </row>
    <row r="297" spans="1:33" x14ac:dyDescent="0.25">
      <c r="A297" s="35"/>
      <c r="B297" s="35"/>
      <c r="C297" s="35"/>
      <c r="D297" s="35"/>
      <c r="E297" s="35"/>
      <c r="F297" s="35"/>
      <c r="G297" s="35"/>
      <c r="H297" s="35"/>
      <c r="I297" s="35"/>
      <c r="J297" s="35"/>
      <c r="K297" s="35"/>
      <c r="L297" s="35"/>
      <c r="M297" s="35"/>
      <c r="N297" s="35"/>
      <c r="O297" s="35"/>
      <c r="P297" s="35"/>
      <c r="Q297" s="35"/>
      <c r="R297" s="35"/>
      <c r="S297" s="35"/>
      <c r="T297" s="35"/>
      <c r="U297" s="35"/>
      <c r="V297" s="35"/>
      <c r="W297" s="35"/>
      <c r="X297" s="35"/>
      <c r="Y297" s="35"/>
      <c r="Z297" s="35"/>
      <c r="AA297" s="35"/>
      <c r="AB297" s="35"/>
      <c r="AC297" s="35"/>
      <c r="AD297" s="35"/>
      <c r="AE297" s="35"/>
      <c r="AF297" s="35"/>
      <c r="AG297" s="90"/>
    </row>
    <row r="298" spans="1:33" x14ac:dyDescent="0.25">
      <c r="A298" s="35"/>
      <c r="B298" s="35"/>
      <c r="C298" s="35"/>
      <c r="D298" s="35"/>
      <c r="E298" s="35"/>
      <c r="F298" s="35"/>
      <c r="G298" s="35"/>
      <c r="H298" s="35"/>
      <c r="I298" s="35"/>
      <c r="J298" s="35"/>
      <c r="K298" s="35"/>
      <c r="L298" s="35"/>
      <c r="M298" s="35"/>
      <c r="N298" s="35"/>
      <c r="O298" s="35"/>
      <c r="P298" s="35"/>
      <c r="Q298" s="35"/>
      <c r="R298" s="35"/>
      <c r="S298" s="35"/>
      <c r="T298" s="35"/>
      <c r="U298" s="35"/>
      <c r="V298" s="35"/>
      <c r="W298" s="35"/>
      <c r="X298" s="35"/>
      <c r="Y298" s="35"/>
      <c r="Z298" s="35"/>
      <c r="AA298" s="35"/>
      <c r="AB298" s="35"/>
      <c r="AC298" s="35"/>
      <c r="AD298" s="35"/>
      <c r="AE298" s="35"/>
      <c r="AF298" s="35"/>
      <c r="AG298" s="90"/>
    </row>
    <row r="299" spans="1:33" x14ac:dyDescent="0.25">
      <c r="A299" s="35"/>
      <c r="B299" s="35"/>
      <c r="C299" s="35"/>
      <c r="D299" s="35"/>
      <c r="E299" s="35"/>
      <c r="F299" s="35"/>
      <c r="G299" s="35"/>
      <c r="H299" s="35"/>
      <c r="I299" s="35"/>
      <c r="J299" s="35"/>
      <c r="K299" s="35"/>
      <c r="L299" s="35"/>
      <c r="M299" s="35"/>
      <c r="N299" s="35"/>
      <c r="O299" s="35"/>
      <c r="P299" s="35"/>
      <c r="Q299" s="35"/>
      <c r="R299" s="35"/>
      <c r="S299" s="35"/>
      <c r="T299" s="35"/>
      <c r="U299" s="35"/>
      <c r="V299" s="35"/>
      <c r="W299" s="35"/>
      <c r="X299" s="35"/>
      <c r="Y299" s="35"/>
      <c r="Z299" s="35"/>
      <c r="AA299" s="35"/>
      <c r="AB299" s="35"/>
      <c r="AC299" s="35"/>
      <c r="AD299" s="35"/>
      <c r="AE299" s="35"/>
      <c r="AF299" s="35"/>
      <c r="AG299" s="90"/>
    </row>
    <row r="300" spans="1:33" x14ac:dyDescent="0.25">
      <c r="A300" s="35"/>
      <c r="B300" s="35"/>
      <c r="C300" s="35"/>
      <c r="D300" s="35"/>
      <c r="E300" s="35"/>
      <c r="F300" s="35"/>
      <c r="G300" s="35"/>
      <c r="H300" s="35"/>
      <c r="I300" s="35"/>
      <c r="J300" s="35"/>
      <c r="K300" s="35"/>
      <c r="L300" s="35"/>
      <c r="M300" s="35"/>
      <c r="N300" s="35"/>
      <c r="O300" s="35"/>
      <c r="P300" s="35"/>
      <c r="Q300" s="35"/>
      <c r="R300" s="35"/>
      <c r="S300" s="35"/>
      <c r="T300" s="35"/>
      <c r="U300" s="35"/>
      <c r="V300" s="35"/>
      <c r="W300" s="35"/>
      <c r="X300" s="35"/>
      <c r="Y300" s="35"/>
      <c r="Z300" s="35"/>
      <c r="AA300" s="35"/>
      <c r="AB300" s="35"/>
      <c r="AC300" s="35"/>
      <c r="AD300" s="35"/>
      <c r="AE300" s="35"/>
      <c r="AF300" s="35"/>
      <c r="AG300" s="90"/>
    </row>
    <row r="301" spans="1:33" x14ac:dyDescent="0.25">
      <c r="A301" s="35"/>
      <c r="B301" s="35"/>
      <c r="C301" s="35"/>
      <c r="D301" s="35"/>
      <c r="E301" s="35"/>
      <c r="F301" s="35"/>
      <c r="G301" s="35"/>
      <c r="H301" s="35"/>
      <c r="I301" s="35"/>
      <c r="J301" s="35"/>
      <c r="K301" s="35"/>
      <c r="L301" s="35"/>
      <c r="M301" s="35"/>
      <c r="N301" s="35"/>
      <c r="O301" s="35"/>
      <c r="P301" s="35"/>
      <c r="Q301" s="35"/>
      <c r="R301" s="35"/>
      <c r="S301" s="35"/>
      <c r="T301" s="35"/>
      <c r="U301" s="35"/>
      <c r="V301" s="35"/>
      <c r="W301" s="35"/>
      <c r="X301" s="35"/>
      <c r="Y301" s="35"/>
      <c r="Z301" s="35"/>
      <c r="AA301" s="35"/>
      <c r="AB301" s="35"/>
      <c r="AC301" s="35"/>
      <c r="AD301" s="35"/>
      <c r="AE301" s="35"/>
      <c r="AF301" s="35"/>
      <c r="AG301" s="90"/>
    </row>
    <row r="302" spans="1:33" x14ac:dyDescent="0.25">
      <c r="A302" s="35"/>
      <c r="B302" s="35"/>
      <c r="C302" s="35"/>
      <c r="D302" s="35"/>
      <c r="E302" s="35"/>
      <c r="F302" s="35"/>
      <c r="G302" s="35"/>
      <c r="H302" s="35"/>
      <c r="I302" s="35"/>
      <c r="J302" s="35"/>
      <c r="K302" s="35"/>
      <c r="L302" s="35"/>
      <c r="M302" s="35"/>
      <c r="N302" s="35"/>
      <c r="O302" s="35"/>
      <c r="P302" s="35"/>
      <c r="Q302" s="35"/>
      <c r="R302" s="35"/>
      <c r="S302" s="35"/>
      <c r="T302" s="35"/>
      <c r="U302" s="35"/>
      <c r="V302" s="35"/>
      <c r="W302" s="35"/>
      <c r="X302" s="35"/>
      <c r="Y302" s="35"/>
      <c r="Z302" s="35"/>
      <c r="AA302" s="35"/>
      <c r="AB302" s="35"/>
      <c r="AC302" s="35"/>
      <c r="AD302" s="35"/>
      <c r="AE302" s="35"/>
      <c r="AF302" s="35"/>
      <c r="AG302" s="90"/>
    </row>
    <row r="303" spans="1:33" x14ac:dyDescent="0.25">
      <c r="A303" s="35"/>
      <c r="B303" s="35"/>
      <c r="C303" s="35"/>
      <c r="D303" s="35"/>
      <c r="E303" s="35"/>
      <c r="F303" s="35"/>
      <c r="G303" s="35"/>
      <c r="H303" s="35"/>
      <c r="I303" s="35"/>
      <c r="J303" s="35"/>
      <c r="K303" s="35"/>
      <c r="L303" s="35"/>
      <c r="M303" s="35"/>
      <c r="N303" s="35"/>
      <c r="O303" s="35"/>
      <c r="P303" s="35"/>
      <c r="Q303" s="35"/>
      <c r="R303" s="35"/>
      <c r="S303" s="35"/>
      <c r="T303" s="35"/>
      <c r="U303" s="35"/>
      <c r="V303" s="35"/>
      <c r="W303" s="35"/>
      <c r="X303" s="35"/>
      <c r="Y303" s="35"/>
      <c r="Z303" s="35"/>
      <c r="AA303" s="35"/>
      <c r="AB303" s="35"/>
      <c r="AC303" s="35"/>
      <c r="AD303" s="35"/>
      <c r="AE303" s="35"/>
      <c r="AF303" s="35"/>
      <c r="AG303" s="90"/>
    </row>
    <row r="304" spans="1:33" x14ac:dyDescent="0.25">
      <c r="A304" s="35"/>
      <c r="B304" s="35"/>
      <c r="C304" s="35"/>
      <c r="D304" s="35"/>
      <c r="E304" s="35"/>
      <c r="F304" s="35"/>
      <c r="G304" s="35"/>
      <c r="H304" s="35"/>
      <c r="I304" s="35"/>
      <c r="J304" s="35"/>
      <c r="K304" s="35"/>
      <c r="L304" s="35"/>
      <c r="M304" s="35"/>
      <c r="N304" s="35"/>
      <c r="O304" s="35"/>
      <c r="P304" s="35"/>
      <c r="Q304" s="35"/>
      <c r="R304" s="35"/>
      <c r="S304" s="35"/>
      <c r="T304" s="35"/>
      <c r="U304" s="35"/>
      <c r="V304" s="35"/>
      <c r="W304" s="35"/>
      <c r="X304" s="35"/>
      <c r="Y304" s="35"/>
      <c r="Z304" s="35"/>
      <c r="AA304" s="35"/>
      <c r="AB304" s="35"/>
      <c r="AC304" s="35"/>
      <c r="AD304" s="35"/>
      <c r="AE304" s="35"/>
      <c r="AF304" s="35"/>
      <c r="AG304" s="90"/>
    </row>
    <row r="305" spans="1:33" x14ac:dyDescent="0.25">
      <c r="A305" s="35"/>
      <c r="B305" s="35"/>
      <c r="C305" s="35"/>
      <c r="D305" s="35"/>
      <c r="E305" s="35"/>
      <c r="F305" s="35"/>
      <c r="G305" s="35"/>
      <c r="H305" s="35"/>
      <c r="I305" s="35"/>
      <c r="J305" s="35"/>
      <c r="K305" s="35"/>
      <c r="L305" s="35"/>
      <c r="M305" s="35"/>
      <c r="N305" s="35"/>
      <c r="O305" s="35"/>
      <c r="P305" s="35"/>
      <c r="Q305" s="35"/>
      <c r="R305" s="35"/>
      <c r="S305" s="35"/>
      <c r="T305" s="35"/>
      <c r="U305" s="35"/>
      <c r="V305" s="35"/>
      <c r="W305" s="35"/>
      <c r="X305" s="35"/>
      <c r="Y305" s="35"/>
      <c r="Z305" s="35"/>
      <c r="AA305" s="35"/>
      <c r="AB305" s="35"/>
      <c r="AC305" s="35"/>
      <c r="AD305" s="35"/>
      <c r="AE305" s="35"/>
      <c r="AF305" s="35"/>
      <c r="AG305" s="90"/>
    </row>
    <row r="306" spans="1:33" x14ac:dyDescent="0.25">
      <c r="A306" s="35"/>
      <c r="B306" s="35"/>
      <c r="C306" s="35"/>
      <c r="D306" s="35"/>
      <c r="E306" s="35"/>
      <c r="F306" s="35"/>
      <c r="G306" s="35"/>
      <c r="H306" s="35"/>
      <c r="I306" s="35"/>
      <c r="J306" s="35"/>
      <c r="K306" s="35"/>
      <c r="L306" s="35"/>
      <c r="M306" s="35"/>
      <c r="N306" s="35"/>
      <c r="O306" s="35"/>
      <c r="P306" s="35"/>
      <c r="Q306" s="35"/>
      <c r="R306" s="35"/>
      <c r="S306" s="35"/>
      <c r="T306" s="35"/>
      <c r="U306" s="35"/>
      <c r="V306" s="35"/>
      <c r="W306" s="35"/>
      <c r="X306" s="35"/>
      <c r="Y306" s="35"/>
      <c r="Z306" s="35"/>
      <c r="AA306" s="35"/>
      <c r="AB306" s="35"/>
      <c r="AC306" s="35"/>
      <c r="AD306" s="35"/>
      <c r="AE306" s="35"/>
      <c r="AF306" s="35"/>
      <c r="AG306" s="90"/>
    </row>
    <row r="307" spans="1:33" x14ac:dyDescent="0.25">
      <c r="A307" s="35"/>
      <c r="B307" s="35"/>
      <c r="C307" s="35"/>
      <c r="D307" s="35"/>
      <c r="E307" s="35"/>
      <c r="F307" s="35"/>
      <c r="G307" s="35"/>
      <c r="H307" s="35"/>
      <c r="I307" s="35"/>
      <c r="J307" s="35"/>
      <c r="K307" s="35"/>
      <c r="L307" s="35"/>
      <c r="M307" s="35"/>
      <c r="N307" s="35"/>
      <c r="O307" s="35"/>
      <c r="P307" s="35"/>
      <c r="Q307" s="35"/>
      <c r="R307" s="35"/>
      <c r="S307" s="35"/>
      <c r="T307" s="35"/>
      <c r="U307" s="35"/>
      <c r="V307" s="35"/>
      <c r="W307" s="35"/>
      <c r="X307" s="35"/>
      <c r="Y307" s="35"/>
      <c r="Z307" s="35"/>
      <c r="AA307" s="35"/>
      <c r="AB307" s="35"/>
      <c r="AC307" s="35"/>
      <c r="AD307" s="35"/>
      <c r="AE307" s="35"/>
      <c r="AF307" s="35"/>
      <c r="AG307" s="90"/>
    </row>
    <row r="308" spans="1:33" x14ac:dyDescent="0.25">
      <c r="A308" s="35"/>
      <c r="B308" s="35"/>
      <c r="C308" s="35"/>
      <c r="D308" s="35"/>
      <c r="E308" s="35"/>
      <c r="F308" s="35"/>
      <c r="G308" s="35"/>
      <c r="H308" s="35"/>
      <c r="I308" s="35"/>
      <c r="J308" s="35"/>
      <c r="K308" s="35"/>
      <c r="L308" s="35"/>
      <c r="M308" s="35"/>
      <c r="N308" s="35"/>
      <c r="O308" s="35"/>
      <c r="P308" s="35"/>
      <c r="Q308" s="35"/>
      <c r="R308" s="35"/>
      <c r="S308" s="35"/>
      <c r="T308" s="35"/>
      <c r="U308" s="35"/>
      <c r="V308" s="35"/>
      <c r="W308" s="35"/>
      <c r="X308" s="35"/>
      <c r="Y308" s="35"/>
      <c r="Z308" s="35"/>
      <c r="AA308" s="35"/>
      <c r="AB308" s="35"/>
      <c r="AC308" s="35"/>
      <c r="AD308" s="35"/>
      <c r="AE308" s="35"/>
      <c r="AF308" s="35"/>
      <c r="AG308" s="90"/>
    </row>
    <row r="309" spans="1:33" x14ac:dyDescent="0.25">
      <c r="A309" s="35"/>
      <c r="B309" s="35"/>
      <c r="C309" s="35"/>
      <c r="D309" s="35"/>
      <c r="E309" s="35"/>
      <c r="F309" s="35"/>
      <c r="G309" s="35"/>
      <c r="H309" s="35"/>
      <c r="I309" s="35"/>
      <c r="J309" s="35"/>
      <c r="K309" s="35"/>
      <c r="L309" s="35"/>
      <c r="M309" s="35"/>
      <c r="N309" s="35"/>
      <c r="O309" s="35"/>
      <c r="P309" s="35"/>
      <c r="Q309" s="35"/>
      <c r="R309" s="35"/>
      <c r="S309" s="35"/>
      <c r="T309" s="35"/>
      <c r="U309" s="35"/>
      <c r="V309" s="35"/>
      <c r="W309" s="35"/>
      <c r="X309" s="35"/>
      <c r="Y309" s="35"/>
      <c r="Z309" s="35"/>
      <c r="AA309" s="35"/>
      <c r="AB309" s="35"/>
      <c r="AC309" s="35"/>
      <c r="AD309" s="35"/>
      <c r="AE309" s="35"/>
      <c r="AF309" s="35"/>
      <c r="AG309" s="90"/>
    </row>
    <row r="310" spans="1:33" x14ac:dyDescent="0.25">
      <c r="A310" s="35"/>
      <c r="B310" s="35"/>
      <c r="C310" s="35"/>
      <c r="D310" s="35"/>
      <c r="E310" s="35"/>
      <c r="F310" s="35"/>
      <c r="G310" s="35"/>
      <c r="H310" s="35"/>
      <c r="I310" s="35"/>
      <c r="J310" s="35"/>
      <c r="K310" s="35"/>
      <c r="L310" s="35"/>
      <c r="M310" s="35"/>
      <c r="N310" s="35"/>
      <c r="O310" s="35"/>
      <c r="P310" s="35"/>
      <c r="Q310" s="35"/>
      <c r="R310" s="35"/>
      <c r="S310" s="35"/>
      <c r="T310" s="35"/>
      <c r="U310" s="35"/>
      <c r="V310" s="35"/>
      <c r="W310" s="35"/>
      <c r="X310" s="35"/>
      <c r="Y310" s="35"/>
      <c r="Z310" s="35"/>
      <c r="AA310" s="35"/>
      <c r="AB310" s="35"/>
      <c r="AC310" s="35"/>
      <c r="AD310" s="35"/>
      <c r="AE310" s="35"/>
      <c r="AF310" s="35"/>
      <c r="AG310" s="90"/>
    </row>
    <row r="311" spans="1:33" x14ac:dyDescent="0.25">
      <c r="A311" s="35"/>
      <c r="B311" s="35"/>
      <c r="C311" s="35"/>
      <c r="D311" s="35"/>
      <c r="E311" s="35"/>
      <c r="F311" s="35"/>
      <c r="G311" s="35"/>
      <c r="H311" s="35"/>
      <c r="I311" s="35"/>
      <c r="J311" s="35"/>
      <c r="K311" s="35"/>
      <c r="L311" s="35"/>
      <c r="M311" s="35"/>
      <c r="N311" s="35"/>
      <c r="O311" s="35"/>
      <c r="P311" s="35"/>
      <c r="Q311" s="35"/>
      <c r="R311" s="35"/>
      <c r="S311" s="35"/>
      <c r="T311" s="35"/>
      <c r="U311" s="35"/>
      <c r="V311" s="35"/>
      <c r="W311" s="35"/>
      <c r="X311" s="35"/>
      <c r="Y311" s="35"/>
      <c r="Z311" s="35"/>
      <c r="AA311" s="35"/>
      <c r="AB311" s="35"/>
      <c r="AC311" s="35"/>
      <c r="AD311" s="35"/>
      <c r="AE311" s="35"/>
      <c r="AF311" s="35"/>
      <c r="AG311" s="90"/>
    </row>
    <row r="312" spans="1:33" x14ac:dyDescent="0.25">
      <c r="A312" s="35"/>
      <c r="B312" s="35"/>
      <c r="C312" s="35"/>
      <c r="D312" s="35"/>
      <c r="E312" s="35"/>
      <c r="F312" s="35"/>
      <c r="G312" s="35"/>
      <c r="H312" s="35"/>
      <c r="I312" s="35"/>
      <c r="J312" s="35"/>
      <c r="K312" s="35"/>
      <c r="L312" s="35"/>
      <c r="M312" s="35"/>
      <c r="N312" s="35"/>
      <c r="O312" s="35"/>
      <c r="P312" s="35"/>
      <c r="Q312" s="35"/>
      <c r="R312" s="35"/>
      <c r="S312" s="35"/>
      <c r="T312" s="35"/>
      <c r="U312" s="35"/>
      <c r="V312" s="35"/>
      <c r="W312" s="35"/>
      <c r="X312" s="35"/>
      <c r="Y312" s="35"/>
      <c r="Z312" s="35"/>
      <c r="AA312" s="35"/>
      <c r="AB312" s="35"/>
      <c r="AC312" s="35"/>
      <c r="AD312" s="35"/>
      <c r="AE312" s="35"/>
      <c r="AF312" s="35"/>
      <c r="AG312" s="90"/>
    </row>
    <row r="313" spans="1:33" x14ac:dyDescent="0.25">
      <c r="A313" s="35"/>
      <c r="B313" s="35"/>
      <c r="C313" s="35"/>
      <c r="D313" s="35"/>
      <c r="E313" s="35"/>
      <c r="F313" s="35"/>
      <c r="G313" s="35"/>
      <c r="H313" s="35"/>
      <c r="I313" s="35"/>
      <c r="J313" s="35"/>
      <c r="K313" s="35"/>
      <c r="L313" s="35"/>
      <c r="M313" s="35"/>
      <c r="N313" s="35"/>
      <c r="O313" s="35"/>
      <c r="P313" s="35"/>
      <c r="Q313" s="35"/>
      <c r="R313" s="35"/>
      <c r="S313" s="35"/>
      <c r="T313" s="35"/>
      <c r="U313" s="35"/>
      <c r="V313" s="35"/>
      <c r="W313" s="35"/>
      <c r="X313" s="35"/>
      <c r="Y313" s="35"/>
      <c r="Z313" s="35"/>
      <c r="AA313" s="35"/>
      <c r="AB313" s="35"/>
      <c r="AC313" s="35"/>
      <c r="AD313" s="35"/>
      <c r="AE313" s="35"/>
      <c r="AF313" s="35"/>
      <c r="AG313" s="90"/>
    </row>
    <row r="314" spans="1:33" x14ac:dyDescent="0.25">
      <c r="A314" s="35"/>
      <c r="B314" s="35"/>
      <c r="C314" s="35"/>
      <c r="D314" s="35"/>
      <c r="E314" s="35"/>
      <c r="F314" s="35"/>
      <c r="G314" s="35"/>
      <c r="H314" s="35"/>
      <c r="I314" s="35"/>
      <c r="J314" s="35"/>
      <c r="K314" s="35"/>
      <c r="L314" s="35"/>
      <c r="M314" s="35"/>
      <c r="N314" s="35"/>
      <c r="O314" s="35"/>
      <c r="P314" s="35"/>
      <c r="Q314" s="35"/>
      <c r="R314" s="35"/>
      <c r="S314" s="35"/>
      <c r="T314" s="35"/>
      <c r="U314" s="35"/>
      <c r="V314" s="35"/>
      <c r="W314" s="35"/>
      <c r="X314" s="35"/>
      <c r="Y314" s="35"/>
      <c r="Z314" s="35"/>
      <c r="AA314" s="35"/>
      <c r="AB314" s="35"/>
      <c r="AC314" s="35"/>
      <c r="AD314" s="35"/>
      <c r="AE314" s="35"/>
      <c r="AF314" s="35"/>
      <c r="AG314" s="90"/>
    </row>
    <row r="315" spans="1:33" x14ac:dyDescent="0.25">
      <c r="A315" s="35"/>
      <c r="B315" s="35"/>
      <c r="C315" s="35"/>
      <c r="D315" s="35"/>
      <c r="E315" s="35"/>
      <c r="F315" s="35"/>
      <c r="G315" s="35"/>
      <c r="H315" s="35"/>
      <c r="I315" s="35"/>
      <c r="J315" s="35"/>
      <c r="K315" s="35"/>
      <c r="L315" s="35"/>
      <c r="M315" s="35"/>
      <c r="N315" s="35"/>
      <c r="O315" s="35"/>
      <c r="P315" s="35"/>
      <c r="Q315" s="35"/>
      <c r="R315" s="35"/>
      <c r="S315" s="35"/>
      <c r="T315" s="35"/>
      <c r="U315" s="35"/>
      <c r="V315" s="35"/>
      <c r="W315" s="35"/>
      <c r="X315" s="35"/>
      <c r="Y315" s="35"/>
      <c r="Z315" s="35"/>
      <c r="AA315" s="35"/>
      <c r="AB315" s="35"/>
      <c r="AC315" s="35"/>
      <c r="AD315" s="35"/>
      <c r="AE315" s="35"/>
      <c r="AF315" s="35"/>
      <c r="AG315" s="90"/>
    </row>
    <row r="316" spans="1:33" x14ac:dyDescent="0.25">
      <c r="A316" s="35"/>
      <c r="B316" s="35"/>
      <c r="C316" s="35"/>
      <c r="D316" s="35"/>
      <c r="E316" s="35"/>
      <c r="F316" s="35"/>
      <c r="G316" s="35"/>
      <c r="H316" s="35"/>
      <c r="I316" s="35"/>
      <c r="J316" s="35"/>
      <c r="K316" s="35"/>
      <c r="L316" s="35"/>
      <c r="M316" s="35"/>
      <c r="N316" s="35"/>
      <c r="O316" s="35"/>
      <c r="P316" s="35"/>
      <c r="Q316" s="35"/>
      <c r="R316" s="35"/>
      <c r="S316" s="35"/>
      <c r="T316" s="35"/>
      <c r="U316" s="35"/>
      <c r="V316" s="35"/>
      <c r="W316" s="35"/>
      <c r="X316" s="35"/>
      <c r="Y316" s="35"/>
      <c r="Z316" s="35"/>
      <c r="AA316" s="35"/>
      <c r="AB316" s="35"/>
      <c r="AC316" s="35"/>
      <c r="AD316" s="35"/>
      <c r="AE316" s="35"/>
      <c r="AF316" s="35"/>
      <c r="AG316" s="90"/>
    </row>
    <row r="317" spans="1:33" x14ac:dyDescent="0.25">
      <c r="A317" s="35"/>
      <c r="B317" s="35"/>
      <c r="C317" s="35"/>
      <c r="D317" s="35"/>
      <c r="E317" s="35"/>
      <c r="F317" s="35"/>
      <c r="G317" s="35"/>
      <c r="H317" s="35"/>
      <c r="I317" s="35"/>
      <c r="J317" s="35"/>
      <c r="K317" s="35"/>
      <c r="L317" s="35"/>
      <c r="M317" s="35"/>
      <c r="N317" s="35"/>
      <c r="O317" s="35"/>
      <c r="P317" s="35"/>
      <c r="Q317" s="35"/>
      <c r="R317" s="35"/>
      <c r="S317" s="35"/>
      <c r="T317" s="35"/>
      <c r="U317" s="35"/>
      <c r="V317" s="35"/>
      <c r="W317" s="35"/>
      <c r="X317" s="35"/>
      <c r="Y317" s="35"/>
      <c r="Z317" s="35"/>
      <c r="AA317" s="35"/>
      <c r="AB317" s="35"/>
      <c r="AC317" s="35"/>
      <c r="AD317" s="35"/>
      <c r="AE317" s="35"/>
      <c r="AF317" s="35"/>
      <c r="AG317" s="90"/>
    </row>
    <row r="318" spans="1:33" x14ac:dyDescent="0.25">
      <c r="A318" s="35"/>
      <c r="B318" s="35"/>
      <c r="C318" s="35"/>
      <c r="D318" s="35"/>
      <c r="E318" s="35"/>
      <c r="F318" s="35"/>
      <c r="G318" s="35"/>
      <c r="H318" s="35"/>
      <c r="I318" s="35"/>
      <c r="J318" s="35"/>
      <c r="K318" s="35"/>
      <c r="L318" s="35"/>
      <c r="M318" s="35"/>
      <c r="N318" s="35"/>
      <c r="O318" s="35"/>
      <c r="P318" s="35"/>
      <c r="Q318" s="35"/>
      <c r="R318" s="35"/>
      <c r="S318" s="35"/>
      <c r="T318" s="35"/>
      <c r="U318" s="35"/>
      <c r="V318" s="35"/>
      <c r="W318" s="35"/>
      <c r="X318" s="35"/>
      <c r="Y318" s="35"/>
      <c r="Z318" s="35"/>
      <c r="AA318" s="35"/>
      <c r="AB318" s="35"/>
      <c r="AC318" s="35"/>
      <c r="AD318" s="35"/>
      <c r="AE318" s="35"/>
      <c r="AF318" s="35"/>
      <c r="AG318" s="90"/>
    </row>
    <row r="319" spans="1:33" x14ac:dyDescent="0.25">
      <c r="A319" s="35"/>
      <c r="B319" s="35"/>
      <c r="C319" s="35"/>
      <c r="D319" s="35"/>
      <c r="E319" s="35"/>
      <c r="F319" s="35"/>
      <c r="G319" s="35"/>
      <c r="H319" s="35"/>
      <c r="I319" s="35"/>
      <c r="J319" s="35"/>
      <c r="K319" s="35"/>
      <c r="L319" s="35"/>
      <c r="M319" s="35"/>
      <c r="N319" s="35"/>
      <c r="O319" s="35"/>
      <c r="P319" s="35"/>
      <c r="Q319" s="35"/>
      <c r="R319" s="35"/>
      <c r="S319" s="35"/>
      <c r="T319" s="35"/>
      <c r="U319" s="35"/>
      <c r="V319" s="35"/>
      <c r="W319" s="35"/>
      <c r="X319" s="35"/>
      <c r="Y319" s="35"/>
      <c r="Z319" s="35"/>
      <c r="AA319" s="35"/>
      <c r="AB319" s="35"/>
      <c r="AC319" s="35"/>
      <c r="AD319" s="35"/>
      <c r="AE319" s="35"/>
      <c r="AF319" s="35"/>
      <c r="AG319" s="90"/>
    </row>
    <row r="320" spans="1:33" x14ac:dyDescent="0.25">
      <c r="A320" s="35"/>
      <c r="B320" s="35"/>
      <c r="C320" s="35"/>
      <c r="D320" s="35"/>
      <c r="E320" s="35"/>
      <c r="F320" s="35"/>
      <c r="G320" s="35"/>
      <c r="H320" s="35"/>
      <c r="I320" s="35"/>
      <c r="J320" s="35"/>
      <c r="K320" s="35"/>
      <c r="L320" s="35"/>
      <c r="M320" s="35"/>
      <c r="N320" s="35"/>
      <c r="O320" s="35"/>
      <c r="P320" s="35"/>
      <c r="Q320" s="35"/>
      <c r="R320" s="35"/>
      <c r="S320" s="35"/>
      <c r="T320" s="35"/>
      <c r="U320" s="35"/>
      <c r="V320" s="35"/>
      <c r="W320" s="35"/>
      <c r="X320" s="35"/>
      <c r="Y320" s="35"/>
      <c r="Z320" s="35"/>
      <c r="AA320" s="35"/>
      <c r="AB320" s="35"/>
      <c r="AC320" s="35"/>
      <c r="AD320" s="35"/>
      <c r="AE320" s="35"/>
      <c r="AF320" s="35"/>
      <c r="AG320" s="90"/>
    </row>
    <row r="321" spans="1:33" x14ac:dyDescent="0.25">
      <c r="A321" s="35"/>
      <c r="B321" s="35"/>
      <c r="C321" s="35"/>
      <c r="D321" s="35"/>
      <c r="E321" s="35"/>
      <c r="F321" s="35"/>
      <c r="G321" s="35"/>
      <c r="H321" s="35"/>
      <c r="I321" s="35"/>
      <c r="J321" s="35"/>
      <c r="K321" s="35"/>
      <c r="L321" s="35"/>
      <c r="M321" s="35"/>
      <c r="N321" s="35"/>
      <c r="O321" s="35"/>
      <c r="P321" s="35"/>
      <c r="Q321" s="35"/>
      <c r="R321" s="35"/>
      <c r="S321" s="35"/>
      <c r="T321" s="35"/>
      <c r="U321" s="35"/>
      <c r="V321" s="35"/>
      <c r="W321" s="35"/>
      <c r="X321" s="35"/>
      <c r="Y321" s="35"/>
      <c r="Z321" s="35"/>
      <c r="AA321" s="35"/>
      <c r="AB321" s="35"/>
      <c r="AC321" s="35"/>
      <c r="AD321" s="35"/>
      <c r="AE321" s="35"/>
      <c r="AF321" s="35"/>
      <c r="AG321" s="90"/>
    </row>
    <row r="322" spans="1:33" x14ac:dyDescent="0.25">
      <c r="A322" s="35"/>
      <c r="B322" s="35"/>
      <c r="C322" s="35"/>
      <c r="D322" s="35"/>
      <c r="E322" s="35"/>
      <c r="F322" s="35"/>
      <c r="G322" s="35"/>
      <c r="H322" s="35"/>
      <c r="I322" s="35"/>
      <c r="J322" s="35"/>
      <c r="K322" s="35"/>
      <c r="L322" s="35"/>
      <c r="M322" s="35"/>
      <c r="N322" s="35"/>
      <c r="O322" s="35"/>
      <c r="P322" s="35"/>
      <c r="Q322" s="35"/>
      <c r="R322" s="35"/>
      <c r="S322" s="35"/>
      <c r="T322" s="35"/>
      <c r="U322" s="35"/>
      <c r="V322" s="35"/>
      <c r="W322" s="35"/>
      <c r="X322" s="35"/>
      <c r="Y322" s="35"/>
      <c r="Z322" s="35"/>
      <c r="AA322" s="35"/>
      <c r="AB322" s="35"/>
      <c r="AC322" s="35"/>
      <c r="AD322" s="35"/>
      <c r="AE322" s="35"/>
      <c r="AF322" s="35"/>
      <c r="AG322" s="90"/>
    </row>
    <row r="323" spans="1:33" x14ac:dyDescent="0.25">
      <c r="A323" s="35"/>
      <c r="B323" s="35"/>
      <c r="C323" s="35"/>
      <c r="D323" s="35"/>
      <c r="E323" s="35"/>
      <c r="F323" s="35"/>
      <c r="G323" s="35"/>
      <c r="H323" s="35"/>
      <c r="I323" s="35"/>
      <c r="J323" s="35"/>
      <c r="K323" s="35"/>
      <c r="L323" s="35"/>
      <c r="M323" s="35"/>
      <c r="N323" s="35"/>
      <c r="O323" s="35"/>
      <c r="P323" s="35"/>
      <c r="Q323" s="35"/>
      <c r="R323" s="35"/>
      <c r="S323" s="35"/>
      <c r="T323" s="35"/>
      <c r="U323" s="35"/>
      <c r="V323" s="35"/>
      <c r="W323" s="35"/>
      <c r="X323" s="35"/>
      <c r="Y323" s="35"/>
      <c r="Z323" s="35"/>
      <c r="AA323" s="35"/>
      <c r="AB323" s="35"/>
      <c r="AC323" s="35"/>
      <c r="AD323" s="35"/>
      <c r="AE323" s="35"/>
      <c r="AF323" s="35"/>
      <c r="AG323" s="90"/>
    </row>
    <row r="324" spans="1:33" x14ac:dyDescent="0.25">
      <c r="A324" s="35"/>
      <c r="B324" s="35"/>
      <c r="C324" s="35"/>
      <c r="D324" s="35"/>
      <c r="E324" s="35"/>
      <c r="F324" s="35"/>
      <c r="G324" s="35"/>
      <c r="H324" s="35"/>
      <c r="I324" s="35"/>
      <c r="J324" s="35"/>
      <c r="K324" s="35"/>
      <c r="L324" s="35"/>
      <c r="M324" s="35"/>
      <c r="N324" s="35"/>
      <c r="O324" s="35"/>
      <c r="P324" s="35"/>
      <c r="Q324" s="35"/>
      <c r="R324" s="35"/>
      <c r="S324" s="35"/>
      <c r="T324" s="35"/>
      <c r="U324" s="35"/>
      <c r="V324" s="35"/>
      <c r="W324" s="35"/>
      <c r="X324" s="35"/>
      <c r="Y324" s="35"/>
      <c r="Z324" s="35"/>
      <c r="AA324" s="35"/>
      <c r="AB324" s="35"/>
      <c r="AC324" s="35"/>
      <c r="AD324" s="35"/>
      <c r="AE324" s="35"/>
      <c r="AF324" s="35"/>
      <c r="AG324" s="90"/>
    </row>
    <row r="325" spans="1:33" x14ac:dyDescent="0.25">
      <c r="A325" s="35"/>
      <c r="B325" s="35"/>
      <c r="C325" s="35"/>
      <c r="D325" s="35"/>
      <c r="E325" s="35"/>
      <c r="F325" s="35"/>
      <c r="G325" s="35"/>
      <c r="H325" s="35"/>
      <c r="I325" s="35"/>
      <c r="J325" s="35"/>
      <c r="K325" s="35"/>
      <c r="L325" s="35"/>
      <c r="M325" s="35"/>
      <c r="N325" s="35"/>
      <c r="O325" s="35"/>
      <c r="P325" s="35"/>
      <c r="Q325" s="35"/>
      <c r="R325" s="35"/>
      <c r="S325" s="35"/>
      <c r="T325" s="35"/>
      <c r="U325" s="35"/>
      <c r="V325" s="35"/>
      <c r="W325" s="35"/>
      <c r="X325" s="35"/>
      <c r="Y325" s="35"/>
      <c r="Z325" s="35"/>
      <c r="AA325" s="35"/>
      <c r="AB325" s="35"/>
      <c r="AC325" s="35"/>
      <c r="AD325" s="35"/>
      <c r="AE325" s="35"/>
      <c r="AF325" s="35"/>
      <c r="AG325" s="90"/>
    </row>
    <row r="326" spans="1:33" x14ac:dyDescent="0.25">
      <c r="A326" s="35"/>
      <c r="B326" s="35"/>
      <c r="C326" s="35"/>
      <c r="D326" s="35"/>
      <c r="E326" s="35"/>
      <c r="F326" s="35"/>
      <c r="G326" s="35"/>
      <c r="H326" s="35"/>
      <c r="I326" s="35"/>
      <c r="J326" s="35"/>
      <c r="K326" s="35"/>
      <c r="L326" s="35"/>
      <c r="M326" s="35"/>
      <c r="N326" s="35"/>
      <c r="O326" s="35"/>
      <c r="P326" s="35"/>
      <c r="Q326" s="35"/>
      <c r="R326" s="35"/>
      <c r="S326" s="35"/>
      <c r="T326" s="35"/>
      <c r="U326" s="35"/>
      <c r="V326" s="35"/>
      <c r="W326" s="35"/>
      <c r="X326" s="35"/>
      <c r="Y326" s="35"/>
      <c r="Z326" s="35"/>
      <c r="AA326" s="35"/>
      <c r="AB326" s="35"/>
      <c r="AC326" s="35"/>
      <c r="AD326" s="35"/>
      <c r="AE326" s="35"/>
      <c r="AF326" s="35"/>
      <c r="AG326" s="90"/>
    </row>
    <row r="327" spans="1:33" x14ac:dyDescent="0.25">
      <c r="A327" s="35"/>
      <c r="B327" s="35"/>
      <c r="C327" s="35"/>
      <c r="D327" s="35"/>
      <c r="E327" s="35"/>
      <c r="F327" s="35"/>
      <c r="G327" s="35"/>
      <c r="H327" s="35"/>
      <c r="I327" s="35"/>
      <c r="J327" s="35"/>
      <c r="K327" s="35"/>
      <c r="L327" s="35"/>
      <c r="M327" s="35"/>
      <c r="N327" s="35"/>
      <c r="O327" s="35"/>
      <c r="P327" s="35"/>
      <c r="Q327" s="35"/>
      <c r="R327" s="35"/>
      <c r="S327" s="35"/>
      <c r="T327" s="35"/>
      <c r="U327" s="35"/>
      <c r="V327" s="35"/>
      <c r="W327" s="35"/>
      <c r="X327" s="35"/>
      <c r="Y327" s="35"/>
      <c r="Z327" s="35"/>
      <c r="AA327" s="35"/>
      <c r="AB327" s="35"/>
      <c r="AC327" s="35"/>
      <c r="AD327" s="35"/>
      <c r="AE327" s="35"/>
      <c r="AF327" s="35"/>
      <c r="AG327" s="90"/>
    </row>
    <row r="328" spans="1:33" x14ac:dyDescent="0.25">
      <c r="A328" s="35"/>
      <c r="B328" s="35"/>
      <c r="C328" s="35"/>
      <c r="D328" s="35"/>
      <c r="E328" s="35"/>
      <c r="F328" s="35"/>
      <c r="G328" s="35"/>
      <c r="H328" s="35"/>
      <c r="I328" s="35"/>
      <c r="J328" s="35"/>
      <c r="K328" s="35"/>
      <c r="L328" s="35"/>
      <c r="M328" s="35"/>
      <c r="N328" s="35"/>
      <c r="O328" s="35"/>
      <c r="P328" s="35"/>
      <c r="Q328" s="35"/>
      <c r="R328" s="35"/>
      <c r="S328" s="35"/>
      <c r="T328" s="35"/>
      <c r="U328" s="35"/>
      <c r="V328" s="35"/>
      <c r="W328" s="35"/>
      <c r="X328" s="35"/>
      <c r="Y328" s="35"/>
      <c r="Z328" s="35"/>
      <c r="AA328" s="35"/>
      <c r="AB328" s="35"/>
      <c r="AC328" s="35"/>
      <c r="AD328" s="35"/>
      <c r="AE328" s="35"/>
      <c r="AF328" s="35"/>
      <c r="AG328" s="90"/>
    </row>
    <row r="329" spans="1:33" x14ac:dyDescent="0.25">
      <c r="A329" s="35"/>
      <c r="B329" s="35"/>
      <c r="C329" s="35"/>
      <c r="D329" s="35"/>
      <c r="E329" s="35"/>
      <c r="F329" s="35"/>
      <c r="G329" s="35"/>
      <c r="H329" s="35"/>
      <c r="I329" s="35"/>
      <c r="J329" s="35"/>
      <c r="K329" s="35"/>
      <c r="L329" s="35"/>
      <c r="M329" s="35"/>
      <c r="N329" s="35"/>
      <c r="O329" s="35"/>
      <c r="P329" s="35"/>
      <c r="Q329" s="35"/>
      <c r="R329" s="35"/>
      <c r="S329" s="35"/>
      <c r="T329" s="35"/>
      <c r="U329" s="35"/>
      <c r="V329" s="35"/>
      <c r="W329" s="35"/>
      <c r="X329" s="35"/>
      <c r="Y329" s="35"/>
      <c r="Z329" s="35"/>
      <c r="AA329" s="35"/>
      <c r="AB329" s="35"/>
      <c r="AC329" s="35"/>
      <c r="AD329" s="35"/>
      <c r="AE329" s="35"/>
      <c r="AF329" s="35"/>
      <c r="AG329" s="90"/>
    </row>
    <row r="330" spans="1:33" x14ac:dyDescent="0.25">
      <c r="A330" s="35"/>
      <c r="B330" s="35"/>
      <c r="C330" s="35"/>
      <c r="D330" s="35"/>
      <c r="E330" s="35"/>
      <c r="F330" s="35"/>
      <c r="G330" s="35"/>
      <c r="H330" s="35"/>
      <c r="I330" s="35"/>
      <c r="J330" s="35"/>
      <c r="K330" s="35"/>
      <c r="L330" s="35"/>
      <c r="M330" s="35"/>
      <c r="N330" s="35"/>
      <c r="O330" s="35"/>
      <c r="P330" s="35"/>
      <c r="Q330" s="35"/>
      <c r="R330" s="35"/>
      <c r="S330" s="35"/>
      <c r="T330" s="35"/>
      <c r="U330" s="35"/>
      <c r="V330" s="35"/>
      <c r="W330" s="35"/>
      <c r="X330" s="35"/>
      <c r="Y330" s="35"/>
      <c r="Z330" s="35"/>
      <c r="AA330" s="35"/>
      <c r="AB330" s="35"/>
      <c r="AC330" s="35"/>
      <c r="AD330" s="35"/>
      <c r="AE330" s="35"/>
      <c r="AF330" s="35"/>
      <c r="AG330" s="90"/>
    </row>
    <row r="331" spans="1:33" x14ac:dyDescent="0.25">
      <c r="A331" s="35"/>
      <c r="B331" s="35"/>
      <c r="C331" s="35"/>
      <c r="D331" s="35"/>
      <c r="E331" s="35"/>
      <c r="F331" s="35"/>
      <c r="G331" s="35"/>
      <c r="H331" s="35"/>
      <c r="I331" s="35"/>
      <c r="J331" s="35"/>
      <c r="K331" s="35"/>
      <c r="L331" s="35"/>
      <c r="M331" s="35"/>
      <c r="N331" s="35"/>
      <c r="O331" s="35"/>
      <c r="P331" s="35"/>
      <c r="Q331" s="35"/>
      <c r="R331" s="35"/>
      <c r="S331" s="35"/>
      <c r="T331" s="35"/>
      <c r="U331" s="35"/>
      <c r="V331" s="35"/>
      <c r="W331" s="35"/>
      <c r="X331" s="35"/>
      <c r="Y331" s="35"/>
      <c r="Z331" s="35"/>
      <c r="AA331" s="35"/>
      <c r="AB331" s="35"/>
      <c r="AC331" s="35"/>
      <c r="AD331" s="35"/>
      <c r="AE331" s="35"/>
      <c r="AF331" s="35"/>
      <c r="AG331" s="90"/>
    </row>
    <row r="332" spans="1:33" x14ac:dyDescent="0.25">
      <c r="A332" s="35"/>
      <c r="B332" s="35"/>
      <c r="C332" s="35"/>
      <c r="D332" s="35"/>
      <c r="E332" s="35"/>
      <c r="F332" s="35"/>
      <c r="G332" s="35"/>
      <c r="H332" s="35"/>
      <c r="I332" s="35"/>
      <c r="J332" s="35"/>
      <c r="K332" s="35"/>
      <c r="L332" s="35"/>
      <c r="M332" s="35"/>
      <c r="N332" s="35"/>
      <c r="O332" s="35"/>
      <c r="P332" s="35"/>
      <c r="Q332" s="35"/>
      <c r="R332" s="35"/>
      <c r="S332" s="35"/>
      <c r="T332" s="35"/>
      <c r="U332" s="35"/>
      <c r="V332" s="35"/>
      <c r="W332" s="35"/>
      <c r="X332" s="35"/>
      <c r="Y332" s="35"/>
      <c r="Z332" s="35"/>
      <c r="AA332" s="35"/>
      <c r="AB332" s="35"/>
      <c r="AC332" s="35"/>
      <c r="AD332" s="35"/>
      <c r="AE332" s="35"/>
      <c r="AF332" s="35"/>
      <c r="AG332" s="90"/>
    </row>
    <row r="333" spans="1:33" x14ac:dyDescent="0.25">
      <c r="A333" s="35"/>
      <c r="B333" s="35"/>
      <c r="C333" s="35"/>
      <c r="D333" s="35"/>
      <c r="E333" s="35"/>
      <c r="F333" s="35"/>
      <c r="G333" s="35"/>
      <c r="H333" s="35"/>
      <c r="I333" s="35"/>
      <c r="J333" s="35"/>
      <c r="K333" s="35"/>
      <c r="L333" s="35"/>
      <c r="M333" s="35"/>
      <c r="N333" s="35"/>
      <c r="O333" s="35"/>
      <c r="P333" s="35"/>
      <c r="Q333" s="35"/>
      <c r="R333" s="35"/>
      <c r="S333" s="35"/>
      <c r="T333" s="35"/>
      <c r="U333" s="35"/>
      <c r="V333" s="35"/>
      <c r="W333" s="35"/>
      <c r="X333" s="35"/>
      <c r="Y333" s="35"/>
      <c r="Z333" s="35"/>
      <c r="AA333" s="35"/>
      <c r="AB333" s="35"/>
      <c r="AC333" s="35"/>
      <c r="AD333" s="35"/>
      <c r="AE333" s="35"/>
      <c r="AF333" s="35"/>
      <c r="AG333" s="90"/>
    </row>
    <row r="334" spans="1:33" x14ac:dyDescent="0.25">
      <c r="A334" s="35"/>
      <c r="B334" s="35"/>
      <c r="C334" s="35"/>
      <c r="D334" s="35"/>
      <c r="E334" s="35"/>
      <c r="F334" s="35"/>
      <c r="G334" s="35"/>
      <c r="H334" s="35"/>
      <c r="I334" s="35"/>
      <c r="J334" s="35"/>
      <c r="K334" s="35"/>
      <c r="L334" s="35"/>
      <c r="M334" s="35"/>
      <c r="N334" s="35"/>
      <c r="O334" s="35"/>
      <c r="P334" s="35"/>
      <c r="Q334" s="35"/>
      <c r="R334" s="35"/>
      <c r="S334" s="35"/>
      <c r="T334" s="35"/>
      <c r="U334" s="35"/>
      <c r="V334" s="35"/>
      <c r="W334" s="35"/>
      <c r="X334" s="35"/>
      <c r="Y334" s="35"/>
      <c r="Z334" s="35"/>
      <c r="AA334" s="35"/>
      <c r="AB334" s="35"/>
      <c r="AC334" s="35"/>
      <c r="AD334" s="35"/>
      <c r="AE334" s="35"/>
      <c r="AF334" s="35"/>
      <c r="AG334" s="90"/>
    </row>
    <row r="335" spans="1:33" x14ac:dyDescent="0.25">
      <c r="A335" s="35"/>
      <c r="B335" s="35"/>
      <c r="C335" s="35"/>
      <c r="D335" s="35"/>
      <c r="E335" s="35"/>
      <c r="F335" s="35"/>
      <c r="G335" s="35"/>
      <c r="H335" s="35"/>
      <c r="I335" s="35"/>
      <c r="J335" s="35"/>
      <c r="K335" s="35"/>
      <c r="L335" s="35"/>
      <c r="M335" s="35"/>
      <c r="N335" s="35"/>
      <c r="O335" s="35"/>
      <c r="P335" s="35"/>
      <c r="Q335" s="35"/>
      <c r="R335" s="35"/>
      <c r="S335" s="35"/>
      <c r="T335" s="35"/>
      <c r="U335" s="35"/>
      <c r="V335" s="35"/>
      <c r="W335" s="35"/>
      <c r="X335" s="35"/>
      <c r="Y335" s="35"/>
      <c r="Z335" s="35"/>
      <c r="AA335" s="35"/>
      <c r="AB335" s="35"/>
      <c r="AC335" s="35"/>
      <c r="AD335" s="35"/>
      <c r="AE335" s="35"/>
      <c r="AF335" s="35"/>
      <c r="AG335" s="90"/>
    </row>
    <row r="336" spans="1:33" x14ac:dyDescent="0.25">
      <c r="A336" s="35"/>
      <c r="B336" s="35"/>
      <c r="C336" s="35"/>
      <c r="D336" s="35"/>
      <c r="E336" s="35"/>
      <c r="F336" s="35"/>
      <c r="G336" s="35"/>
      <c r="H336" s="35"/>
      <c r="I336" s="35"/>
      <c r="J336" s="35"/>
      <c r="K336" s="35"/>
      <c r="L336" s="35"/>
      <c r="M336" s="35"/>
      <c r="N336" s="35"/>
      <c r="O336" s="35"/>
      <c r="P336" s="35"/>
      <c r="Q336" s="35"/>
      <c r="R336" s="35"/>
      <c r="S336" s="35"/>
      <c r="T336" s="35"/>
      <c r="U336" s="35"/>
      <c r="V336" s="35"/>
      <c r="W336" s="35"/>
      <c r="X336" s="35"/>
      <c r="Y336" s="35"/>
      <c r="Z336" s="35"/>
      <c r="AA336" s="35"/>
      <c r="AB336" s="35"/>
      <c r="AC336" s="35"/>
      <c r="AD336" s="35"/>
      <c r="AE336" s="35"/>
      <c r="AF336" s="35"/>
      <c r="AG336" s="90"/>
    </row>
    <row r="337" spans="1:33" x14ac:dyDescent="0.25">
      <c r="A337" s="35"/>
      <c r="B337" s="35"/>
      <c r="C337" s="35"/>
      <c r="D337" s="35"/>
      <c r="E337" s="35"/>
      <c r="F337" s="35"/>
      <c r="G337" s="35"/>
      <c r="H337" s="35"/>
      <c r="I337" s="35"/>
      <c r="J337" s="35"/>
      <c r="K337" s="35"/>
      <c r="L337" s="35"/>
      <c r="M337" s="35"/>
      <c r="N337" s="35"/>
      <c r="O337" s="35"/>
      <c r="P337" s="35"/>
      <c r="Q337" s="35"/>
      <c r="R337" s="35"/>
      <c r="S337" s="35"/>
      <c r="T337" s="35"/>
      <c r="U337" s="35"/>
      <c r="V337" s="35"/>
      <c r="W337" s="35"/>
      <c r="X337" s="35"/>
      <c r="Y337" s="35"/>
      <c r="Z337" s="35"/>
      <c r="AA337" s="35"/>
      <c r="AB337" s="35"/>
      <c r="AC337" s="35"/>
      <c r="AD337" s="35"/>
      <c r="AE337" s="35"/>
      <c r="AF337" s="35"/>
      <c r="AG337" s="90"/>
    </row>
    <row r="338" spans="1:33" x14ac:dyDescent="0.25">
      <c r="A338" s="35"/>
      <c r="B338" s="35"/>
      <c r="C338" s="35"/>
      <c r="D338" s="35"/>
      <c r="E338" s="35"/>
      <c r="F338" s="35"/>
      <c r="G338" s="35"/>
      <c r="H338" s="35"/>
      <c r="I338" s="35"/>
      <c r="J338" s="35"/>
      <c r="K338" s="35"/>
      <c r="L338" s="35"/>
      <c r="M338" s="35"/>
      <c r="N338" s="35"/>
      <c r="O338" s="35"/>
      <c r="P338" s="35"/>
      <c r="Q338" s="35"/>
      <c r="R338" s="35"/>
      <c r="S338" s="35"/>
      <c r="T338" s="35"/>
      <c r="U338" s="35"/>
      <c r="V338" s="35"/>
      <c r="W338" s="35"/>
      <c r="X338" s="35"/>
      <c r="Y338" s="35"/>
      <c r="Z338" s="35"/>
      <c r="AA338" s="35"/>
      <c r="AB338" s="35"/>
      <c r="AC338" s="35"/>
      <c r="AD338" s="35"/>
      <c r="AE338" s="35"/>
      <c r="AF338" s="35"/>
      <c r="AG338" s="90"/>
    </row>
    <row r="339" spans="1:33" x14ac:dyDescent="0.25">
      <c r="A339" s="35"/>
      <c r="B339" s="35"/>
      <c r="C339" s="35"/>
      <c r="D339" s="35"/>
      <c r="E339" s="35"/>
      <c r="F339" s="35"/>
      <c r="G339" s="35"/>
      <c r="H339" s="35"/>
      <c r="I339" s="35"/>
      <c r="J339" s="35"/>
      <c r="K339" s="35"/>
      <c r="L339" s="35"/>
      <c r="M339" s="35"/>
      <c r="N339" s="35"/>
      <c r="O339" s="35"/>
      <c r="P339" s="35"/>
      <c r="Q339" s="35"/>
      <c r="R339" s="35"/>
      <c r="S339" s="35"/>
      <c r="T339" s="35"/>
      <c r="U339" s="35"/>
      <c r="V339" s="35"/>
      <c r="W339" s="35"/>
      <c r="X339" s="35"/>
      <c r="Y339" s="35"/>
      <c r="Z339" s="35"/>
      <c r="AA339" s="35"/>
      <c r="AB339" s="35"/>
      <c r="AC339" s="35"/>
      <c r="AD339" s="35"/>
      <c r="AE339" s="35"/>
      <c r="AF339" s="35"/>
      <c r="AG339" s="90"/>
    </row>
    <row r="340" spans="1:33" x14ac:dyDescent="0.25">
      <c r="A340" s="35"/>
      <c r="B340" s="35"/>
      <c r="C340" s="35"/>
      <c r="D340" s="35"/>
      <c r="E340" s="35"/>
      <c r="F340" s="35"/>
      <c r="G340" s="35"/>
      <c r="H340" s="35"/>
      <c r="I340" s="35"/>
      <c r="J340" s="35"/>
      <c r="K340" s="35"/>
      <c r="L340" s="35"/>
      <c r="M340" s="35"/>
      <c r="N340" s="35"/>
      <c r="O340" s="35"/>
      <c r="P340" s="35"/>
      <c r="Q340" s="35"/>
      <c r="R340" s="35"/>
      <c r="S340" s="35"/>
      <c r="T340" s="35"/>
      <c r="U340" s="35"/>
      <c r="V340" s="35"/>
      <c r="W340" s="35"/>
      <c r="X340" s="35"/>
      <c r="Y340" s="35"/>
      <c r="Z340" s="35"/>
      <c r="AA340" s="35"/>
      <c r="AB340" s="35"/>
      <c r="AC340" s="35"/>
      <c r="AD340" s="35"/>
      <c r="AE340" s="35"/>
      <c r="AF340" s="35"/>
      <c r="AG340" s="90"/>
    </row>
    <row r="341" spans="1:33" x14ac:dyDescent="0.25">
      <c r="A341" s="35"/>
      <c r="B341" s="35"/>
      <c r="C341" s="35"/>
      <c r="D341" s="35"/>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90"/>
    </row>
    <row r="342" spans="1:33" x14ac:dyDescent="0.25">
      <c r="A342" s="35"/>
      <c r="B342" s="35"/>
      <c r="C342" s="35"/>
      <c r="D342" s="35"/>
      <c r="E342" s="35"/>
      <c r="F342" s="35"/>
      <c r="G342" s="35"/>
      <c r="H342" s="35"/>
      <c r="I342" s="35"/>
      <c r="J342" s="35"/>
      <c r="K342" s="35"/>
      <c r="L342" s="35"/>
      <c r="M342" s="35"/>
      <c r="N342" s="35"/>
      <c r="O342" s="35"/>
      <c r="P342" s="35"/>
      <c r="Q342" s="35"/>
      <c r="R342" s="35"/>
      <c r="S342" s="35"/>
      <c r="T342" s="35"/>
      <c r="U342" s="35"/>
      <c r="V342" s="35"/>
      <c r="W342" s="35"/>
      <c r="X342" s="35"/>
      <c r="Y342" s="35"/>
      <c r="Z342" s="35"/>
      <c r="AA342" s="35"/>
      <c r="AB342" s="35"/>
      <c r="AC342" s="35"/>
      <c r="AD342" s="35"/>
      <c r="AE342" s="35"/>
      <c r="AF342" s="35"/>
      <c r="AG342" s="90"/>
    </row>
    <row r="343" spans="1:33" x14ac:dyDescent="0.25">
      <c r="A343" s="35"/>
      <c r="B343" s="35"/>
      <c r="C343" s="35"/>
      <c r="D343" s="35"/>
      <c r="E343" s="35"/>
      <c r="F343" s="35"/>
      <c r="G343" s="35"/>
      <c r="H343" s="35"/>
      <c r="I343" s="35"/>
      <c r="J343" s="35"/>
      <c r="K343" s="35"/>
      <c r="L343" s="35"/>
      <c r="M343" s="35"/>
      <c r="N343" s="35"/>
      <c r="O343" s="35"/>
      <c r="P343" s="35"/>
      <c r="Q343" s="35"/>
      <c r="R343" s="35"/>
      <c r="S343" s="35"/>
      <c r="T343" s="35"/>
      <c r="U343" s="35"/>
      <c r="V343" s="35"/>
      <c r="W343" s="35"/>
      <c r="X343" s="35"/>
      <c r="Y343" s="35"/>
      <c r="Z343" s="35"/>
      <c r="AA343" s="35"/>
      <c r="AB343" s="35"/>
      <c r="AC343" s="35"/>
      <c r="AD343" s="35"/>
      <c r="AE343" s="35"/>
      <c r="AF343" s="35"/>
      <c r="AG343" s="90"/>
    </row>
    <row r="344" spans="1:33" x14ac:dyDescent="0.25">
      <c r="A344" s="35"/>
      <c r="B344" s="35"/>
      <c r="C344" s="35"/>
      <c r="D344" s="35"/>
      <c r="E344" s="35"/>
      <c r="F344" s="35"/>
      <c r="G344" s="35"/>
      <c r="H344" s="35"/>
      <c r="I344" s="35"/>
      <c r="J344" s="35"/>
      <c r="K344" s="35"/>
      <c r="L344" s="35"/>
      <c r="M344" s="35"/>
      <c r="N344" s="35"/>
      <c r="O344" s="35"/>
      <c r="P344" s="35"/>
      <c r="Q344" s="35"/>
      <c r="R344" s="35"/>
      <c r="S344" s="35"/>
      <c r="T344" s="35"/>
      <c r="U344" s="35"/>
      <c r="V344" s="35"/>
      <c r="W344" s="35"/>
      <c r="X344" s="35"/>
      <c r="Y344" s="35"/>
      <c r="Z344" s="35"/>
      <c r="AA344" s="35"/>
      <c r="AB344" s="35"/>
      <c r="AC344" s="35"/>
      <c r="AD344" s="35"/>
      <c r="AE344" s="35"/>
      <c r="AF344" s="35"/>
      <c r="AG344" s="90"/>
    </row>
    <row r="345" spans="1:33" x14ac:dyDescent="0.25">
      <c r="A345" s="35"/>
      <c r="B345" s="35"/>
      <c r="C345" s="35"/>
      <c r="D345" s="35"/>
      <c r="E345" s="35"/>
      <c r="F345" s="35"/>
      <c r="G345" s="35"/>
      <c r="H345" s="35"/>
      <c r="I345" s="35"/>
      <c r="J345" s="35"/>
      <c r="K345" s="35"/>
      <c r="L345" s="35"/>
      <c r="M345" s="35"/>
      <c r="N345" s="35"/>
      <c r="O345" s="35"/>
      <c r="P345" s="35"/>
      <c r="Q345" s="35"/>
      <c r="R345" s="35"/>
      <c r="S345" s="35"/>
      <c r="T345" s="35"/>
      <c r="U345" s="35"/>
      <c r="V345" s="35"/>
      <c r="W345" s="35"/>
      <c r="X345" s="35"/>
      <c r="Y345" s="35"/>
      <c r="Z345" s="35"/>
      <c r="AA345" s="35"/>
      <c r="AB345" s="35"/>
      <c r="AC345" s="35"/>
      <c r="AD345" s="35"/>
      <c r="AE345" s="35"/>
      <c r="AF345" s="35"/>
      <c r="AG345" s="90"/>
    </row>
    <row r="346" spans="1:33" x14ac:dyDescent="0.25">
      <c r="A346" s="35"/>
      <c r="B346" s="35"/>
      <c r="C346" s="35"/>
      <c r="D346" s="35"/>
      <c r="E346" s="35"/>
      <c r="F346" s="35"/>
      <c r="G346" s="35"/>
      <c r="H346" s="35"/>
      <c r="I346" s="35"/>
      <c r="J346" s="35"/>
      <c r="K346" s="35"/>
      <c r="L346" s="35"/>
      <c r="M346" s="35"/>
      <c r="N346" s="35"/>
      <c r="O346" s="35"/>
      <c r="P346" s="35"/>
      <c r="Q346" s="35"/>
      <c r="R346" s="35"/>
      <c r="S346" s="35"/>
      <c r="T346" s="35"/>
      <c r="U346" s="35"/>
      <c r="V346" s="35"/>
      <c r="W346" s="35"/>
      <c r="X346" s="35"/>
      <c r="Y346" s="35"/>
      <c r="Z346" s="35"/>
      <c r="AA346" s="35"/>
      <c r="AB346" s="35"/>
      <c r="AC346" s="35"/>
      <c r="AD346" s="35"/>
      <c r="AE346" s="35"/>
      <c r="AF346" s="35"/>
      <c r="AG346" s="90"/>
    </row>
    <row r="347" spans="1:33" x14ac:dyDescent="0.25">
      <c r="A347" s="35"/>
      <c r="B347" s="35"/>
      <c r="C347" s="35"/>
      <c r="D347" s="35"/>
      <c r="E347" s="35"/>
      <c r="F347" s="35"/>
      <c r="G347" s="35"/>
      <c r="H347" s="35"/>
      <c r="I347" s="35"/>
      <c r="J347" s="35"/>
      <c r="K347" s="35"/>
      <c r="L347" s="35"/>
      <c r="M347" s="35"/>
      <c r="N347" s="35"/>
      <c r="O347" s="35"/>
      <c r="P347" s="35"/>
      <c r="Q347" s="35"/>
      <c r="R347" s="35"/>
      <c r="S347" s="35"/>
      <c r="T347" s="35"/>
      <c r="U347" s="35"/>
      <c r="V347" s="35"/>
      <c r="W347" s="35"/>
      <c r="X347" s="35"/>
      <c r="Y347" s="35"/>
      <c r="Z347" s="35"/>
      <c r="AA347" s="35"/>
      <c r="AB347" s="35"/>
      <c r="AC347" s="35"/>
      <c r="AD347" s="35"/>
      <c r="AE347" s="35"/>
      <c r="AF347" s="35"/>
      <c r="AG347" s="90"/>
    </row>
    <row r="348" spans="1:33" x14ac:dyDescent="0.25">
      <c r="A348" s="35"/>
      <c r="B348" s="35"/>
      <c r="C348" s="35"/>
      <c r="D348" s="35"/>
      <c r="E348" s="35"/>
      <c r="F348" s="35"/>
      <c r="G348" s="35"/>
      <c r="H348" s="35"/>
      <c r="I348" s="35"/>
      <c r="J348" s="35"/>
      <c r="K348" s="35"/>
      <c r="L348" s="35"/>
      <c r="M348" s="35"/>
      <c r="N348" s="35"/>
      <c r="O348" s="35"/>
      <c r="P348" s="35"/>
      <c r="Q348" s="35"/>
      <c r="R348" s="35"/>
      <c r="S348" s="35"/>
      <c r="T348" s="35"/>
      <c r="U348" s="35"/>
      <c r="V348" s="35"/>
      <c r="W348" s="35"/>
      <c r="X348" s="35"/>
      <c r="Y348" s="35"/>
      <c r="Z348" s="35"/>
      <c r="AA348" s="35"/>
      <c r="AB348" s="35"/>
      <c r="AC348" s="35"/>
      <c r="AD348" s="35"/>
      <c r="AE348" s="35"/>
      <c r="AF348" s="35"/>
      <c r="AG348" s="90"/>
    </row>
    <row r="349" spans="1:33" x14ac:dyDescent="0.25">
      <c r="A349" s="35"/>
      <c r="B349" s="35"/>
      <c r="C349" s="35"/>
      <c r="D349" s="35"/>
      <c r="E349" s="35"/>
      <c r="F349" s="35"/>
      <c r="G349" s="35"/>
      <c r="H349" s="35"/>
      <c r="I349" s="35"/>
      <c r="J349" s="35"/>
      <c r="K349" s="35"/>
      <c r="L349" s="35"/>
      <c r="M349" s="35"/>
      <c r="N349" s="35"/>
      <c r="O349" s="35"/>
      <c r="P349" s="35"/>
      <c r="Q349" s="35"/>
      <c r="R349" s="35"/>
      <c r="S349" s="35"/>
      <c r="T349" s="35"/>
      <c r="U349" s="35"/>
      <c r="V349" s="35"/>
      <c r="W349" s="35"/>
      <c r="X349" s="35"/>
      <c r="Y349" s="35"/>
      <c r="Z349" s="35"/>
      <c r="AA349" s="35"/>
      <c r="AB349" s="35"/>
      <c r="AC349" s="35"/>
      <c r="AD349" s="35"/>
      <c r="AE349" s="35"/>
      <c r="AF349" s="35"/>
      <c r="AG349" s="90"/>
    </row>
    <row r="350" spans="1:33" x14ac:dyDescent="0.25">
      <c r="A350" s="35"/>
      <c r="B350" s="35"/>
      <c r="C350" s="35"/>
      <c r="D350" s="35"/>
      <c r="E350" s="35"/>
      <c r="F350" s="35"/>
      <c r="G350" s="35"/>
      <c r="H350" s="35"/>
      <c r="I350" s="35"/>
      <c r="J350" s="35"/>
      <c r="K350" s="35"/>
      <c r="L350" s="35"/>
      <c r="M350" s="35"/>
      <c r="N350" s="35"/>
      <c r="O350" s="35"/>
      <c r="P350" s="35"/>
      <c r="Q350" s="35"/>
      <c r="R350" s="35"/>
      <c r="S350" s="35"/>
      <c r="T350" s="35"/>
      <c r="U350" s="35"/>
      <c r="V350" s="35"/>
      <c r="W350" s="35"/>
      <c r="X350" s="35"/>
      <c r="Y350" s="35"/>
      <c r="Z350" s="35"/>
      <c r="AA350" s="35"/>
      <c r="AB350" s="35"/>
      <c r="AC350" s="35"/>
      <c r="AD350" s="35"/>
      <c r="AE350" s="35"/>
      <c r="AF350" s="35"/>
      <c r="AG350" s="90"/>
    </row>
    <row r="351" spans="1:33" x14ac:dyDescent="0.25">
      <c r="A351" s="35"/>
      <c r="B351" s="35"/>
      <c r="C351" s="35"/>
      <c r="D351" s="35"/>
      <c r="E351" s="35"/>
      <c r="F351" s="35"/>
      <c r="G351" s="35"/>
      <c r="H351" s="35"/>
      <c r="I351" s="35"/>
      <c r="J351" s="35"/>
      <c r="K351" s="35"/>
      <c r="L351" s="35"/>
      <c r="M351" s="35"/>
      <c r="N351" s="35"/>
      <c r="O351" s="35"/>
      <c r="P351" s="35"/>
      <c r="Q351" s="35"/>
      <c r="R351" s="35"/>
      <c r="S351" s="35"/>
      <c r="T351" s="35"/>
      <c r="U351" s="35"/>
      <c r="V351" s="35"/>
      <c r="W351" s="35"/>
      <c r="X351" s="35"/>
      <c r="Y351" s="35"/>
      <c r="Z351" s="35"/>
      <c r="AA351" s="35"/>
      <c r="AB351" s="35"/>
      <c r="AC351" s="35"/>
      <c r="AD351" s="35"/>
      <c r="AE351" s="35"/>
      <c r="AF351" s="35"/>
      <c r="AG351" s="90"/>
    </row>
    <row r="352" spans="1:33" x14ac:dyDescent="0.25">
      <c r="A352" s="35"/>
      <c r="B352" s="35"/>
      <c r="C352" s="35"/>
      <c r="D352" s="35"/>
      <c r="E352" s="35"/>
      <c r="F352" s="35"/>
      <c r="G352" s="35"/>
      <c r="H352" s="35"/>
      <c r="I352" s="35"/>
      <c r="J352" s="35"/>
      <c r="K352" s="35"/>
      <c r="L352" s="35"/>
      <c r="M352" s="35"/>
      <c r="N352" s="35"/>
      <c r="O352" s="35"/>
      <c r="P352" s="35"/>
      <c r="Q352" s="35"/>
      <c r="R352" s="35"/>
      <c r="S352" s="35"/>
      <c r="T352" s="35"/>
      <c r="U352" s="35"/>
      <c r="V352" s="35"/>
      <c r="W352" s="35"/>
      <c r="X352" s="35"/>
      <c r="Y352" s="35"/>
      <c r="Z352" s="35"/>
      <c r="AA352" s="35"/>
      <c r="AB352" s="35"/>
      <c r="AC352" s="35"/>
      <c r="AD352" s="35"/>
      <c r="AE352" s="35"/>
      <c r="AF352" s="35"/>
      <c r="AG352" s="90"/>
    </row>
    <row r="353" spans="1:33" x14ac:dyDescent="0.25">
      <c r="A353" s="35"/>
      <c r="B353" s="35"/>
      <c r="C353" s="35"/>
      <c r="D353" s="35"/>
      <c r="E353" s="35"/>
      <c r="F353" s="35"/>
      <c r="G353" s="35"/>
      <c r="H353" s="35"/>
      <c r="I353" s="35"/>
      <c r="J353" s="35"/>
      <c r="K353" s="35"/>
      <c r="L353" s="35"/>
      <c r="M353" s="35"/>
      <c r="N353" s="35"/>
      <c r="O353" s="35"/>
      <c r="P353" s="35"/>
      <c r="Q353" s="35"/>
      <c r="R353" s="35"/>
      <c r="S353" s="35"/>
      <c r="T353" s="35"/>
      <c r="U353" s="35"/>
      <c r="V353" s="35"/>
      <c r="W353" s="35"/>
      <c r="X353" s="35"/>
      <c r="Y353" s="35"/>
      <c r="Z353" s="35"/>
      <c r="AA353" s="35"/>
      <c r="AB353" s="35"/>
      <c r="AC353" s="35"/>
      <c r="AD353" s="35"/>
      <c r="AE353" s="35"/>
      <c r="AF353" s="35"/>
      <c r="AG353" s="90"/>
    </row>
    <row r="354" spans="1:33" x14ac:dyDescent="0.25">
      <c r="A354" s="35"/>
      <c r="B354" s="35"/>
      <c r="C354" s="35"/>
      <c r="D354" s="35"/>
      <c r="E354" s="35"/>
      <c r="F354" s="35"/>
      <c r="G354" s="35"/>
      <c r="H354" s="35"/>
      <c r="I354" s="35"/>
      <c r="J354" s="35"/>
      <c r="K354" s="35"/>
      <c r="L354" s="35"/>
      <c r="M354" s="35"/>
      <c r="N354" s="35"/>
      <c r="O354" s="35"/>
      <c r="P354" s="35"/>
      <c r="Q354" s="35"/>
      <c r="R354" s="35"/>
      <c r="S354" s="35"/>
      <c r="T354" s="35"/>
      <c r="U354" s="35"/>
      <c r="V354" s="35"/>
      <c r="W354" s="35"/>
      <c r="X354" s="35"/>
      <c r="Y354" s="35"/>
      <c r="Z354" s="35"/>
      <c r="AA354" s="35"/>
      <c r="AB354" s="35"/>
      <c r="AC354" s="35"/>
      <c r="AD354" s="35"/>
      <c r="AE354" s="35"/>
      <c r="AF354" s="35"/>
      <c r="AG354" s="90"/>
    </row>
    <row r="355" spans="1:33" x14ac:dyDescent="0.25">
      <c r="A355" s="35"/>
      <c r="B355" s="35"/>
      <c r="C355" s="35"/>
      <c r="D355" s="35"/>
      <c r="E355" s="35"/>
      <c r="F355" s="35"/>
      <c r="G355" s="35"/>
      <c r="H355" s="35"/>
      <c r="I355" s="35"/>
      <c r="J355" s="35"/>
      <c r="K355" s="35"/>
      <c r="L355" s="35"/>
      <c r="M355" s="35"/>
      <c r="N355" s="35"/>
      <c r="O355" s="35"/>
      <c r="P355" s="35"/>
      <c r="Q355" s="35"/>
      <c r="R355" s="35"/>
      <c r="S355" s="35"/>
      <c r="T355" s="35"/>
      <c r="U355" s="35"/>
      <c r="V355" s="35"/>
      <c r="W355" s="35"/>
      <c r="X355" s="35"/>
      <c r="Y355" s="35"/>
      <c r="Z355" s="35"/>
      <c r="AA355" s="35"/>
      <c r="AB355" s="35"/>
      <c r="AC355" s="35"/>
      <c r="AD355" s="35"/>
      <c r="AE355" s="35"/>
      <c r="AF355" s="35"/>
      <c r="AG355" s="90"/>
    </row>
    <row r="356" spans="1:33" x14ac:dyDescent="0.25">
      <c r="A356" s="35"/>
      <c r="B356" s="35"/>
      <c r="C356" s="35"/>
      <c r="D356" s="35"/>
      <c r="E356" s="35"/>
      <c r="F356" s="35"/>
      <c r="G356" s="35"/>
      <c r="H356" s="35"/>
      <c r="I356" s="35"/>
      <c r="J356" s="35"/>
      <c r="K356" s="35"/>
      <c r="L356" s="35"/>
      <c r="M356" s="35"/>
      <c r="N356" s="35"/>
      <c r="O356" s="35"/>
      <c r="P356" s="35"/>
      <c r="Q356" s="35"/>
      <c r="R356" s="35"/>
      <c r="S356" s="35"/>
      <c r="T356" s="35"/>
      <c r="U356" s="35"/>
      <c r="V356" s="35"/>
      <c r="W356" s="35"/>
      <c r="X356" s="35"/>
      <c r="Y356" s="35"/>
      <c r="Z356" s="35"/>
      <c r="AA356" s="35"/>
      <c r="AB356" s="35"/>
      <c r="AC356" s="35"/>
      <c r="AD356" s="35"/>
      <c r="AE356" s="35"/>
      <c r="AF356" s="35"/>
      <c r="AG356" s="90"/>
    </row>
    <row r="357" spans="1:33" x14ac:dyDescent="0.25">
      <c r="A357" s="35"/>
      <c r="B357" s="35"/>
      <c r="C357" s="35"/>
      <c r="D357" s="35"/>
      <c r="E357" s="35"/>
      <c r="F357" s="35"/>
      <c r="G357" s="35"/>
      <c r="H357" s="35"/>
      <c r="I357" s="35"/>
      <c r="J357" s="35"/>
      <c r="K357" s="35"/>
      <c r="L357" s="35"/>
      <c r="M357" s="35"/>
      <c r="N357" s="35"/>
      <c r="O357" s="35"/>
      <c r="P357" s="35"/>
      <c r="Q357" s="35"/>
      <c r="R357" s="35"/>
      <c r="S357" s="35"/>
      <c r="T357" s="35"/>
      <c r="U357" s="35"/>
      <c r="V357" s="35"/>
      <c r="W357" s="35"/>
      <c r="X357" s="35"/>
      <c r="Y357" s="35"/>
      <c r="Z357" s="35"/>
      <c r="AA357" s="35"/>
      <c r="AB357" s="35"/>
      <c r="AC357" s="35"/>
      <c r="AD357" s="35"/>
      <c r="AE357" s="35"/>
      <c r="AF357" s="35"/>
      <c r="AG357" s="90"/>
    </row>
    <row r="358" spans="1:33" x14ac:dyDescent="0.25">
      <c r="A358" s="35"/>
      <c r="B358" s="35"/>
      <c r="C358" s="35"/>
      <c r="D358" s="35"/>
      <c r="E358" s="35"/>
      <c r="F358" s="35"/>
      <c r="G358" s="35"/>
      <c r="H358" s="35"/>
      <c r="I358" s="35"/>
      <c r="J358" s="35"/>
      <c r="K358" s="35"/>
      <c r="L358" s="35"/>
      <c r="M358" s="35"/>
      <c r="N358" s="35"/>
      <c r="O358" s="35"/>
      <c r="P358" s="35"/>
      <c r="Q358" s="35"/>
      <c r="R358" s="35"/>
      <c r="S358" s="35"/>
      <c r="T358" s="35"/>
      <c r="U358" s="35"/>
      <c r="V358" s="35"/>
      <c r="W358" s="35"/>
      <c r="X358" s="35"/>
      <c r="Y358" s="35"/>
      <c r="Z358" s="35"/>
      <c r="AA358" s="35"/>
      <c r="AB358" s="35"/>
      <c r="AC358" s="35"/>
      <c r="AD358" s="35"/>
      <c r="AE358" s="35"/>
      <c r="AF358" s="35"/>
      <c r="AG358" s="90"/>
    </row>
  </sheetData>
  <autoFilter ref="A1:AH265" xr:uid="{9A3302CB-C664-4A90-8F26-F5A7F89DC75D}">
    <sortState xmlns:xlrd2="http://schemas.microsoft.com/office/spreadsheetml/2017/richdata2" ref="A2:AH109">
      <sortCondition ref="A1:A109"/>
    </sortState>
  </autoFilter>
  <phoneticPr fontId="33" type="noConversion"/>
  <dataValidations count="2">
    <dataValidation type="list" allowBlank="1" showInputMessage="1" showErrorMessage="1" sqref="I2:J3" xr:uid="{6BF22054-A18C-4063-8204-E708ABC0EECB}">
      <formula1>$C$50:$C$54</formula1>
    </dataValidation>
    <dataValidation type="list" allowBlank="1" showInputMessage="1" showErrorMessage="1" sqref="K2:K3" xr:uid="{F6505769-B075-48ED-89CE-BC30C67B2944}">
      <formula1>$I$50:$I$56</formula1>
    </dataValidation>
  </dataValidations>
  <hyperlinks>
    <hyperlink ref="F30" r:id="rId1" xr:uid="{168CF922-F9A7-4BD1-83FC-663F198CB440}"/>
    <hyperlink ref="H86" r:id="rId2" xr:uid="{FC6D33A5-4792-4DD1-8334-78E7378BF91A}"/>
    <hyperlink ref="H29" r:id="rId3" xr:uid="{13C17969-0375-4886-A90E-6DA2AD0009CD}"/>
    <hyperlink ref="H30" r:id="rId4" xr:uid="{A88FBE04-C619-4923-815C-26D62D56B4F3}"/>
    <hyperlink ref="H31" r:id="rId5" xr:uid="{8335980C-179C-4CE5-9F24-DFC668CAF082}"/>
    <hyperlink ref="F158" r:id="rId6" xr:uid="{370512D8-B990-4B58-9DF0-3ABE19A8A004}"/>
    <hyperlink ref="F159" r:id="rId7" xr:uid="{991BF223-DBDD-49C5-A7AE-0031F9D637F6}"/>
    <hyperlink ref="H158" r:id="rId8" xr:uid="{684021DB-4B99-45C9-BBBA-109CB084272F}"/>
    <hyperlink ref="H159" r:id="rId9" xr:uid="{49570AEF-355C-46FB-A0A2-D87196E29492}"/>
    <hyperlink ref="H160" r:id="rId10" xr:uid="{FA2BCD88-D3EF-4C9F-9A37-776C334CB4E2}"/>
    <hyperlink ref="F161" r:id="rId11" xr:uid="{78BCCF4E-8D83-4557-874E-CF8EE7F8D911}"/>
    <hyperlink ref="H161" r:id="rId12" xr:uid="{6CF5F953-FC7C-4279-8AC2-8DFEE14833E7}"/>
    <hyperlink ref="T163" r:id="rId13" xr:uid="{EBA76640-4728-4738-9024-CF0DA5B872FE}"/>
    <hyperlink ref="U163" r:id="rId14" xr:uid="{7AF261F9-DF44-4215-AC19-B9099E90461C}"/>
    <hyperlink ref="H163" r:id="rId15" xr:uid="{9A19DC6E-EF48-45BD-A63D-841877776F5E}"/>
    <hyperlink ref="T83" r:id="rId16" xr:uid="{F8404EB0-D7EA-4181-A4BC-8CA3ED5D08A7}"/>
    <hyperlink ref="F56" r:id="rId17" xr:uid="{B2042612-4A8A-4088-B394-F97C7D1FBA0F}"/>
    <hyperlink ref="F55" r:id="rId18" xr:uid="{A5160AC7-07AB-4478-94FC-6E2D873AD90D}"/>
    <hyperlink ref="H70" r:id="rId19" xr:uid="{BAE87630-3F4F-4546-AF22-B40A76B39729}"/>
    <hyperlink ref="H71" r:id="rId20" xr:uid="{C1E21743-9318-41CD-8DCB-D34E1C01601F}"/>
    <hyperlink ref="F71" r:id="rId21" xr:uid="{86A048EB-0ECB-4C3F-8679-35370CA77264}"/>
    <hyperlink ref="H72" r:id="rId22" xr:uid="{36DDA19E-1AEA-470C-AC0F-164540BB6EE1}"/>
    <hyperlink ref="F72" r:id="rId23" xr:uid="{FE08B9AA-7EC6-4430-8D2C-683019245FEC}"/>
    <hyperlink ref="H73" r:id="rId24" xr:uid="{9FB3CA9A-C78D-48F8-8A31-EA4971BFDD2A}"/>
    <hyperlink ref="F73" r:id="rId25" xr:uid="{1CFA6526-A8EE-4C00-AD4C-024D5F51E5AF}"/>
    <hyperlink ref="H74" r:id="rId26" xr:uid="{1DAA956F-7C3F-40D1-97E2-154426D6566C}"/>
    <hyperlink ref="F74" r:id="rId27" xr:uid="{1F65ACFD-49BA-4C86-98F4-25965F76C1B7}"/>
    <hyperlink ref="H75" r:id="rId28" xr:uid="{3137B2AA-927F-49A6-95FA-3AE7BF39A285}"/>
    <hyperlink ref="F75" r:id="rId29" xr:uid="{040639CC-6049-492F-80E1-4F9A0C72B312}"/>
    <hyperlink ref="H76" r:id="rId30" xr:uid="{F0744757-58BA-4292-AEC8-C0FC5389759F}"/>
    <hyperlink ref="F76" r:id="rId31" xr:uid="{4C0EAB74-AD83-49E3-BB9B-10E72AD4C2AE}"/>
    <hyperlink ref="H77" r:id="rId32" xr:uid="{7026E391-B211-4A7D-B835-E25BFD884B4D}"/>
    <hyperlink ref="F77" r:id="rId33" xr:uid="{70BC2B57-DCF7-4428-A46B-9852B03A48CC}"/>
    <hyperlink ref="H78" r:id="rId34" xr:uid="{DC358B91-2F76-4EA3-B464-C77C1F680ACA}"/>
    <hyperlink ref="F78" r:id="rId35" xr:uid="{760FAADD-AAC1-4481-8880-586C7D22B650}"/>
    <hyperlink ref="H21" r:id="rId36" xr:uid="{6B01D09C-EFE4-48FF-BA3A-F91C99CDEADC}"/>
    <hyperlink ref="F23" r:id="rId37" xr:uid="{AF2B25BA-5D52-42A9-AD2C-12A366FEB114}"/>
    <hyperlink ref="H40" r:id="rId38" xr:uid="{9085FB27-D7FB-49D4-92A9-3A8A4FB7418A}"/>
    <hyperlink ref="H23" r:id="rId39" xr:uid="{A6EE1B5F-FFB8-4F01-BE9F-27F8DC9EDADC}"/>
    <hyperlink ref="H48" r:id="rId40" xr:uid="{CBFF0F52-2956-44E4-9A67-5EED7DCF68C6}"/>
    <hyperlink ref="H67" r:id="rId41" xr:uid="{88A6F7E3-15E5-4A49-A89E-6E03C7820CE7}"/>
    <hyperlink ref="H79" r:id="rId42" xr:uid="{16464C42-042B-42A7-8364-AD875B5F31F8}"/>
    <hyperlink ref="F79" r:id="rId43" xr:uid="{9C8E2B7E-C5B0-457E-AA2F-9FA1FFA51067}"/>
    <hyperlink ref="H80" r:id="rId44" xr:uid="{E65AC15B-1AF3-4994-A161-6CA323E1C5C1}"/>
    <hyperlink ref="F80" r:id="rId45" xr:uid="{F7BB28B6-E965-4E90-9E65-D2C33D97A3B4}"/>
    <hyperlink ref="H81" r:id="rId46" xr:uid="{B48B5703-FBF6-41E0-9DF5-60DFA144E3A7}"/>
    <hyperlink ref="F81" r:id="rId47" xr:uid="{B14F9C69-9691-4B9D-864C-F51519E01E08}"/>
    <hyperlink ref="H82" r:id="rId48" xr:uid="{85137F80-8E05-4FC0-8F68-3E5833358BF1}"/>
    <hyperlink ref="F82" r:id="rId49" xr:uid="{0FAFBB70-C5F9-452D-994D-07A47A09B607}"/>
    <hyperlink ref="H83" r:id="rId50" xr:uid="{AD0FB7E8-687C-44E4-947B-C6352383F115}"/>
    <hyperlink ref="F83" r:id="rId51" xr:uid="{BE1CCF84-2DDC-4406-AAA4-5DAAA2B325D9}"/>
    <hyperlink ref="H84" r:id="rId52" xr:uid="{5CF1B93F-6D91-44E8-9306-955AE9C45D60}"/>
    <hyperlink ref="F84" r:id="rId53" xr:uid="{C2582BF8-49BF-4FFA-ACD0-142B3E63C6EE}"/>
    <hyperlink ref="H85" r:id="rId54" xr:uid="{07D55B4A-FD3C-4DAB-9471-A352940BEA8D}"/>
    <hyperlink ref="F85" r:id="rId55" xr:uid="{0869E27F-504C-4AC5-8FD3-BD7DEBE0AA74}"/>
    <hyperlink ref="F86" r:id="rId56" xr:uid="{00EBFDCF-3734-4693-98BA-D9B6F92BA694}"/>
    <hyperlink ref="H88" r:id="rId57" xr:uid="{D2112250-9D42-416D-BCFB-D1E4C7E820DC}"/>
    <hyperlink ref="H89" r:id="rId58" xr:uid="{DD7D7675-E81E-46B4-B8C2-6B77579660E5}"/>
    <hyperlink ref="F89" r:id="rId59" xr:uid="{8FDC9AD8-9E1F-4EB3-AE91-A84F31481B3F}"/>
    <hyperlink ref="H90" r:id="rId60" xr:uid="{E0B63C6A-2E67-4F10-9C46-BFFA86ACD22F}"/>
    <hyperlink ref="F90" r:id="rId61" xr:uid="{63920A42-7AA3-438B-9A45-2B674FE3AE8D}"/>
    <hyperlink ref="H93" r:id="rId62" xr:uid="{7EB26B04-5D34-4A23-AC50-7FF8DBEAB4D9}"/>
    <hyperlink ref="H94" r:id="rId63" xr:uid="{0C74B239-8045-4E85-B65C-197A52DA2FAD}"/>
    <hyperlink ref="F94" r:id="rId64" xr:uid="{407B44A1-2802-4532-A2BB-732DAF067159}"/>
    <hyperlink ref="H97" r:id="rId65" xr:uid="{83BAF8B2-9582-40E3-A2FE-1CF99F152328}"/>
    <hyperlink ref="F97" r:id="rId66" xr:uid="{7C72D523-3805-4616-B904-490EAFE7CE8E}"/>
    <hyperlink ref="H98" r:id="rId67" xr:uid="{6677F779-124C-4EB1-9D2F-8E4C0174607E}"/>
    <hyperlink ref="F98" r:id="rId68" xr:uid="{5B35E10D-4151-4AC5-8F78-1395760442EB}"/>
    <hyperlink ref="T241" r:id="rId69" xr:uid="{ECDC88F3-E961-44FE-A755-FD87F245AEE9}"/>
  </hyperlink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A16D8-D6C7-4B0A-8B8A-FBBEC291B1DB}">
  <dimension ref="A1:M258"/>
  <sheetViews>
    <sheetView zoomScale="85" zoomScaleNormal="85" workbookViewId="0">
      <selection activeCell="B13" sqref="B13"/>
    </sheetView>
  </sheetViews>
  <sheetFormatPr defaultColWidth="50.28515625" defaultRowHeight="15" x14ac:dyDescent="0.25"/>
  <cols>
    <col min="2" max="2" width="43.5703125" bestFit="1" customWidth="1"/>
    <col min="3" max="3" width="32.7109375" bestFit="1" customWidth="1"/>
    <col min="4" max="4" width="32.85546875" bestFit="1" customWidth="1"/>
    <col min="5" max="5" width="37.5703125" bestFit="1" customWidth="1"/>
  </cols>
  <sheetData>
    <row r="1" spans="1:13" ht="25.5" x14ac:dyDescent="0.25">
      <c r="A1" s="63" t="s">
        <v>110</v>
      </c>
      <c r="B1" s="63" t="s">
        <v>1489</v>
      </c>
      <c r="C1" s="43" t="s">
        <v>783</v>
      </c>
      <c r="D1" s="43" t="s">
        <v>13</v>
      </c>
      <c r="E1" s="43" t="s">
        <v>14</v>
      </c>
      <c r="F1" s="43" t="s">
        <v>15</v>
      </c>
      <c r="G1" s="43" t="s">
        <v>16</v>
      </c>
      <c r="H1" s="43" t="s">
        <v>40</v>
      </c>
      <c r="I1" s="43" t="s">
        <v>18</v>
      </c>
      <c r="J1" s="43" t="s">
        <v>19</v>
      </c>
      <c r="K1" s="43" t="s">
        <v>20</v>
      </c>
      <c r="L1" s="43" t="s">
        <v>21</v>
      </c>
      <c r="M1" s="43" t="s">
        <v>22</v>
      </c>
    </row>
    <row r="2" spans="1:13" ht="38.25" x14ac:dyDescent="0.25">
      <c r="A2" s="35" t="s">
        <v>142</v>
      </c>
      <c r="B2" s="35" t="s">
        <v>755</v>
      </c>
      <c r="C2" s="35" t="s">
        <v>164</v>
      </c>
      <c r="D2" s="32" t="s">
        <v>779</v>
      </c>
      <c r="E2" s="32" t="s">
        <v>202</v>
      </c>
      <c r="F2" s="32" t="s">
        <v>780</v>
      </c>
      <c r="G2" s="32" t="s">
        <v>781</v>
      </c>
      <c r="H2" s="32"/>
      <c r="I2" s="32" t="s">
        <v>782</v>
      </c>
      <c r="J2" s="35">
        <v>5</v>
      </c>
      <c r="K2" s="35">
        <v>1</v>
      </c>
      <c r="L2" s="35" t="s">
        <v>64</v>
      </c>
      <c r="M2" s="99">
        <v>0.64</v>
      </c>
    </row>
    <row r="3" spans="1:13" x14ac:dyDescent="0.25">
      <c r="A3" s="35" t="s">
        <v>142</v>
      </c>
      <c r="B3" s="35" t="s">
        <v>687</v>
      </c>
      <c r="C3" s="35" t="s">
        <v>784</v>
      </c>
      <c r="D3" s="85" t="s">
        <v>712</v>
      </c>
      <c r="E3" s="85" t="s">
        <v>193</v>
      </c>
      <c r="F3" s="86" t="s">
        <v>169</v>
      </c>
      <c r="G3" s="35" t="s">
        <v>713</v>
      </c>
      <c r="H3" s="35"/>
      <c r="I3" s="35" t="s">
        <v>714</v>
      </c>
      <c r="J3" s="35">
        <v>5</v>
      </c>
      <c r="K3" s="35">
        <v>1</v>
      </c>
      <c r="L3" s="35" t="s">
        <v>77</v>
      </c>
      <c r="M3" s="99">
        <v>0.44</v>
      </c>
    </row>
    <row r="4" spans="1:13" ht="25.5" x14ac:dyDescent="0.25">
      <c r="A4" s="35" t="s">
        <v>142</v>
      </c>
      <c r="B4" s="35" t="s">
        <v>755</v>
      </c>
      <c r="C4" s="35" t="s">
        <v>784</v>
      </c>
      <c r="D4" s="35" t="s">
        <v>771</v>
      </c>
      <c r="E4" s="35" t="s">
        <v>193</v>
      </c>
      <c r="F4" s="35" t="s">
        <v>748</v>
      </c>
      <c r="G4" s="35" t="s">
        <v>772</v>
      </c>
      <c r="H4" s="35"/>
      <c r="I4" s="35" t="s">
        <v>773</v>
      </c>
      <c r="J4" s="35">
        <v>5</v>
      </c>
      <c r="K4" s="35">
        <v>1</v>
      </c>
      <c r="L4" s="35" t="s">
        <v>77</v>
      </c>
      <c r="M4" s="99">
        <v>0.44</v>
      </c>
    </row>
    <row r="5" spans="1:13" x14ac:dyDescent="0.25">
      <c r="A5" s="35" t="s">
        <v>142</v>
      </c>
      <c r="B5" s="35" t="s">
        <v>755</v>
      </c>
      <c r="C5" s="35" t="s">
        <v>784</v>
      </c>
      <c r="D5" s="35" t="s">
        <v>774</v>
      </c>
      <c r="E5" s="35" t="s">
        <v>193</v>
      </c>
      <c r="F5" s="35" t="s">
        <v>169</v>
      </c>
      <c r="G5" s="35" t="s">
        <v>1725</v>
      </c>
      <c r="H5" s="35"/>
      <c r="I5" s="35" t="s">
        <v>775</v>
      </c>
      <c r="J5" s="35">
        <v>5</v>
      </c>
      <c r="K5" s="35">
        <v>1</v>
      </c>
      <c r="L5" s="35" t="s">
        <v>77</v>
      </c>
      <c r="M5" s="99">
        <v>0.44</v>
      </c>
    </row>
    <row r="6" spans="1:13" ht="25.5" x14ac:dyDescent="0.25">
      <c r="A6" s="35" t="s">
        <v>142</v>
      </c>
      <c r="B6" s="35" t="s">
        <v>687</v>
      </c>
      <c r="C6" s="35" t="s">
        <v>164</v>
      </c>
      <c r="D6" s="35" t="s">
        <v>715</v>
      </c>
      <c r="E6" s="35" t="s">
        <v>193</v>
      </c>
      <c r="F6" s="35" t="s">
        <v>716</v>
      </c>
      <c r="G6" s="35" t="s">
        <v>717</v>
      </c>
      <c r="H6" s="35"/>
      <c r="I6" s="35" t="s">
        <v>718</v>
      </c>
      <c r="J6" s="35">
        <v>5</v>
      </c>
      <c r="K6" s="35">
        <v>3</v>
      </c>
      <c r="L6" s="35" t="s">
        <v>77</v>
      </c>
      <c r="M6" s="99">
        <v>0.52</v>
      </c>
    </row>
    <row r="7" spans="1:13" x14ac:dyDescent="0.25">
      <c r="A7" s="35" t="s">
        <v>200</v>
      </c>
      <c r="B7" s="35" t="s">
        <v>196</v>
      </c>
      <c r="C7" s="35" t="s">
        <v>164</v>
      </c>
      <c r="D7" s="35" t="s">
        <v>212</v>
      </c>
      <c r="E7" s="35" t="s">
        <v>193</v>
      </c>
      <c r="F7" s="35" t="s">
        <v>213</v>
      </c>
      <c r="G7" s="35" t="s">
        <v>214</v>
      </c>
      <c r="H7" s="35" t="s">
        <v>215</v>
      </c>
      <c r="I7" s="35" t="s">
        <v>216</v>
      </c>
      <c r="J7" s="35">
        <v>5</v>
      </c>
      <c r="K7" s="35">
        <v>5</v>
      </c>
      <c r="L7" s="35" t="s">
        <v>83</v>
      </c>
      <c r="M7" s="99">
        <v>1</v>
      </c>
    </row>
    <row r="8" spans="1:13" x14ac:dyDescent="0.25">
      <c r="A8" s="35" t="s">
        <v>200</v>
      </c>
      <c r="B8" s="35" t="s">
        <v>240</v>
      </c>
      <c r="C8" s="35" t="s">
        <v>784</v>
      </c>
      <c r="D8" s="35" t="s">
        <v>264</v>
      </c>
      <c r="E8" s="35" t="s">
        <v>193</v>
      </c>
      <c r="F8" s="35" t="s">
        <v>265</v>
      </c>
      <c r="G8" s="35" t="s">
        <v>266</v>
      </c>
      <c r="H8" s="35" t="s">
        <v>267</v>
      </c>
      <c r="I8" s="35" t="s">
        <v>268</v>
      </c>
      <c r="J8" s="35">
        <v>5</v>
      </c>
      <c r="K8" s="35">
        <v>5</v>
      </c>
      <c r="L8" s="35" t="s">
        <v>83</v>
      </c>
      <c r="M8" s="99">
        <v>1</v>
      </c>
    </row>
    <row r="9" spans="1:13" x14ac:dyDescent="0.25">
      <c r="A9" s="35" t="s">
        <v>200</v>
      </c>
      <c r="B9" s="35" t="s">
        <v>240</v>
      </c>
      <c r="C9" s="35" t="s">
        <v>164</v>
      </c>
      <c r="D9" s="35" t="s">
        <v>273</v>
      </c>
      <c r="E9" s="35" t="s">
        <v>274</v>
      </c>
      <c r="F9" s="35" t="s">
        <v>275</v>
      </c>
      <c r="G9" s="35" t="s">
        <v>276</v>
      </c>
      <c r="H9" s="35" t="s">
        <v>277</v>
      </c>
      <c r="I9" s="35" t="s">
        <v>278</v>
      </c>
      <c r="J9" s="35">
        <v>5</v>
      </c>
      <c r="K9" s="35">
        <v>5</v>
      </c>
      <c r="L9" s="35" t="s">
        <v>83</v>
      </c>
      <c r="M9" s="99">
        <v>1</v>
      </c>
    </row>
    <row r="10" spans="1:13" x14ac:dyDescent="0.25">
      <c r="A10" s="35" t="s">
        <v>200</v>
      </c>
      <c r="B10" s="35" t="s">
        <v>240</v>
      </c>
      <c r="C10" s="35" t="s">
        <v>164</v>
      </c>
      <c r="D10" s="35" t="s">
        <v>284</v>
      </c>
      <c r="E10" s="35" t="s">
        <v>193</v>
      </c>
      <c r="F10" s="35" t="s">
        <v>285</v>
      </c>
      <c r="G10" s="35" t="s">
        <v>286</v>
      </c>
      <c r="H10" s="35"/>
      <c r="I10" s="35" t="s">
        <v>287</v>
      </c>
      <c r="J10" s="35">
        <v>5</v>
      </c>
      <c r="K10" s="35">
        <v>5</v>
      </c>
      <c r="L10" s="35" t="s">
        <v>83</v>
      </c>
      <c r="M10" s="99">
        <v>1</v>
      </c>
    </row>
    <row r="11" spans="1:13" x14ac:dyDescent="0.25">
      <c r="A11" s="35" t="s">
        <v>200</v>
      </c>
      <c r="B11" s="35" t="s">
        <v>309</v>
      </c>
      <c r="C11" s="35" t="s">
        <v>164</v>
      </c>
      <c r="D11" s="35" t="s">
        <v>339</v>
      </c>
      <c r="E11" s="35" t="s">
        <v>193</v>
      </c>
      <c r="F11" s="35" t="s">
        <v>340</v>
      </c>
      <c r="G11" s="35" t="s">
        <v>341</v>
      </c>
      <c r="H11" s="35" t="s">
        <v>342</v>
      </c>
      <c r="I11" s="35" t="s">
        <v>343</v>
      </c>
      <c r="J11" s="35">
        <v>5</v>
      </c>
      <c r="K11" s="35">
        <v>5</v>
      </c>
      <c r="L11" s="35" t="s">
        <v>83</v>
      </c>
      <c r="M11" s="99">
        <v>1</v>
      </c>
    </row>
    <row r="12" spans="1:13" ht="25.5" x14ac:dyDescent="0.25">
      <c r="A12" s="35" t="s">
        <v>142</v>
      </c>
      <c r="B12" s="35" t="s">
        <v>146</v>
      </c>
      <c r="C12" s="35" t="s">
        <v>164</v>
      </c>
      <c r="D12" s="35" t="s">
        <v>165</v>
      </c>
      <c r="E12" s="35" t="s">
        <v>170</v>
      </c>
      <c r="F12" s="35" t="s">
        <v>169</v>
      </c>
      <c r="G12" s="35" t="s">
        <v>166</v>
      </c>
      <c r="H12" s="35" t="s">
        <v>167</v>
      </c>
      <c r="I12" s="35" t="s">
        <v>168</v>
      </c>
      <c r="J12" s="35">
        <v>5</v>
      </c>
      <c r="K12" s="35">
        <v>5</v>
      </c>
      <c r="L12" s="35" t="s">
        <v>83</v>
      </c>
      <c r="M12" s="99">
        <v>1</v>
      </c>
    </row>
    <row r="13" spans="1:13" x14ac:dyDescent="0.25">
      <c r="A13" s="35" t="s">
        <v>142</v>
      </c>
      <c r="B13" s="35" t="s">
        <v>659</v>
      </c>
      <c r="C13" s="35" t="s">
        <v>784</v>
      </c>
      <c r="D13" s="35" t="s">
        <v>1743</v>
      </c>
      <c r="E13" s="35" t="s">
        <v>193</v>
      </c>
      <c r="F13" s="35" t="s">
        <v>678</v>
      </c>
      <c r="G13" s="35" t="s">
        <v>679</v>
      </c>
      <c r="H13" s="35"/>
      <c r="I13" s="35" t="s">
        <v>680</v>
      </c>
      <c r="J13" s="35">
        <v>5</v>
      </c>
      <c r="K13" s="35">
        <v>5</v>
      </c>
      <c r="L13" s="35" t="s">
        <v>83</v>
      </c>
      <c r="M13" s="99">
        <v>1</v>
      </c>
    </row>
    <row r="14" spans="1:13" ht="25.5" x14ac:dyDescent="0.25">
      <c r="A14" s="35" t="s">
        <v>142</v>
      </c>
      <c r="B14" s="35" t="s">
        <v>721</v>
      </c>
      <c r="C14" s="35" t="s">
        <v>164</v>
      </c>
      <c r="D14" s="35" t="s">
        <v>750</v>
      </c>
      <c r="E14" s="35" t="s">
        <v>193</v>
      </c>
      <c r="F14" s="35" t="s">
        <v>169</v>
      </c>
      <c r="G14" s="35" t="s">
        <v>751</v>
      </c>
      <c r="H14" s="35"/>
      <c r="I14" s="35"/>
      <c r="J14" s="35">
        <v>5</v>
      </c>
      <c r="K14" s="35">
        <v>5</v>
      </c>
      <c r="L14" s="35" t="s">
        <v>64</v>
      </c>
      <c r="M14" s="99">
        <v>0.8</v>
      </c>
    </row>
    <row r="15" spans="1:13" x14ac:dyDescent="0.25">
      <c r="A15" s="35" t="s">
        <v>570</v>
      </c>
      <c r="B15" s="35" t="s">
        <v>548</v>
      </c>
      <c r="C15" s="35" t="s">
        <v>784</v>
      </c>
      <c r="D15" s="35" t="s">
        <v>562</v>
      </c>
      <c r="E15" s="35" t="s">
        <v>563</v>
      </c>
      <c r="F15" s="35" t="s">
        <v>564</v>
      </c>
      <c r="G15" s="35" t="s">
        <v>1716</v>
      </c>
      <c r="H15" s="35"/>
      <c r="I15" s="35" t="s">
        <v>565</v>
      </c>
      <c r="J15" s="35">
        <v>5</v>
      </c>
      <c r="K15" s="35">
        <v>5</v>
      </c>
      <c r="L15" s="35" t="s">
        <v>64</v>
      </c>
      <c r="M15" s="99">
        <v>0.8</v>
      </c>
    </row>
    <row r="16" spans="1:13" ht="25.5" x14ac:dyDescent="0.25">
      <c r="A16" s="35" t="s">
        <v>570</v>
      </c>
      <c r="B16" s="35" t="s">
        <v>576</v>
      </c>
      <c r="C16" s="35" t="s">
        <v>784</v>
      </c>
      <c r="D16" s="35" t="s">
        <v>590</v>
      </c>
      <c r="E16" s="35" t="s">
        <v>563</v>
      </c>
      <c r="F16" s="35" t="s">
        <v>591</v>
      </c>
      <c r="G16" s="35" t="s">
        <v>1729</v>
      </c>
      <c r="H16" s="35"/>
      <c r="I16" s="35" t="s">
        <v>592</v>
      </c>
      <c r="J16" s="35">
        <v>5</v>
      </c>
      <c r="K16" s="35">
        <v>5</v>
      </c>
      <c r="L16" s="35" t="s">
        <v>64</v>
      </c>
      <c r="M16" s="99">
        <v>0.8</v>
      </c>
    </row>
    <row r="17" spans="1:13" x14ac:dyDescent="0.25">
      <c r="A17" s="35" t="s">
        <v>570</v>
      </c>
      <c r="B17" s="35" t="s">
        <v>596</v>
      </c>
      <c r="C17" s="35" t="s">
        <v>784</v>
      </c>
      <c r="D17" s="35" t="s">
        <v>603</v>
      </c>
      <c r="E17" s="35" t="s">
        <v>193</v>
      </c>
      <c r="F17" s="35" t="s">
        <v>787</v>
      </c>
      <c r="G17" s="35" t="s">
        <v>1733</v>
      </c>
      <c r="H17" s="35"/>
      <c r="I17" s="35" t="s">
        <v>604</v>
      </c>
      <c r="J17" s="35">
        <v>5</v>
      </c>
      <c r="K17" s="35">
        <v>5</v>
      </c>
      <c r="L17" s="35" t="s">
        <v>64</v>
      </c>
      <c r="M17" s="99">
        <v>0.8</v>
      </c>
    </row>
    <row r="18" spans="1:13" x14ac:dyDescent="0.25">
      <c r="A18" s="35" t="s">
        <v>200</v>
      </c>
      <c r="B18" s="35" t="s">
        <v>196</v>
      </c>
      <c r="C18" s="35" t="s">
        <v>164</v>
      </c>
      <c r="D18" s="35" t="s">
        <v>201</v>
      </c>
      <c r="E18" s="35" t="s">
        <v>202</v>
      </c>
      <c r="F18" s="35" t="s">
        <v>203</v>
      </c>
      <c r="G18" s="35" t="s">
        <v>204</v>
      </c>
      <c r="H18" s="35" t="s">
        <v>205</v>
      </c>
      <c r="I18" s="35" t="s">
        <v>206</v>
      </c>
      <c r="J18" s="35">
        <v>5</v>
      </c>
      <c r="K18" s="35">
        <v>5</v>
      </c>
      <c r="L18" s="35" t="s">
        <v>71</v>
      </c>
      <c r="M18" s="99">
        <v>0.6</v>
      </c>
    </row>
    <row r="19" spans="1:13" x14ac:dyDescent="0.25">
      <c r="A19" s="35" t="s">
        <v>200</v>
      </c>
      <c r="B19" s="35" t="s">
        <v>196</v>
      </c>
      <c r="C19" s="35" t="s">
        <v>164</v>
      </c>
      <c r="D19" s="35" t="s">
        <v>217</v>
      </c>
      <c r="E19" s="35" t="s">
        <v>193</v>
      </c>
      <c r="F19" s="35" t="s">
        <v>218</v>
      </c>
      <c r="G19" s="35" t="s">
        <v>219</v>
      </c>
      <c r="H19" s="35" t="s">
        <v>220</v>
      </c>
      <c r="I19" s="35" t="s">
        <v>221</v>
      </c>
      <c r="J19" s="35">
        <v>5</v>
      </c>
      <c r="K19" s="35">
        <v>5</v>
      </c>
      <c r="L19" s="35" t="s">
        <v>77</v>
      </c>
      <c r="M19" s="99">
        <v>0.6</v>
      </c>
    </row>
    <row r="20" spans="1:13" x14ac:dyDescent="0.25">
      <c r="A20" s="35" t="s">
        <v>200</v>
      </c>
      <c r="B20" s="35" t="s">
        <v>468</v>
      </c>
      <c r="C20" s="35" t="s">
        <v>784</v>
      </c>
      <c r="D20" s="35" t="s">
        <v>232</v>
      </c>
      <c r="E20" s="35" t="s">
        <v>193</v>
      </c>
      <c r="F20" s="35" t="s">
        <v>233</v>
      </c>
      <c r="G20" s="35" t="s">
        <v>234</v>
      </c>
      <c r="H20" s="35">
        <v>11982954858</v>
      </c>
      <c r="I20" s="35" t="s">
        <v>235</v>
      </c>
      <c r="J20" s="35">
        <v>5</v>
      </c>
      <c r="K20" s="35">
        <v>5</v>
      </c>
      <c r="L20" s="35" t="s">
        <v>77</v>
      </c>
      <c r="M20" s="99">
        <v>0.6</v>
      </c>
    </row>
    <row r="21" spans="1:13" x14ac:dyDescent="0.25">
      <c r="A21" s="35" t="s">
        <v>200</v>
      </c>
      <c r="B21" s="35" t="s">
        <v>309</v>
      </c>
      <c r="C21" s="35" t="s">
        <v>164</v>
      </c>
      <c r="D21" s="35" t="s">
        <v>336</v>
      </c>
      <c r="E21" s="35" t="s">
        <v>332</v>
      </c>
      <c r="F21" s="35" t="s">
        <v>337</v>
      </c>
      <c r="G21" s="35" t="s">
        <v>338</v>
      </c>
      <c r="H21" s="35"/>
      <c r="I21" s="35"/>
      <c r="J21" s="35">
        <v>5</v>
      </c>
      <c r="K21" s="35">
        <v>5</v>
      </c>
      <c r="L21" s="35" t="s">
        <v>77</v>
      </c>
      <c r="M21" s="99">
        <v>0.6</v>
      </c>
    </row>
    <row r="22" spans="1:13" x14ac:dyDescent="0.25">
      <c r="A22" s="35" t="s">
        <v>200</v>
      </c>
      <c r="B22" s="35" t="s">
        <v>309</v>
      </c>
      <c r="C22" s="35" t="s">
        <v>164</v>
      </c>
      <c r="D22" s="35" t="s">
        <v>344</v>
      </c>
      <c r="E22" s="35" t="s">
        <v>345</v>
      </c>
      <c r="F22" s="35" t="s">
        <v>346</v>
      </c>
      <c r="G22" s="35" t="s">
        <v>347</v>
      </c>
      <c r="H22" s="35" t="s">
        <v>348</v>
      </c>
      <c r="I22" s="35"/>
      <c r="J22" s="35">
        <v>5</v>
      </c>
      <c r="K22" s="35">
        <v>5</v>
      </c>
      <c r="L22" s="35" t="s">
        <v>71</v>
      </c>
      <c r="M22" s="99">
        <v>0.6</v>
      </c>
    </row>
    <row r="23" spans="1:13" x14ac:dyDescent="0.25">
      <c r="A23" s="35" t="s">
        <v>142</v>
      </c>
      <c r="B23" s="35" t="s">
        <v>174</v>
      </c>
      <c r="C23" s="35" t="s">
        <v>784</v>
      </c>
      <c r="D23" s="35" t="s">
        <v>192</v>
      </c>
      <c r="E23" s="35" t="s">
        <v>193</v>
      </c>
      <c r="F23" s="35" t="s">
        <v>195</v>
      </c>
      <c r="G23" s="35" t="s">
        <v>194</v>
      </c>
      <c r="H23" s="35"/>
      <c r="I23" s="35"/>
      <c r="J23" s="35">
        <v>5</v>
      </c>
      <c r="K23" s="35">
        <v>5</v>
      </c>
      <c r="L23" s="35" t="s">
        <v>77</v>
      </c>
      <c r="M23" s="99">
        <v>0.6</v>
      </c>
    </row>
    <row r="24" spans="1:13" x14ac:dyDescent="0.25">
      <c r="A24" s="35" t="s">
        <v>142</v>
      </c>
      <c r="B24" s="35" t="s">
        <v>721</v>
      </c>
      <c r="C24" s="35" t="s">
        <v>164</v>
      </c>
      <c r="D24" s="35" t="s">
        <v>745</v>
      </c>
      <c r="E24" s="35" t="s">
        <v>170</v>
      </c>
      <c r="F24" s="35" t="s">
        <v>169</v>
      </c>
      <c r="G24" s="35" t="s">
        <v>746</v>
      </c>
      <c r="H24" s="35"/>
      <c r="I24" s="35"/>
      <c r="J24" s="35">
        <v>5</v>
      </c>
      <c r="K24" s="35">
        <v>5</v>
      </c>
      <c r="L24" s="35" t="s">
        <v>77</v>
      </c>
      <c r="M24" s="99">
        <v>0.6</v>
      </c>
    </row>
    <row r="25" spans="1:13" x14ac:dyDescent="0.25">
      <c r="A25" s="35" t="s">
        <v>142</v>
      </c>
      <c r="B25" s="35" t="s">
        <v>721</v>
      </c>
      <c r="C25" s="35" t="s">
        <v>164</v>
      </c>
      <c r="D25" s="35" t="s">
        <v>747</v>
      </c>
      <c r="E25" s="35" t="s">
        <v>170</v>
      </c>
      <c r="F25" s="35" t="s">
        <v>748</v>
      </c>
      <c r="G25" s="35" t="s">
        <v>749</v>
      </c>
      <c r="H25" s="35"/>
      <c r="I25" s="35"/>
      <c r="J25" s="35">
        <v>5</v>
      </c>
      <c r="K25" s="35">
        <v>5</v>
      </c>
      <c r="L25" s="35" t="s">
        <v>77</v>
      </c>
      <c r="M25" s="99">
        <v>0.6</v>
      </c>
    </row>
    <row r="26" spans="1:13" ht="25.5" x14ac:dyDescent="0.25">
      <c r="A26" s="35" t="s">
        <v>570</v>
      </c>
      <c r="B26" s="35" t="s">
        <v>548</v>
      </c>
      <c r="C26" s="35" t="s">
        <v>784</v>
      </c>
      <c r="D26" s="35" t="s">
        <v>566</v>
      </c>
      <c r="E26" s="35" t="s">
        <v>567</v>
      </c>
      <c r="F26" s="35" t="s">
        <v>568</v>
      </c>
      <c r="G26" s="35" t="s">
        <v>1717</v>
      </c>
      <c r="H26" s="35"/>
      <c r="I26" s="35" t="s">
        <v>569</v>
      </c>
      <c r="J26" s="35">
        <v>5</v>
      </c>
      <c r="K26" s="35">
        <v>5</v>
      </c>
      <c r="L26" s="35" t="s">
        <v>77</v>
      </c>
      <c r="M26" s="99">
        <v>0.6</v>
      </c>
    </row>
    <row r="27" spans="1:13" ht="25.5" x14ac:dyDescent="0.25">
      <c r="A27" s="35" t="s">
        <v>570</v>
      </c>
      <c r="B27" s="35" t="s">
        <v>548</v>
      </c>
      <c r="C27" s="35" t="s">
        <v>164</v>
      </c>
      <c r="D27" s="35" t="s">
        <v>573</v>
      </c>
      <c r="E27" s="35" t="s">
        <v>193</v>
      </c>
      <c r="F27" s="35" t="s">
        <v>574</v>
      </c>
      <c r="G27" s="35" t="s">
        <v>1719</v>
      </c>
      <c r="H27" s="35"/>
      <c r="I27" s="35" t="s">
        <v>575</v>
      </c>
      <c r="J27" s="35">
        <v>5</v>
      </c>
      <c r="K27" s="35">
        <v>5</v>
      </c>
      <c r="L27" s="35" t="s">
        <v>77</v>
      </c>
      <c r="M27" s="99">
        <v>0.6</v>
      </c>
    </row>
    <row r="28" spans="1:13" x14ac:dyDescent="0.25">
      <c r="A28" s="35" t="s">
        <v>570</v>
      </c>
      <c r="B28" s="35" t="s">
        <v>596</v>
      </c>
      <c r="C28" s="35" t="s">
        <v>784</v>
      </c>
      <c r="D28" s="35" t="s">
        <v>605</v>
      </c>
      <c r="E28" s="35" t="s">
        <v>563</v>
      </c>
      <c r="F28" s="35" t="s">
        <v>788</v>
      </c>
      <c r="G28" s="35" t="s">
        <v>1718</v>
      </c>
      <c r="H28" s="35"/>
      <c r="I28" s="35" t="s">
        <v>606</v>
      </c>
      <c r="J28" s="35">
        <v>5</v>
      </c>
      <c r="K28" s="35">
        <v>5</v>
      </c>
      <c r="L28" s="35" t="s">
        <v>77</v>
      </c>
      <c r="M28" s="99">
        <v>0.6</v>
      </c>
    </row>
    <row r="29" spans="1:13" ht="25.5" x14ac:dyDescent="0.25">
      <c r="A29" s="35" t="s">
        <v>570</v>
      </c>
      <c r="B29" s="35" t="s">
        <v>596</v>
      </c>
      <c r="C29" s="35" t="s">
        <v>164</v>
      </c>
      <c r="D29" s="35" t="s">
        <v>607</v>
      </c>
      <c r="E29" s="35" t="s">
        <v>193</v>
      </c>
      <c r="F29" s="35" t="s">
        <v>609</v>
      </c>
      <c r="G29" s="35" t="s">
        <v>1734</v>
      </c>
      <c r="H29" s="35"/>
      <c r="I29" s="36" t="s">
        <v>608</v>
      </c>
      <c r="J29" s="35">
        <v>5</v>
      </c>
      <c r="K29" s="35">
        <v>5</v>
      </c>
      <c r="L29" s="35" t="s">
        <v>77</v>
      </c>
      <c r="M29" s="99">
        <v>0.6</v>
      </c>
    </row>
    <row r="30" spans="1:13" x14ac:dyDescent="0.25">
      <c r="A30" s="35" t="s">
        <v>570</v>
      </c>
      <c r="B30" s="35" t="s">
        <v>610</v>
      </c>
      <c r="C30" s="35" t="s">
        <v>164</v>
      </c>
      <c r="D30" s="35" t="s">
        <v>640</v>
      </c>
      <c r="E30" s="35" t="s">
        <v>252</v>
      </c>
      <c r="F30" s="35" t="s">
        <v>641</v>
      </c>
      <c r="G30" s="35" t="s">
        <v>642</v>
      </c>
      <c r="H30" s="35" t="s">
        <v>643</v>
      </c>
      <c r="I30" s="35" t="s">
        <v>644</v>
      </c>
      <c r="J30" s="35">
        <v>5</v>
      </c>
      <c r="K30" s="35">
        <v>5</v>
      </c>
      <c r="L30" s="35" t="s">
        <v>77</v>
      </c>
      <c r="M30" s="99">
        <v>0.6</v>
      </c>
    </row>
    <row r="31" spans="1:13" x14ac:dyDescent="0.25">
      <c r="A31" s="35" t="s">
        <v>142</v>
      </c>
      <c r="B31" s="35" t="s">
        <v>687</v>
      </c>
      <c r="C31" s="35" t="s">
        <v>784</v>
      </c>
      <c r="D31" s="35" t="s">
        <v>709</v>
      </c>
      <c r="E31" s="35" t="s">
        <v>193</v>
      </c>
      <c r="F31" s="35" t="s">
        <v>789</v>
      </c>
      <c r="G31" s="35" t="s">
        <v>710</v>
      </c>
      <c r="H31" s="35"/>
      <c r="I31" s="35" t="s">
        <v>711</v>
      </c>
      <c r="J31" s="35">
        <v>4</v>
      </c>
      <c r="K31" s="35">
        <v>1</v>
      </c>
      <c r="L31" s="35" t="s">
        <v>64</v>
      </c>
      <c r="M31" s="99">
        <v>0.6</v>
      </c>
    </row>
    <row r="32" spans="1:13" x14ac:dyDescent="0.25">
      <c r="A32" s="35" t="s">
        <v>142</v>
      </c>
      <c r="B32" s="35" t="s">
        <v>146</v>
      </c>
      <c r="C32" s="35" t="s">
        <v>784</v>
      </c>
      <c r="D32" s="35" t="s">
        <v>161</v>
      </c>
      <c r="E32" s="35" t="s">
        <v>171</v>
      </c>
      <c r="F32" s="35" t="s">
        <v>162</v>
      </c>
      <c r="G32" s="35" t="s">
        <v>163</v>
      </c>
      <c r="H32" s="35"/>
      <c r="I32" s="35"/>
      <c r="J32" s="35">
        <v>4</v>
      </c>
      <c r="K32" s="35">
        <v>3</v>
      </c>
      <c r="L32" s="35" t="s">
        <v>64</v>
      </c>
      <c r="M32" s="99">
        <v>0.68</v>
      </c>
    </row>
    <row r="33" spans="1:13" ht="25.5" x14ac:dyDescent="0.25">
      <c r="A33" s="35" t="s">
        <v>142</v>
      </c>
      <c r="B33" s="35" t="s">
        <v>721</v>
      </c>
      <c r="C33" s="35" t="s">
        <v>164</v>
      </c>
      <c r="D33" s="35" t="s">
        <v>752</v>
      </c>
      <c r="E33" s="35" t="s">
        <v>753</v>
      </c>
      <c r="F33" s="35" t="s">
        <v>169</v>
      </c>
      <c r="G33" s="35" t="s">
        <v>754</v>
      </c>
      <c r="H33" s="35"/>
      <c r="I33" s="35"/>
      <c r="J33" s="35">
        <v>4</v>
      </c>
      <c r="K33" s="35">
        <v>3</v>
      </c>
      <c r="L33" s="35" t="s">
        <v>50</v>
      </c>
      <c r="M33" s="99">
        <v>0.68</v>
      </c>
    </row>
    <row r="34" spans="1:13" x14ac:dyDescent="0.25">
      <c r="A34" s="35" t="s">
        <v>570</v>
      </c>
      <c r="B34" s="35" t="s">
        <v>548</v>
      </c>
      <c r="C34" s="35" t="s">
        <v>784</v>
      </c>
      <c r="D34" s="35" t="s">
        <v>559</v>
      </c>
      <c r="E34" s="35" t="s">
        <v>193</v>
      </c>
      <c r="F34" s="35" t="s">
        <v>560</v>
      </c>
      <c r="G34" s="35" t="s">
        <v>1714</v>
      </c>
      <c r="H34" s="35"/>
      <c r="I34" s="35" t="s">
        <v>561</v>
      </c>
      <c r="J34" s="35">
        <v>4</v>
      </c>
      <c r="K34" s="35">
        <v>3</v>
      </c>
      <c r="L34" s="35" t="s">
        <v>64</v>
      </c>
      <c r="M34" s="99">
        <v>0.68</v>
      </c>
    </row>
    <row r="35" spans="1:13" ht="25.5" x14ac:dyDescent="0.25">
      <c r="A35" s="35" t="s">
        <v>570</v>
      </c>
      <c r="B35" s="35" t="s">
        <v>610</v>
      </c>
      <c r="C35" s="35" t="s">
        <v>164</v>
      </c>
      <c r="D35" s="35" t="s">
        <v>645</v>
      </c>
      <c r="E35" s="35" t="s">
        <v>252</v>
      </c>
      <c r="F35" s="35" t="s">
        <v>646</v>
      </c>
      <c r="G35" s="35" t="s">
        <v>647</v>
      </c>
      <c r="H35" s="35"/>
      <c r="I35" s="35" t="s">
        <v>648</v>
      </c>
      <c r="J35" s="35">
        <v>4</v>
      </c>
      <c r="K35" s="35">
        <v>4</v>
      </c>
      <c r="L35" s="35" t="s">
        <v>77</v>
      </c>
      <c r="M35" s="99">
        <v>0.52</v>
      </c>
    </row>
    <row r="36" spans="1:13" x14ac:dyDescent="0.25">
      <c r="A36" s="35" t="s">
        <v>200</v>
      </c>
      <c r="B36" s="35" t="s">
        <v>288</v>
      </c>
      <c r="C36" s="35" t="s">
        <v>784</v>
      </c>
      <c r="D36" s="35" t="s">
        <v>294</v>
      </c>
      <c r="E36" s="35" t="s">
        <v>295</v>
      </c>
      <c r="F36" s="35" t="s">
        <v>296</v>
      </c>
      <c r="G36" s="35" t="s">
        <v>297</v>
      </c>
      <c r="H36" s="35" t="s">
        <v>298</v>
      </c>
      <c r="I36" s="35" t="s">
        <v>299</v>
      </c>
      <c r="J36" s="35">
        <v>4</v>
      </c>
      <c r="K36" s="35">
        <v>5</v>
      </c>
      <c r="L36" s="35" t="s">
        <v>77</v>
      </c>
      <c r="M36" s="99">
        <v>0.56000000000000005</v>
      </c>
    </row>
    <row r="37" spans="1:13" ht="25.5" x14ac:dyDescent="0.25">
      <c r="A37" s="35" t="s">
        <v>200</v>
      </c>
      <c r="B37" s="35" t="s">
        <v>288</v>
      </c>
      <c r="C37" s="35" t="s">
        <v>164</v>
      </c>
      <c r="D37" s="35" t="s">
        <v>304</v>
      </c>
      <c r="E37" s="35" t="s">
        <v>305</v>
      </c>
      <c r="F37" s="35" t="s">
        <v>275</v>
      </c>
      <c r="G37" s="35" t="s">
        <v>306</v>
      </c>
      <c r="H37" s="35" t="s">
        <v>307</v>
      </c>
      <c r="I37" s="35" t="s">
        <v>308</v>
      </c>
      <c r="J37" s="35">
        <v>4</v>
      </c>
      <c r="K37" s="35">
        <v>5</v>
      </c>
      <c r="L37" s="35" t="s">
        <v>77</v>
      </c>
      <c r="M37" s="99">
        <v>0.56000000000000005</v>
      </c>
    </row>
    <row r="38" spans="1:13" ht="25.5" x14ac:dyDescent="0.25">
      <c r="A38" s="35" t="s">
        <v>570</v>
      </c>
      <c r="B38" s="35" t="s">
        <v>610</v>
      </c>
      <c r="C38" s="35" t="s">
        <v>784</v>
      </c>
      <c r="D38" s="35" t="s">
        <v>618</v>
      </c>
      <c r="E38" s="35" t="s">
        <v>252</v>
      </c>
      <c r="F38" s="35" t="s">
        <v>619</v>
      </c>
      <c r="G38" s="35" t="s">
        <v>1735</v>
      </c>
      <c r="H38" s="35"/>
      <c r="I38" s="35" t="s">
        <v>620</v>
      </c>
      <c r="J38" s="35">
        <v>3</v>
      </c>
      <c r="K38" s="35">
        <v>3</v>
      </c>
      <c r="L38" s="35" t="s">
        <v>64</v>
      </c>
      <c r="M38" s="99">
        <v>0.64</v>
      </c>
    </row>
    <row r="39" spans="1:13" x14ac:dyDescent="0.25">
      <c r="A39" s="35" t="s">
        <v>570</v>
      </c>
      <c r="B39" s="35" t="s">
        <v>610</v>
      </c>
      <c r="C39" s="35" t="s">
        <v>784</v>
      </c>
      <c r="D39" s="35" t="s">
        <v>621</v>
      </c>
      <c r="E39" s="35" t="s">
        <v>179</v>
      </c>
      <c r="F39" s="35" t="s">
        <v>622</v>
      </c>
      <c r="G39" s="35" t="s">
        <v>1737</v>
      </c>
      <c r="H39" s="35"/>
      <c r="I39" s="35" t="s">
        <v>623</v>
      </c>
      <c r="J39" s="35">
        <v>3</v>
      </c>
      <c r="K39" s="35">
        <v>3</v>
      </c>
      <c r="L39" s="35" t="s">
        <v>64</v>
      </c>
      <c r="M39" s="99">
        <v>0.64</v>
      </c>
    </row>
    <row r="40" spans="1:13" ht="25.5" x14ac:dyDescent="0.25">
      <c r="A40" s="35" t="s">
        <v>570</v>
      </c>
      <c r="B40" s="35" t="s">
        <v>610</v>
      </c>
      <c r="C40" s="35" t="s">
        <v>784</v>
      </c>
      <c r="D40" s="35" t="s">
        <v>624</v>
      </c>
      <c r="E40" s="35" t="s">
        <v>33</v>
      </c>
      <c r="F40" s="35" t="s">
        <v>625</v>
      </c>
      <c r="G40" s="35" t="s">
        <v>1738</v>
      </c>
      <c r="H40" s="35"/>
      <c r="I40" s="35" t="s">
        <v>626</v>
      </c>
      <c r="J40" s="35">
        <v>3</v>
      </c>
      <c r="K40" s="35">
        <v>3</v>
      </c>
      <c r="L40" s="35" t="s">
        <v>64</v>
      </c>
      <c r="M40" s="99">
        <v>0.64</v>
      </c>
    </row>
    <row r="41" spans="1:13" x14ac:dyDescent="0.25">
      <c r="A41" s="35" t="s">
        <v>570</v>
      </c>
      <c r="B41" s="35" t="s">
        <v>610</v>
      </c>
      <c r="C41" s="35" t="s">
        <v>784</v>
      </c>
      <c r="D41" s="35" t="s">
        <v>627</v>
      </c>
      <c r="E41" s="35" t="s">
        <v>193</v>
      </c>
      <c r="F41" s="35" t="s">
        <v>628</v>
      </c>
      <c r="G41" s="35" t="s">
        <v>629</v>
      </c>
      <c r="H41" s="35"/>
      <c r="I41" s="35" t="s">
        <v>630</v>
      </c>
      <c r="J41" s="35">
        <v>3</v>
      </c>
      <c r="K41" s="35">
        <v>3</v>
      </c>
      <c r="L41" s="35" t="s">
        <v>64</v>
      </c>
      <c r="M41" s="99">
        <v>0.64</v>
      </c>
    </row>
    <row r="42" spans="1:13" x14ac:dyDescent="0.25">
      <c r="A42" s="35" t="s">
        <v>570</v>
      </c>
      <c r="B42" s="35" t="s">
        <v>610</v>
      </c>
      <c r="C42" s="35" t="s">
        <v>784</v>
      </c>
      <c r="D42" s="35" t="s">
        <v>637</v>
      </c>
      <c r="E42" s="35" t="s">
        <v>332</v>
      </c>
      <c r="F42" s="35" t="s">
        <v>638</v>
      </c>
      <c r="G42" s="35" t="s">
        <v>1740</v>
      </c>
      <c r="H42" s="35"/>
      <c r="I42" s="35" t="s">
        <v>639</v>
      </c>
      <c r="J42" s="35">
        <v>3</v>
      </c>
      <c r="K42" s="35">
        <v>3</v>
      </c>
      <c r="L42" s="35" t="s">
        <v>64</v>
      </c>
      <c r="M42" s="99">
        <v>0.64</v>
      </c>
    </row>
    <row r="43" spans="1:13" x14ac:dyDescent="0.25">
      <c r="A43" s="35" t="s">
        <v>570</v>
      </c>
      <c r="B43" s="35" t="s">
        <v>610</v>
      </c>
      <c r="C43" s="35" t="s">
        <v>164</v>
      </c>
      <c r="D43" s="35" t="s">
        <v>651</v>
      </c>
      <c r="E43" s="35" t="s">
        <v>252</v>
      </c>
      <c r="F43" s="35" t="s">
        <v>719</v>
      </c>
      <c r="G43" s="35" t="s">
        <v>1742</v>
      </c>
      <c r="H43" s="35"/>
      <c r="I43" s="35" t="s">
        <v>652</v>
      </c>
      <c r="J43" s="35">
        <v>3</v>
      </c>
      <c r="K43" s="35">
        <v>3</v>
      </c>
      <c r="L43" s="35" t="s">
        <v>64</v>
      </c>
      <c r="M43" s="99">
        <v>0.64</v>
      </c>
    </row>
    <row r="44" spans="1:13" x14ac:dyDescent="0.25">
      <c r="A44" s="35" t="s">
        <v>367</v>
      </c>
      <c r="B44" s="35" t="s">
        <v>349</v>
      </c>
      <c r="C44" s="35" t="s">
        <v>784</v>
      </c>
      <c r="D44" s="35" t="s">
        <v>364</v>
      </c>
      <c r="E44" s="35" t="s">
        <v>365</v>
      </c>
      <c r="F44" s="35" t="s">
        <v>365</v>
      </c>
      <c r="G44" s="35" t="s">
        <v>366</v>
      </c>
      <c r="H44" s="35"/>
      <c r="I44" s="35"/>
      <c r="J44" s="35">
        <v>3</v>
      </c>
      <c r="K44" s="35">
        <v>3</v>
      </c>
      <c r="L44" s="35" t="s">
        <v>64</v>
      </c>
      <c r="M44" s="99">
        <v>0.64</v>
      </c>
    </row>
    <row r="45" spans="1:13" x14ac:dyDescent="0.25">
      <c r="A45" s="35" t="s">
        <v>570</v>
      </c>
      <c r="B45" s="35" t="s">
        <v>610</v>
      </c>
      <c r="C45" s="35" t="s">
        <v>784</v>
      </c>
      <c r="D45" s="35" t="s">
        <v>631</v>
      </c>
      <c r="E45" s="35" t="s">
        <v>563</v>
      </c>
      <c r="F45" s="35" t="s">
        <v>678</v>
      </c>
      <c r="G45" s="35" t="s">
        <v>632</v>
      </c>
      <c r="H45" s="35"/>
      <c r="I45" s="35" t="s">
        <v>633</v>
      </c>
      <c r="J45" s="35">
        <v>3</v>
      </c>
      <c r="K45" s="35">
        <v>3</v>
      </c>
      <c r="L45" s="35" t="s">
        <v>77</v>
      </c>
      <c r="M45" s="99">
        <v>0.44</v>
      </c>
    </row>
    <row r="46" spans="1:13" x14ac:dyDescent="0.25">
      <c r="A46" s="35" t="s">
        <v>570</v>
      </c>
      <c r="B46" s="35" t="s">
        <v>610</v>
      </c>
      <c r="C46" s="35" t="s">
        <v>784</v>
      </c>
      <c r="D46" s="35" t="s">
        <v>634</v>
      </c>
      <c r="E46" s="35" t="s">
        <v>567</v>
      </c>
      <c r="F46" s="35" t="s">
        <v>635</v>
      </c>
      <c r="G46" s="35" t="s">
        <v>1739</v>
      </c>
      <c r="H46" s="35"/>
      <c r="I46" s="35" t="s">
        <v>636</v>
      </c>
      <c r="J46" s="35">
        <v>3</v>
      </c>
      <c r="K46" s="35">
        <v>3</v>
      </c>
      <c r="L46" s="35" t="s">
        <v>77</v>
      </c>
      <c r="M46" s="99">
        <v>0.44</v>
      </c>
    </row>
    <row r="47" spans="1:13" x14ac:dyDescent="0.25">
      <c r="A47" s="35" t="s">
        <v>570</v>
      </c>
      <c r="B47" s="35" t="s">
        <v>610</v>
      </c>
      <c r="C47" s="35" t="s">
        <v>164</v>
      </c>
      <c r="D47" s="35" t="s">
        <v>649</v>
      </c>
      <c r="E47" s="35" t="s">
        <v>193</v>
      </c>
      <c r="F47" s="35" t="s">
        <v>720</v>
      </c>
      <c r="G47" s="35" t="s">
        <v>1741</v>
      </c>
      <c r="H47" s="35"/>
      <c r="I47" s="35" t="s">
        <v>650</v>
      </c>
      <c r="J47" s="35">
        <v>3</v>
      </c>
      <c r="K47" s="35">
        <v>3</v>
      </c>
      <c r="L47" s="35" t="s">
        <v>77</v>
      </c>
      <c r="M47" s="99">
        <v>0.44</v>
      </c>
    </row>
    <row r="48" spans="1:13" x14ac:dyDescent="0.25">
      <c r="A48" s="35" t="s">
        <v>367</v>
      </c>
      <c r="B48" s="35" t="s">
        <v>349</v>
      </c>
      <c r="C48" s="35" t="s">
        <v>784</v>
      </c>
      <c r="D48" s="35" t="s">
        <v>360</v>
      </c>
      <c r="E48" s="35" t="s">
        <v>361</v>
      </c>
      <c r="F48" s="35" t="s">
        <v>361</v>
      </c>
      <c r="G48" s="35" t="s">
        <v>362</v>
      </c>
      <c r="H48" s="35"/>
      <c r="I48" s="35" t="s">
        <v>363</v>
      </c>
      <c r="J48" s="35">
        <v>3</v>
      </c>
      <c r="K48" s="35">
        <v>3</v>
      </c>
      <c r="L48" s="35" t="s">
        <v>77</v>
      </c>
      <c r="M48" s="99">
        <v>0.44</v>
      </c>
    </row>
    <row r="49" spans="1:13" x14ac:dyDescent="0.25">
      <c r="A49" s="35" t="s">
        <v>367</v>
      </c>
      <c r="B49" s="35" t="s">
        <v>349</v>
      </c>
      <c r="C49" s="35" t="s">
        <v>164</v>
      </c>
      <c r="D49" s="35" t="s">
        <v>368</v>
      </c>
      <c r="E49" s="35" t="s">
        <v>274</v>
      </c>
      <c r="F49" s="35" t="s">
        <v>369</v>
      </c>
      <c r="G49" s="35" t="s">
        <v>370</v>
      </c>
      <c r="H49" s="35" t="s">
        <v>371</v>
      </c>
      <c r="I49" s="35"/>
      <c r="J49" s="35">
        <v>3</v>
      </c>
      <c r="K49" s="35">
        <v>3</v>
      </c>
      <c r="L49" s="35" t="s">
        <v>71</v>
      </c>
      <c r="M49" s="99">
        <v>0.44</v>
      </c>
    </row>
    <row r="50" spans="1:13" x14ac:dyDescent="0.25">
      <c r="A50" s="35" t="s">
        <v>200</v>
      </c>
      <c r="B50" s="35" t="s">
        <v>288</v>
      </c>
      <c r="C50" s="35" t="s">
        <v>164</v>
      </c>
      <c r="D50" s="35" t="s">
        <v>300</v>
      </c>
      <c r="E50" s="35" t="s">
        <v>189</v>
      </c>
      <c r="F50" s="35" t="s">
        <v>301</v>
      </c>
      <c r="G50" s="35" t="s">
        <v>302</v>
      </c>
      <c r="H50" s="35"/>
      <c r="I50" s="35" t="s">
        <v>303</v>
      </c>
      <c r="J50" s="35">
        <v>3</v>
      </c>
      <c r="K50" s="35">
        <v>4</v>
      </c>
      <c r="L50" s="35" t="s">
        <v>77</v>
      </c>
      <c r="M50" s="99">
        <v>0.48</v>
      </c>
    </row>
    <row r="51" spans="1:13" x14ac:dyDescent="0.25">
      <c r="A51" s="35" t="s">
        <v>142</v>
      </c>
      <c r="B51" s="35" t="s">
        <v>174</v>
      </c>
      <c r="C51" s="35" t="s">
        <v>784</v>
      </c>
      <c r="D51" s="35" t="s">
        <v>184</v>
      </c>
      <c r="E51" s="35" t="s">
        <v>185</v>
      </c>
      <c r="F51" s="35" t="s">
        <v>187</v>
      </c>
      <c r="G51" s="35" t="s">
        <v>186</v>
      </c>
      <c r="H51" s="35"/>
      <c r="I51" s="35"/>
      <c r="J51" s="35">
        <v>2</v>
      </c>
      <c r="K51" s="35">
        <v>2</v>
      </c>
      <c r="L51" s="35" t="s">
        <v>50</v>
      </c>
      <c r="M51" s="99">
        <v>0.56000000000000005</v>
      </c>
    </row>
    <row r="52" spans="1:13" x14ac:dyDescent="0.25">
      <c r="A52" s="35" t="s">
        <v>142</v>
      </c>
      <c r="B52" s="35" t="s">
        <v>174</v>
      </c>
      <c r="C52" s="35" t="s">
        <v>784</v>
      </c>
      <c r="D52" s="35" t="s">
        <v>188</v>
      </c>
      <c r="E52" s="35" t="s">
        <v>189</v>
      </c>
      <c r="F52" s="35" t="s">
        <v>191</v>
      </c>
      <c r="G52" s="35" t="s">
        <v>190</v>
      </c>
      <c r="H52" s="35"/>
      <c r="I52" s="35"/>
      <c r="J52" s="35">
        <v>2</v>
      </c>
      <c r="K52" s="35">
        <v>2</v>
      </c>
      <c r="L52" s="35" t="s">
        <v>50</v>
      </c>
      <c r="M52" s="99">
        <v>0.56000000000000005</v>
      </c>
    </row>
    <row r="53" spans="1:13" x14ac:dyDescent="0.25">
      <c r="A53" s="35" t="s">
        <v>142</v>
      </c>
      <c r="B53" s="35" t="s">
        <v>174</v>
      </c>
      <c r="C53" s="35" t="s">
        <v>784</v>
      </c>
      <c r="D53" s="35" t="s">
        <v>653</v>
      </c>
      <c r="E53" s="35" t="s">
        <v>332</v>
      </c>
      <c r="F53" s="35" t="s">
        <v>38</v>
      </c>
      <c r="G53" s="35" t="s">
        <v>654</v>
      </c>
      <c r="H53" s="35"/>
      <c r="I53" s="35"/>
      <c r="J53" s="35">
        <v>2</v>
      </c>
      <c r="K53" s="35">
        <v>2</v>
      </c>
      <c r="L53" s="35" t="s">
        <v>50</v>
      </c>
      <c r="M53" s="99">
        <v>0.56000000000000005</v>
      </c>
    </row>
    <row r="54" spans="1:13" ht="25.5" x14ac:dyDescent="0.25">
      <c r="A54" s="35" t="s">
        <v>142</v>
      </c>
      <c r="B54" s="35" t="s">
        <v>659</v>
      </c>
      <c r="C54" s="35" t="s">
        <v>784</v>
      </c>
      <c r="D54" s="35" t="s">
        <v>681</v>
      </c>
      <c r="E54" s="35" t="s">
        <v>193</v>
      </c>
      <c r="F54" s="35" t="s">
        <v>365</v>
      </c>
      <c r="G54" s="35" t="s">
        <v>682</v>
      </c>
      <c r="H54" s="35"/>
      <c r="I54" s="35"/>
      <c r="J54" s="35">
        <v>2</v>
      </c>
      <c r="K54" s="35">
        <v>2</v>
      </c>
      <c r="L54" s="35" t="s">
        <v>50</v>
      </c>
      <c r="M54" s="99">
        <v>0.56000000000000005</v>
      </c>
    </row>
    <row r="55" spans="1:13" ht="25.5" x14ac:dyDescent="0.25">
      <c r="A55" s="35" t="s">
        <v>142</v>
      </c>
      <c r="B55" s="35" t="s">
        <v>687</v>
      </c>
      <c r="C55" s="35" t="s">
        <v>784</v>
      </c>
      <c r="D55" s="35" t="s">
        <v>700</v>
      </c>
      <c r="E55" s="35" t="s">
        <v>252</v>
      </c>
      <c r="F55" s="35" t="s">
        <v>669</v>
      </c>
      <c r="G55" s="35" t="s">
        <v>701</v>
      </c>
      <c r="H55" s="35"/>
      <c r="I55" s="35" t="s">
        <v>702</v>
      </c>
      <c r="J55" s="35">
        <v>2</v>
      </c>
      <c r="K55" s="35">
        <v>2</v>
      </c>
      <c r="L55" s="35" t="s">
        <v>64</v>
      </c>
      <c r="M55" s="99">
        <v>0.56000000000000005</v>
      </c>
    </row>
    <row r="56" spans="1:13" x14ac:dyDescent="0.25">
      <c r="A56" s="35" t="s">
        <v>142</v>
      </c>
      <c r="B56" s="35" t="s">
        <v>721</v>
      </c>
      <c r="C56" s="35" t="s">
        <v>784</v>
      </c>
      <c r="D56" s="35" t="s">
        <v>736</v>
      </c>
      <c r="E56" s="35" t="s">
        <v>193</v>
      </c>
      <c r="F56" s="35" t="s">
        <v>669</v>
      </c>
      <c r="G56" s="35" t="s">
        <v>737</v>
      </c>
      <c r="H56" s="35"/>
      <c r="I56" s="35" t="s">
        <v>738</v>
      </c>
      <c r="J56" s="35">
        <v>2</v>
      </c>
      <c r="K56" s="35">
        <v>2</v>
      </c>
      <c r="L56" s="35" t="s">
        <v>64</v>
      </c>
      <c r="M56" s="99">
        <v>0.56000000000000005</v>
      </c>
    </row>
    <row r="57" spans="1:13" ht="25.5" x14ac:dyDescent="0.25">
      <c r="A57" s="35" t="s">
        <v>142</v>
      </c>
      <c r="B57" s="35" t="s">
        <v>721</v>
      </c>
      <c r="C57" s="35" t="s">
        <v>784</v>
      </c>
      <c r="D57" s="35" t="s">
        <v>739</v>
      </c>
      <c r="E57" s="35" t="s">
        <v>567</v>
      </c>
      <c r="F57" s="35" t="s">
        <v>669</v>
      </c>
      <c r="G57" s="35" t="s">
        <v>740</v>
      </c>
      <c r="H57" s="35"/>
      <c r="I57" s="35" t="s">
        <v>741</v>
      </c>
      <c r="J57" s="35">
        <v>2</v>
      </c>
      <c r="K57" s="35">
        <v>2</v>
      </c>
      <c r="L57" s="35" t="s">
        <v>64</v>
      </c>
      <c r="M57" s="99">
        <v>0.56000000000000005</v>
      </c>
    </row>
    <row r="58" spans="1:13" x14ac:dyDescent="0.25">
      <c r="A58" s="35" t="s">
        <v>570</v>
      </c>
      <c r="B58" s="35" t="s">
        <v>548</v>
      </c>
      <c r="C58" s="35" t="s">
        <v>784</v>
      </c>
      <c r="D58" s="35" t="s">
        <v>556</v>
      </c>
      <c r="E58" s="35" t="s">
        <v>33</v>
      </c>
      <c r="F58" s="35" t="s">
        <v>557</v>
      </c>
      <c r="G58" s="35" t="s">
        <v>1713</v>
      </c>
      <c r="H58" s="35"/>
      <c r="I58" s="35" t="s">
        <v>558</v>
      </c>
      <c r="J58" s="35">
        <v>2</v>
      </c>
      <c r="K58" s="35">
        <v>2</v>
      </c>
      <c r="L58" s="35" t="s">
        <v>64</v>
      </c>
      <c r="M58" s="99">
        <v>0.56000000000000005</v>
      </c>
    </row>
    <row r="59" spans="1:13" ht="25.5" x14ac:dyDescent="0.25">
      <c r="A59" s="35" t="s">
        <v>570</v>
      </c>
      <c r="B59" s="35" t="s">
        <v>576</v>
      </c>
      <c r="C59" s="35" t="s">
        <v>784</v>
      </c>
      <c r="D59" s="35" t="s">
        <v>588</v>
      </c>
      <c r="E59" s="35" t="s">
        <v>193</v>
      </c>
      <c r="F59" s="35" t="s">
        <v>365</v>
      </c>
      <c r="G59" s="35" t="s">
        <v>1728</v>
      </c>
      <c r="H59" s="35"/>
      <c r="I59" s="35" t="s">
        <v>589</v>
      </c>
      <c r="J59" s="35">
        <v>2</v>
      </c>
      <c r="K59" s="35">
        <v>2</v>
      </c>
      <c r="L59" s="35" t="s">
        <v>64</v>
      </c>
      <c r="M59" s="99">
        <v>0.56000000000000005</v>
      </c>
    </row>
    <row r="60" spans="1:13" ht="25.5" x14ac:dyDescent="0.25">
      <c r="A60" s="35" t="s">
        <v>200</v>
      </c>
      <c r="B60" s="35" t="s">
        <v>309</v>
      </c>
      <c r="C60" s="35" t="s">
        <v>784</v>
      </c>
      <c r="D60" s="35" t="s">
        <v>331</v>
      </c>
      <c r="E60" s="35" t="s">
        <v>332</v>
      </c>
      <c r="F60" s="35" t="s">
        <v>333</v>
      </c>
      <c r="G60" s="35" t="s">
        <v>334</v>
      </c>
      <c r="H60" s="35"/>
      <c r="I60" s="35" t="s">
        <v>335</v>
      </c>
      <c r="J60" s="35">
        <v>2</v>
      </c>
      <c r="K60" s="35">
        <v>2</v>
      </c>
      <c r="L60" s="35" t="s">
        <v>77</v>
      </c>
      <c r="M60" s="99">
        <v>0.36</v>
      </c>
    </row>
    <row r="61" spans="1:13" x14ac:dyDescent="0.25">
      <c r="A61" s="35" t="s">
        <v>570</v>
      </c>
      <c r="B61" s="35" t="s">
        <v>548</v>
      </c>
      <c r="C61" s="35" t="s">
        <v>164</v>
      </c>
      <c r="D61" s="35" t="s">
        <v>571</v>
      </c>
      <c r="E61" s="35" t="s">
        <v>33</v>
      </c>
      <c r="F61" s="35" t="s">
        <v>785</v>
      </c>
      <c r="G61" s="35" t="s">
        <v>1715</v>
      </c>
      <c r="H61" s="35"/>
      <c r="I61" s="35" t="s">
        <v>572</v>
      </c>
      <c r="J61" s="35">
        <v>2</v>
      </c>
      <c r="K61" s="35">
        <v>2</v>
      </c>
      <c r="L61" s="35" t="s">
        <v>77</v>
      </c>
      <c r="M61" s="99">
        <v>0.36</v>
      </c>
    </row>
    <row r="62" spans="1:13" x14ac:dyDescent="0.25">
      <c r="A62" s="35" t="s">
        <v>200</v>
      </c>
      <c r="B62" s="35" t="s">
        <v>240</v>
      </c>
      <c r="C62" s="35" t="s">
        <v>784</v>
      </c>
      <c r="D62" s="35" t="s">
        <v>260</v>
      </c>
      <c r="E62" s="35" t="s">
        <v>193</v>
      </c>
      <c r="F62" s="35" t="s">
        <v>261</v>
      </c>
      <c r="G62" s="35" t="s">
        <v>262</v>
      </c>
      <c r="H62" s="35"/>
      <c r="I62" s="35" t="s">
        <v>263</v>
      </c>
      <c r="J62" s="35">
        <v>2</v>
      </c>
      <c r="K62" s="35">
        <v>3</v>
      </c>
      <c r="L62" s="35" t="s">
        <v>77</v>
      </c>
      <c r="M62" s="99">
        <v>0.4</v>
      </c>
    </row>
    <row r="63" spans="1:13" x14ac:dyDescent="0.25">
      <c r="A63" s="35" t="s">
        <v>200</v>
      </c>
      <c r="B63" s="35" t="s">
        <v>240</v>
      </c>
      <c r="C63" s="35" t="s">
        <v>164</v>
      </c>
      <c r="D63" s="35" t="s">
        <v>279</v>
      </c>
      <c r="E63" s="35" t="s">
        <v>280</v>
      </c>
      <c r="F63" s="35" t="s">
        <v>281</v>
      </c>
      <c r="G63" s="35" t="s">
        <v>282</v>
      </c>
      <c r="H63" s="35"/>
      <c r="I63" s="35" t="s">
        <v>283</v>
      </c>
      <c r="J63" s="35">
        <v>2</v>
      </c>
      <c r="K63" s="35">
        <v>3</v>
      </c>
      <c r="L63" s="35" t="s">
        <v>57</v>
      </c>
      <c r="M63" s="99">
        <v>0.2</v>
      </c>
    </row>
    <row r="64" spans="1:13" x14ac:dyDescent="0.25">
      <c r="A64" s="35" t="s">
        <v>200</v>
      </c>
      <c r="B64" s="35" t="s">
        <v>196</v>
      </c>
      <c r="C64" s="35" t="s">
        <v>164</v>
      </c>
      <c r="D64" s="35" t="s">
        <v>207</v>
      </c>
      <c r="E64" s="35" t="s">
        <v>208</v>
      </c>
      <c r="F64" s="91" t="s">
        <v>209</v>
      </c>
      <c r="G64" s="35" t="s">
        <v>210</v>
      </c>
      <c r="H64" s="35"/>
      <c r="I64" s="35" t="s">
        <v>211</v>
      </c>
      <c r="J64" s="35">
        <v>2</v>
      </c>
      <c r="K64" s="35">
        <v>4</v>
      </c>
      <c r="L64" s="35" t="s">
        <v>77</v>
      </c>
      <c r="M64" s="99">
        <v>0.44</v>
      </c>
    </row>
    <row r="65" spans="1:13" x14ac:dyDescent="0.25">
      <c r="A65" s="35" t="s">
        <v>200</v>
      </c>
      <c r="B65" s="35" t="s">
        <v>468</v>
      </c>
      <c r="C65" s="35" t="s">
        <v>784</v>
      </c>
      <c r="D65" s="35" t="s">
        <v>236</v>
      </c>
      <c r="E65" s="35" t="s">
        <v>229</v>
      </c>
      <c r="F65" s="35" t="s">
        <v>237</v>
      </c>
      <c r="G65" s="35" t="s">
        <v>238</v>
      </c>
      <c r="H65" s="35">
        <v>11971330645</v>
      </c>
      <c r="I65" s="35" t="s">
        <v>239</v>
      </c>
      <c r="J65" s="35">
        <v>1</v>
      </c>
      <c r="K65" s="35">
        <v>1</v>
      </c>
      <c r="L65" s="35" t="s">
        <v>64</v>
      </c>
      <c r="M65" s="99">
        <v>0.48</v>
      </c>
    </row>
    <row r="66" spans="1:13" x14ac:dyDescent="0.25">
      <c r="A66" s="35" t="s">
        <v>200</v>
      </c>
      <c r="B66" s="35" t="s">
        <v>309</v>
      </c>
      <c r="C66" s="35" t="s">
        <v>784</v>
      </c>
      <c r="D66" s="35" t="s">
        <v>317</v>
      </c>
      <c r="E66" s="35" t="s">
        <v>229</v>
      </c>
      <c r="F66" s="35" t="s">
        <v>318</v>
      </c>
      <c r="G66" s="35" t="s">
        <v>1722</v>
      </c>
      <c r="H66" s="35"/>
      <c r="I66" s="35" t="s">
        <v>319</v>
      </c>
      <c r="J66" s="35">
        <v>1</v>
      </c>
      <c r="K66" s="35">
        <v>1</v>
      </c>
      <c r="L66" s="35" t="s">
        <v>50</v>
      </c>
      <c r="M66" s="99">
        <v>0.48</v>
      </c>
    </row>
    <row r="67" spans="1:13" ht="30" x14ac:dyDescent="0.25">
      <c r="A67" s="35" t="s">
        <v>142</v>
      </c>
      <c r="B67" s="35" t="s">
        <v>146</v>
      </c>
      <c r="C67" s="35" t="s">
        <v>784</v>
      </c>
      <c r="D67" s="35" t="s">
        <v>143</v>
      </c>
      <c r="E67" s="35" t="s">
        <v>144</v>
      </c>
      <c r="F67" s="35" t="s">
        <v>27</v>
      </c>
      <c r="G67" s="35" t="s">
        <v>145</v>
      </c>
      <c r="H67" s="35"/>
      <c r="I67" s="36" t="s">
        <v>656</v>
      </c>
      <c r="J67" s="35">
        <v>1</v>
      </c>
      <c r="K67" s="35">
        <v>1</v>
      </c>
      <c r="L67" s="35" t="s">
        <v>64</v>
      </c>
      <c r="M67" s="99">
        <v>0.48</v>
      </c>
    </row>
    <row r="68" spans="1:13" x14ac:dyDescent="0.25">
      <c r="A68" s="35" t="s">
        <v>142</v>
      </c>
      <c r="B68" s="35" t="s">
        <v>174</v>
      </c>
      <c r="C68" s="35" t="s">
        <v>784</v>
      </c>
      <c r="D68" s="35" t="s">
        <v>182</v>
      </c>
      <c r="E68" s="35" t="s">
        <v>153</v>
      </c>
      <c r="F68" s="35" t="s">
        <v>27</v>
      </c>
      <c r="G68" s="35" t="s">
        <v>183</v>
      </c>
      <c r="H68" s="35"/>
      <c r="I68" s="35"/>
      <c r="J68" s="35">
        <v>1</v>
      </c>
      <c r="K68" s="35">
        <v>1</v>
      </c>
      <c r="L68" s="35" t="s">
        <v>64</v>
      </c>
      <c r="M68" s="99">
        <v>0.48</v>
      </c>
    </row>
    <row r="69" spans="1:13" x14ac:dyDescent="0.25">
      <c r="A69" s="35" t="s">
        <v>142</v>
      </c>
      <c r="B69" s="35" t="s">
        <v>659</v>
      </c>
      <c r="C69" s="35" t="s">
        <v>784</v>
      </c>
      <c r="D69" s="35" t="s">
        <v>665</v>
      </c>
      <c r="E69" s="35" t="s">
        <v>153</v>
      </c>
      <c r="F69" s="35" t="s">
        <v>27</v>
      </c>
      <c r="G69" s="35" t="s">
        <v>666</v>
      </c>
      <c r="H69" s="35"/>
      <c r="I69" s="35" t="s">
        <v>667</v>
      </c>
      <c r="J69" s="35">
        <v>1</v>
      </c>
      <c r="K69" s="35">
        <v>1</v>
      </c>
      <c r="L69" s="35" t="s">
        <v>64</v>
      </c>
      <c r="M69" s="99">
        <v>0.48</v>
      </c>
    </row>
    <row r="70" spans="1:13" x14ac:dyDescent="0.25">
      <c r="A70" s="35" t="s">
        <v>142</v>
      </c>
      <c r="B70" s="35" t="s">
        <v>309</v>
      </c>
      <c r="C70" s="35" t="s">
        <v>784</v>
      </c>
      <c r="D70" s="35" t="s">
        <v>668</v>
      </c>
      <c r="E70" s="35" t="s">
        <v>252</v>
      </c>
      <c r="F70" s="35" t="s">
        <v>669</v>
      </c>
      <c r="G70" s="35" t="s">
        <v>1722</v>
      </c>
      <c r="H70" s="35"/>
      <c r="I70" s="35" t="s">
        <v>670</v>
      </c>
      <c r="J70" s="35">
        <v>1</v>
      </c>
      <c r="K70" s="35">
        <v>1</v>
      </c>
      <c r="L70" s="35" t="s">
        <v>50</v>
      </c>
      <c r="M70" s="99">
        <v>0.48</v>
      </c>
    </row>
    <row r="71" spans="1:13" x14ac:dyDescent="0.25">
      <c r="A71" s="35" t="s">
        <v>142</v>
      </c>
      <c r="B71" s="35" t="s">
        <v>687</v>
      </c>
      <c r="C71" s="35" t="s">
        <v>784</v>
      </c>
      <c r="D71" s="35" t="s">
        <v>696</v>
      </c>
      <c r="E71" s="35" t="s">
        <v>153</v>
      </c>
      <c r="F71" s="35" t="s">
        <v>697</v>
      </c>
      <c r="G71" s="35" t="s">
        <v>698</v>
      </c>
      <c r="H71" s="35"/>
      <c r="I71" s="35" t="s">
        <v>699</v>
      </c>
      <c r="J71" s="35">
        <v>1</v>
      </c>
      <c r="K71" s="35">
        <v>1</v>
      </c>
      <c r="L71" s="35" t="s">
        <v>64</v>
      </c>
      <c r="M71" s="99">
        <v>0.48</v>
      </c>
    </row>
    <row r="72" spans="1:13" ht="25.5" x14ac:dyDescent="0.25">
      <c r="A72" s="35" t="s">
        <v>142</v>
      </c>
      <c r="B72" s="35" t="s">
        <v>721</v>
      </c>
      <c r="C72" s="35" t="s">
        <v>784</v>
      </c>
      <c r="D72" s="35" t="s">
        <v>730</v>
      </c>
      <c r="E72" s="35" t="s">
        <v>185</v>
      </c>
      <c r="F72" s="35" t="s">
        <v>669</v>
      </c>
      <c r="G72" s="35" t="s">
        <v>731</v>
      </c>
      <c r="H72" s="35"/>
      <c r="I72" s="35" t="s">
        <v>732</v>
      </c>
      <c r="J72" s="35">
        <v>1</v>
      </c>
      <c r="K72" s="35">
        <v>1</v>
      </c>
      <c r="L72" s="35" t="s">
        <v>50</v>
      </c>
      <c r="M72" s="99">
        <v>0.48</v>
      </c>
    </row>
    <row r="73" spans="1:13" ht="30" x14ac:dyDescent="0.25">
      <c r="A73" s="35" t="s">
        <v>142</v>
      </c>
      <c r="B73" s="35" t="s">
        <v>721</v>
      </c>
      <c r="C73" s="35" t="s">
        <v>784</v>
      </c>
      <c r="D73" s="35" t="s">
        <v>733</v>
      </c>
      <c r="E73" s="35" t="s">
        <v>734</v>
      </c>
      <c r="F73" s="35" t="s">
        <v>669</v>
      </c>
      <c r="G73" s="36" t="s">
        <v>1711</v>
      </c>
      <c r="H73" s="35"/>
      <c r="I73" s="36" t="s">
        <v>735</v>
      </c>
      <c r="J73" s="35">
        <v>1</v>
      </c>
      <c r="K73" s="35">
        <v>1</v>
      </c>
      <c r="L73" s="35" t="s">
        <v>50</v>
      </c>
      <c r="M73" s="99">
        <v>0.48</v>
      </c>
    </row>
    <row r="74" spans="1:13" ht="25.5" x14ac:dyDescent="0.25">
      <c r="A74" s="35" t="s">
        <v>142</v>
      </c>
      <c r="B74" s="35" t="s">
        <v>721</v>
      </c>
      <c r="C74" s="35" t="s">
        <v>784</v>
      </c>
      <c r="D74" s="35" t="s">
        <v>742</v>
      </c>
      <c r="E74" s="35" t="s">
        <v>332</v>
      </c>
      <c r="F74" s="35" t="s">
        <v>669</v>
      </c>
      <c r="G74" s="35" t="s">
        <v>743</v>
      </c>
      <c r="H74" s="35"/>
      <c r="I74" s="35" t="s">
        <v>744</v>
      </c>
      <c r="J74" s="35">
        <v>1</v>
      </c>
      <c r="K74" s="35">
        <v>1</v>
      </c>
      <c r="L74" s="35" t="s">
        <v>50</v>
      </c>
      <c r="M74" s="99">
        <v>0.48</v>
      </c>
    </row>
    <row r="75" spans="1:13" ht="25.5" x14ac:dyDescent="0.25">
      <c r="A75" s="35" t="s">
        <v>570</v>
      </c>
      <c r="B75" s="35" t="s">
        <v>548</v>
      </c>
      <c r="C75" s="35" t="s">
        <v>784</v>
      </c>
      <c r="D75" s="35" t="s">
        <v>553</v>
      </c>
      <c r="E75" s="35" t="s">
        <v>229</v>
      </c>
      <c r="F75" s="35" t="s">
        <v>554</v>
      </c>
      <c r="G75" s="35" t="s">
        <v>1712</v>
      </c>
      <c r="H75" s="35"/>
      <c r="I75" s="35" t="s">
        <v>555</v>
      </c>
      <c r="J75" s="35">
        <v>1</v>
      </c>
      <c r="K75" s="35">
        <v>1</v>
      </c>
      <c r="L75" s="35" t="s">
        <v>64</v>
      </c>
      <c r="M75" s="99">
        <v>0.48</v>
      </c>
    </row>
    <row r="76" spans="1:13" x14ac:dyDescent="0.25">
      <c r="A76" s="35" t="s">
        <v>570</v>
      </c>
      <c r="B76" s="35" t="s">
        <v>576</v>
      </c>
      <c r="C76" s="35" t="s">
        <v>784</v>
      </c>
      <c r="D76" s="35" t="s">
        <v>580</v>
      </c>
      <c r="E76" s="35" t="s">
        <v>229</v>
      </c>
      <c r="F76" s="35" t="s">
        <v>27</v>
      </c>
      <c r="G76" s="35" t="s">
        <v>1720</v>
      </c>
      <c r="H76" s="35"/>
      <c r="I76" s="35" t="s">
        <v>581</v>
      </c>
      <c r="J76" s="35">
        <v>1</v>
      </c>
      <c r="K76" s="35">
        <v>1</v>
      </c>
      <c r="L76" s="35" t="s">
        <v>64</v>
      </c>
      <c r="M76" s="99">
        <v>0.48</v>
      </c>
    </row>
    <row r="77" spans="1:13" x14ac:dyDescent="0.25">
      <c r="A77" s="35" t="s">
        <v>570</v>
      </c>
      <c r="B77" s="35" t="s">
        <v>576</v>
      </c>
      <c r="C77" s="35" t="s">
        <v>784</v>
      </c>
      <c r="D77" s="35" t="s">
        <v>582</v>
      </c>
      <c r="E77" s="35" t="s">
        <v>252</v>
      </c>
      <c r="F77" s="35" t="s">
        <v>583</v>
      </c>
      <c r="G77" s="35" t="s">
        <v>1721</v>
      </c>
      <c r="H77" s="35"/>
      <c r="I77" s="35" t="s">
        <v>584</v>
      </c>
      <c r="J77" s="35">
        <v>1</v>
      </c>
      <c r="K77" s="35">
        <v>1</v>
      </c>
      <c r="L77" s="35" t="s">
        <v>64</v>
      </c>
      <c r="M77" s="99">
        <v>0.48</v>
      </c>
    </row>
    <row r="78" spans="1:13" x14ac:dyDescent="0.25">
      <c r="A78" s="35" t="s">
        <v>570</v>
      </c>
      <c r="B78" s="35" t="s">
        <v>576</v>
      </c>
      <c r="C78" s="35" t="s">
        <v>784</v>
      </c>
      <c r="D78" s="35" t="s">
        <v>585</v>
      </c>
      <c r="E78" s="35" t="s">
        <v>189</v>
      </c>
      <c r="F78" s="35" t="s">
        <v>586</v>
      </c>
      <c r="G78" s="35" t="s">
        <v>1727</v>
      </c>
      <c r="H78" s="35"/>
      <c r="I78" s="35" t="s">
        <v>587</v>
      </c>
      <c r="J78" s="35">
        <v>1</v>
      </c>
      <c r="K78" s="35">
        <v>1</v>
      </c>
      <c r="L78" s="35" t="s">
        <v>64</v>
      </c>
      <c r="M78" s="99">
        <v>0.48</v>
      </c>
    </row>
    <row r="79" spans="1:13" x14ac:dyDescent="0.25">
      <c r="A79" s="35" t="s">
        <v>570</v>
      </c>
      <c r="B79" s="35" t="s">
        <v>576</v>
      </c>
      <c r="C79" s="35" t="s">
        <v>164</v>
      </c>
      <c r="D79" s="35" t="s">
        <v>593</v>
      </c>
      <c r="E79" s="35" t="s">
        <v>179</v>
      </c>
      <c r="F79" s="35" t="s">
        <v>594</v>
      </c>
      <c r="G79" s="35" t="s">
        <v>1730</v>
      </c>
      <c r="H79" s="35"/>
      <c r="I79" s="35" t="s">
        <v>595</v>
      </c>
      <c r="J79" s="35">
        <v>1</v>
      </c>
      <c r="K79" s="35">
        <v>1</v>
      </c>
      <c r="L79" s="35" t="s">
        <v>64</v>
      </c>
      <c r="M79" s="99">
        <v>0.48</v>
      </c>
    </row>
    <row r="80" spans="1:13" ht="25.5" x14ac:dyDescent="0.25">
      <c r="A80" s="35" t="s">
        <v>570</v>
      </c>
      <c r="B80" s="35" t="s">
        <v>596</v>
      </c>
      <c r="C80" s="35" t="s">
        <v>784</v>
      </c>
      <c r="D80" s="35" t="s">
        <v>601</v>
      </c>
      <c r="E80" s="35" t="s">
        <v>252</v>
      </c>
      <c r="F80" s="35" t="s">
        <v>786</v>
      </c>
      <c r="G80" s="35" t="s">
        <v>1731</v>
      </c>
      <c r="H80" s="35"/>
      <c r="I80" s="35" t="s">
        <v>602</v>
      </c>
      <c r="J80" s="35">
        <v>1</v>
      </c>
      <c r="K80" s="35">
        <v>1</v>
      </c>
      <c r="L80" s="35" t="s">
        <v>64</v>
      </c>
      <c r="M80" s="99">
        <v>0.48</v>
      </c>
    </row>
    <row r="81" spans="1:13" x14ac:dyDescent="0.25">
      <c r="A81" s="35" t="s">
        <v>570</v>
      </c>
      <c r="B81" s="35" t="s">
        <v>309</v>
      </c>
      <c r="C81" s="35" t="s">
        <v>784</v>
      </c>
      <c r="D81" s="35" t="s">
        <v>617</v>
      </c>
      <c r="E81" s="35" t="s">
        <v>229</v>
      </c>
      <c r="F81" s="35" t="s">
        <v>554</v>
      </c>
      <c r="G81" s="35" t="s">
        <v>1722</v>
      </c>
      <c r="H81" s="35"/>
      <c r="I81" s="35"/>
      <c r="J81" s="35">
        <v>1</v>
      </c>
      <c r="K81" s="35">
        <v>1</v>
      </c>
      <c r="L81" s="35" t="s">
        <v>64</v>
      </c>
      <c r="M81" s="99">
        <v>0.48</v>
      </c>
    </row>
    <row r="82" spans="1:13" x14ac:dyDescent="0.25">
      <c r="A82" s="35" t="s">
        <v>367</v>
      </c>
      <c r="B82" s="35" t="s">
        <v>349</v>
      </c>
      <c r="C82" s="35" t="s">
        <v>784</v>
      </c>
      <c r="D82" s="35" t="s">
        <v>358</v>
      </c>
      <c r="E82" s="35" t="s">
        <v>27</v>
      </c>
      <c r="F82" s="35" t="s">
        <v>27</v>
      </c>
      <c r="G82" s="35" t="s">
        <v>359</v>
      </c>
      <c r="H82" s="35"/>
      <c r="I82" s="35"/>
      <c r="J82" s="35">
        <v>1</v>
      </c>
      <c r="K82" s="35">
        <v>1</v>
      </c>
      <c r="L82" s="35" t="s">
        <v>50</v>
      </c>
      <c r="M82" s="99">
        <v>0.48</v>
      </c>
    </row>
    <row r="83" spans="1:13" x14ac:dyDescent="0.25">
      <c r="A83" s="35" t="s">
        <v>142</v>
      </c>
      <c r="B83" s="35" t="s">
        <v>721</v>
      </c>
      <c r="C83" s="35" t="s">
        <v>784</v>
      </c>
      <c r="D83" s="35" t="s">
        <v>727</v>
      </c>
      <c r="E83" s="35" t="s">
        <v>252</v>
      </c>
      <c r="F83" s="35" t="s">
        <v>669</v>
      </c>
      <c r="G83" s="35" t="s">
        <v>728</v>
      </c>
      <c r="H83" s="35"/>
      <c r="I83" s="35" t="s">
        <v>729</v>
      </c>
      <c r="J83" s="35">
        <v>1</v>
      </c>
      <c r="K83" s="35">
        <v>1</v>
      </c>
      <c r="L83" s="35" t="s">
        <v>50</v>
      </c>
      <c r="M83" s="99">
        <v>0.44</v>
      </c>
    </row>
    <row r="84" spans="1:13" ht="30" x14ac:dyDescent="0.25">
      <c r="A84" s="35" t="s">
        <v>142</v>
      </c>
      <c r="B84" s="35" t="s">
        <v>146</v>
      </c>
      <c r="C84" s="35" t="s">
        <v>784</v>
      </c>
      <c r="D84" s="35" t="s">
        <v>154</v>
      </c>
      <c r="E84" s="35" t="s">
        <v>155</v>
      </c>
      <c r="F84" s="35" t="s">
        <v>156</v>
      </c>
      <c r="G84" s="35" t="s">
        <v>157</v>
      </c>
      <c r="H84" s="35"/>
      <c r="I84" s="36" t="s">
        <v>657</v>
      </c>
      <c r="J84" s="35">
        <v>1</v>
      </c>
      <c r="K84" s="35">
        <v>1</v>
      </c>
      <c r="L84" s="35" t="s">
        <v>71</v>
      </c>
      <c r="M84" s="99">
        <v>0.28000000000000003</v>
      </c>
    </row>
    <row r="85" spans="1:13" x14ac:dyDescent="0.25">
      <c r="A85" s="35" t="s">
        <v>142</v>
      </c>
      <c r="B85" s="35" t="s">
        <v>146</v>
      </c>
      <c r="C85" s="35" t="s">
        <v>784</v>
      </c>
      <c r="D85" s="35" t="s">
        <v>158</v>
      </c>
      <c r="E85" s="35" t="s">
        <v>159</v>
      </c>
      <c r="F85" s="35" t="s">
        <v>156</v>
      </c>
      <c r="G85" s="35" t="s">
        <v>160</v>
      </c>
      <c r="H85" s="35"/>
      <c r="I85" s="36" t="s">
        <v>658</v>
      </c>
      <c r="J85" s="35">
        <v>1</v>
      </c>
      <c r="K85" s="35">
        <v>1</v>
      </c>
      <c r="L85" s="35" t="s">
        <v>71</v>
      </c>
      <c r="M85" s="99">
        <v>0.28000000000000003</v>
      </c>
    </row>
    <row r="86" spans="1:13" ht="25.5" x14ac:dyDescent="0.25">
      <c r="A86" s="35" t="s">
        <v>200</v>
      </c>
      <c r="B86" s="35" t="s">
        <v>468</v>
      </c>
      <c r="C86" s="35" t="s">
        <v>784</v>
      </c>
      <c r="D86" s="35" t="s">
        <v>228</v>
      </c>
      <c r="E86" s="35" t="s">
        <v>153</v>
      </c>
      <c r="F86" s="35" t="s">
        <v>27</v>
      </c>
      <c r="G86" s="35" t="s">
        <v>230</v>
      </c>
      <c r="H86" s="35">
        <v>11993830096</v>
      </c>
      <c r="I86" s="35" t="s">
        <v>231</v>
      </c>
      <c r="J86" s="35">
        <v>1</v>
      </c>
      <c r="K86" s="35">
        <v>1</v>
      </c>
      <c r="L86" s="35" t="s">
        <v>64</v>
      </c>
      <c r="M86" s="99">
        <v>0.28000000000000003</v>
      </c>
    </row>
    <row r="87" spans="1:13" x14ac:dyDescent="0.25">
      <c r="A87" s="35" t="s">
        <v>200</v>
      </c>
      <c r="B87" s="35" t="s">
        <v>309</v>
      </c>
      <c r="C87" s="35" t="s">
        <v>784</v>
      </c>
      <c r="D87" s="35" t="s">
        <v>320</v>
      </c>
      <c r="E87" s="35" t="s">
        <v>252</v>
      </c>
      <c r="F87" s="35" t="s">
        <v>321</v>
      </c>
      <c r="G87" s="35" t="s">
        <v>322</v>
      </c>
      <c r="H87" s="35"/>
      <c r="I87" s="35" t="s">
        <v>323</v>
      </c>
      <c r="J87" s="35">
        <v>1</v>
      </c>
      <c r="K87" s="35">
        <v>2</v>
      </c>
      <c r="L87" s="35" t="s">
        <v>71</v>
      </c>
      <c r="M87" s="99">
        <v>0.32</v>
      </c>
    </row>
    <row r="88" spans="1:13" x14ac:dyDescent="0.25">
      <c r="A88" s="35" t="s">
        <v>142</v>
      </c>
      <c r="B88" s="35" t="s">
        <v>309</v>
      </c>
      <c r="C88" s="35" t="s">
        <v>784</v>
      </c>
      <c r="D88" s="35" t="s">
        <v>703</v>
      </c>
      <c r="E88" s="35" t="s">
        <v>189</v>
      </c>
      <c r="F88" s="35" t="s">
        <v>156</v>
      </c>
      <c r="G88" s="35" t="s">
        <v>1722</v>
      </c>
      <c r="H88" s="35"/>
      <c r="I88" s="35" t="s">
        <v>704</v>
      </c>
      <c r="J88" s="35">
        <v>1</v>
      </c>
      <c r="K88" s="35">
        <v>2</v>
      </c>
      <c r="L88" s="35" t="s">
        <v>77</v>
      </c>
      <c r="M88" s="99">
        <v>0.32</v>
      </c>
    </row>
    <row r="89" spans="1:13" x14ac:dyDescent="0.25">
      <c r="A89" s="35" t="s">
        <v>142</v>
      </c>
      <c r="B89" s="35" t="s">
        <v>687</v>
      </c>
      <c r="C89" s="35" t="s">
        <v>784</v>
      </c>
      <c r="D89" s="35" t="s">
        <v>705</v>
      </c>
      <c r="E89" s="35" t="s">
        <v>33</v>
      </c>
      <c r="F89" s="35" t="s">
        <v>706</v>
      </c>
      <c r="G89" s="35" t="s">
        <v>707</v>
      </c>
      <c r="H89" s="35"/>
      <c r="I89" s="35" t="s">
        <v>708</v>
      </c>
      <c r="J89" s="35">
        <v>1</v>
      </c>
      <c r="K89" s="35">
        <v>2</v>
      </c>
      <c r="L89" s="35" t="s">
        <v>77</v>
      </c>
      <c r="M89" s="99">
        <v>0.32</v>
      </c>
    </row>
    <row r="90" spans="1:13" ht="25.5" x14ac:dyDescent="0.25">
      <c r="A90" s="35" t="s">
        <v>200</v>
      </c>
      <c r="B90" s="35" t="s">
        <v>240</v>
      </c>
      <c r="C90" s="35" t="s">
        <v>784</v>
      </c>
      <c r="D90" s="35" t="s">
        <v>247</v>
      </c>
      <c r="E90" s="35" t="s">
        <v>153</v>
      </c>
      <c r="F90" s="35" t="s">
        <v>248</v>
      </c>
      <c r="G90" s="35" t="s">
        <v>249</v>
      </c>
      <c r="H90" s="35"/>
      <c r="I90" s="35" t="s">
        <v>250</v>
      </c>
      <c r="J90" s="35">
        <v>1</v>
      </c>
      <c r="K90" s="35">
        <v>3</v>
      </c>
      <c r="L90" s="35" t="s">
        <v>64</v>
      </c>
      <c r="M90" s="99">
        <v>0.56000000000000005</v>
      </c>
    </row>
    <row r="91" spans="1:13" x14ac:dyDescent="0.25">
      <c r="A91" s="35" t="s">
        <v>200</v>
      </c>
      <c r="B91" s="35" t="s">
        <v>240</v>
      </c>
      <c r="C91" s="35" t="s">
        <v>784</v>
      </c>
      <c r="D91" s="35" t="s">
        <v>251</v>
      </c>
      <c r="E91" s="35" t="s">
        <v>252</v>
      </c>
      <c r="F91" s="35" t="s">
        <v>253</v>
      </c>
      <c r="G91" s="35" t="s">
        <v>254</v>
      </c>
      <c r="H91" s="35" t="s">
        <v>255</v>
      </c>
      <c r="I91" s="35" t="s">
        <v>256</v>
      </c>
      <c r="J91" s="35">
        <v>1</v>
      </c>
      <c r="K91" s="35">
        <v>3</v>
      </c>
      <c r="L91" s="35" t="s">
        <v>64</v>
      </c>
      <c r="M91" s="99">
        <v>0.56000000000000005</v>
      </c>
    </row>
    <row r="92" spans="1:13" x14ac:dyDescent="0.25">
      <c r="A92" s="35" t="s">
        <v>200</v>
      </c>
      <c r="B92" s="35" t="s">
        <v>240</v>
      </c>
      <c r="C92" s="35" t="s">
        <v>784</v>
      </c>
      <c r="D92" s="35" t="s">
        <v>269</v>
      </c>
      <c r="E92" s="35" t="s">
        <v>193</v>
      </c>
      <c r="F92" s="35" t="s">
        <v>270</v>
      </c>
      <c r="G92" s="35" t="s">
        <v>271</v>
      </c>
      <c r="H92" s="35"/>
      <c r="I92" s="35" t="s">
        <v>272</v>
      </c>
      <c r="J92" s="35">
        <v>1</v>
      </c>
      <c r="K92" s="35">
        <v>3</v>
      </c>
      <c r="L92" s="35" t="s">
        <v>50</v>
      </c>
      <c r="M92" s="99">
        <v>0.56000000000000005</v>
      </c>
    </row>
    <row r="93" spans="1:13" x14ac:dyDescent="0.25">
      <c r="A93" s="35" t="s">
        <v>200</v>
      </c>
      <c r="B93" s="35" t="s">
        <v>240</v>
      </c>
      <c r="C93" s="35" t="s">
        <v>784</v>
      </c>
      <c r="D93" s="35" t="s">
        <v>257</v>
      </c>
      <c r="E93" s="35" t="s">
        <v>185</v>
      </c>
      <c r="F93" s="35" t="s">
        <v>187</v>
      </c>
      <c r="G93" s="35" t="s">
        <v>258</v>
      </c>
      <c r="H93" s="35"/>
      <c r="I93" s="35" t="s">
        <v>259</v>
      </c>
      <c r="J93" s="35">
        <v>1</v>
      </c>
      <c r="K93" s="35">
        <v>3</v>
      </c>
      <c r="L93" s="35" t="s">
        <v>77</v>
      </c>
      <c r="M93" s="99">
        <v>0.36</v>
      </c>
    </row>
    <row r="94" spans="1:13" ht="25.5" x14ac:dyDescent="0.25">
      <c r="A94" s="35" t="s">
        <v>142</v>
      </c>
      <c r="B94" s="35" t="s">
        <v>755</v>
      </c>
      <c r="C94" s="35" t="s">
        <v>784</v>
      </c>
      <c r="D94" s="35" t="s">
        <v>761</v>
      </c>
      <c r="E94" s="35" t="s">
        <v>153</v>
      </c>
      <c r="F94" s="35" t="s">
        <v>27</v>
      </c>
      <c r="G94" s="35" t="s">
        <v>762</v>
      </c>
      <c r="H94" s="35"/>
      <c r="I94" s="35" t="s">
        <v>763</v>
      </c>
      <c r="J94" s="35">
        <v>1</v>
      </c>
      <c r="K94" s="35">
        <v>5</v>
      </c>
      <c r="L94" s="35" t="s">
        <v>64</v>
      </c>
      <c r="M94" s="99">
        <v>0.64</v>
      </c>
    </row>
    <row r="95" spans="1:13" ht="25.5" x14ac:dyDescent="0.25">
      <c r="A95" s="35" t="s">
        <v>142</v>
      </c>
      <c r="B95" s="35" t="s">
        <v>755</v>
      </c>
      <c r="C95" s="35" t="s">
        <v>784</v>
      </c>
      <c r="D95" s="35" t="s">
        <v>764</v>
      </c>
      <c r="E95" s="35" t="s">
        <v>252</v>
      </c>
      <c r="F95" s="35" t="s">
        <v>169</v>
      </c>
      <c r="G95" s="35" t="s">
        <v>765</v>
      </c>
      <c r="H95" s="35"/>
      <c r="I95" s="35" t="s">
        <v>766</v>
      </c>
      <c r="J95" s="35">
        <v>1</v>
      </c>
      <c r="K95" s="35">
        <v>5</v>
      </c>
      <c r="L95" s="35" t="s">
        <v>50</v>
      </c>
      <c r="M95" s="99">
        <v>0.64</v>
      </c>
    </row>
    <row r="96" spans="1:13" ht="25.5" x14ac:dyDescent="0.25">
      <c r="A96" s="35" t="s">
        <v>142</v>
      </c>
      <c r="B96" s="35" t="s">
        <v>755</v>
      </c>
      <c r="C96" s="35" t="s">
        <v>784</v>
      </c>
      <c r="D96" s="35" t="s">
        <v>767</v>
      </c>
      <c r="E96" s="35" t="s">
        <v>33</v>
      </c>
      <c r="F96" s="35" t="s">
        <v>768</v>
      </c>
      <c r="G96" s="35" t="s">
        <v>769</v>
      </c>
      <c r="H96" s="35"/>
      <c r="I96" s="35" t="s">
        <v>770</v>
      </c>
      <c r="J96" s="35">
        <v>1</v>
      </c>
      <c r="K96" s="35">
        <v>5</v>
      </c>
      <c r="L96" s="35" t="s">
        <v>50</v>
      </c>
      <c r="M96" s="99">
        <v>0.64</v>
      </c>
    </row>
    <row r="97" spans="1:13" x14ac:dyDescent="0.25">
      <c r="A97" s="35" t="s">
        <v>200</v>
      </c>
      <c r="B97" s="35" t="s">
        <v>309</v>
      </c>
      <c r="C97" s="35" t="s">
        <v>784</v>
      </c>
      <c r="D97" s="35" t="s">
        <v>324</v>
      </c>
      <c r="E97" s="35" t="s">
        <v>325</v>
      </c>
      <c r="F97" s="35" t="s">
        <v>326</v>
      </c>
      <c r="G97" s="35" t="s">
        <v>1723</v>
      </c>
      <c r="H97" s="35"/>
      <c r="I97" s="35"/>
      <c r="J97" s="35">
        <v>0</v>
      </c>
      <c r="K97" s="35">
        <v>0</v>
      </c>
      <c r="L97" s="35" t="s">
        <v>396</v>
      </c>
      <c r="M97" s="99">
        <v>0</v>
      </c>
    </row>
    <row r="98" spans="1:13" x14ac:dyDescent="0.25">
      <c r="A98" s="35" t="s">
        <v>200</v>
      </c>
      <c r="B98" s="35" t="s">
        <v>309</v>
      </c>
      <c r="C98" s="35" t="s">
        <v>784</v>
      </c>
      <c r="D98" s="35" t="s">
        <v>327</v>
      </c>
      <c r="E98" s="35" t="s">
        <v>328</v>
      </c>
      <c r="F98" s="35" t="s">
        <v>329</v>
      </c>
      <c r="G98" s="35" t="s">
        <v>330</v>
      </c>
      <c r="H98" s="35"/>
      <c r="I98" s="35"/>
      <c r="J98" s="35">
        <v>0</v>
      </c>
      <c r="K98" s="35">
        <v>0</v>
      </c>
      <c r="L98" s="35" t="s">
        <v>396</v>
      </c>
      <c r="M98" s="99">
        <v>0</v>
      </c>
    </row>
    <row r="99" spans="1:13" ht="25.5" x14ac:dyDescent="0.25">
      <c r="A99" s="35" t="s">
        <v>142</v>
      </c>
      <c r="B99" s="35" t="s">
        <v>659</v>
      </c>
      <c r="C99" s="35" t="s">
        <v>784</v>
      </c>
      <c r="D99" s="35" t="s">
        <v>671</v>
      </c>
      <c r="E99" s="35" t="s">
        <v>185</v>
      </c>
      <c r="F99" s="35" t="s">
        <v>669</v>
      </c>
      <c r="G99" s="35" t="s">
        <v>672</v>
      </c>
      <c r="H99" s="35"/>
      <c r="I99" s="35" t="s">
        <v>673</v>
      </c>
      <c r="J99" s="35">
        <v>0</v>
      </c>
      <c r="K99" s="35">
        <v>0</v>
      </c>
      <c r="L99" s="35" t="s">
        <v>396</v>
      </c>
      <c r="M99" s="99">
        <v>0</v>
      </c>
    </row>
    <row r="100" spans="1:13" ht="25.5" x14ac:dyDescent="0.25">
      <c r="A100" s="35" t="s">
        <v>142</v>
      </c>
      <c r="B100" s="35" t="s">
        <v>659</v>
      </c>
      <c r="C100" s="35" t="s">
        <v>784</v>
      </c>
      <c r="D100" s="35" t="s">
        <v>674</v>
      </c>
      <c r="E100" s="35" t="s">
        <v>33</v>
      </c>
      <c r="F100" s="35" t="s">
        <v>669</v>
      </c>
      <c r="G100" s="35" t="s">
        <v>675</v>
      </c>
      <c r="H100" s="35"/>
      <c r="I100" s="35" t="s">
        <v>676</v>
      </c>
      <c r="J100" s="35">
        <v>0</v>
      </c>
      <c r="K100" s="35">
        <v>0</v>
      </c>
      <c r="L100" s="35" t="s">
        <v>396</v>
      </c>
      <c r="M100" s="99">
        <v>0</v>
      </c>
    </row>
    <row r="101" spans="1:13" ht="25.5" x14ac:dyDescent="0.25">
      <c r="A101" s="35" t="s">
        <v>142</v>
      </c>
      <c r="B101" s="35" t="s">
        <v>659</v>
      </c>
      <c r="C101" s="35" t="s">
        <v>784</v>
      </c>
      <c r="D101" s="35" t="s">
        <v>683</v>
      </c>
      <c r="E101" s="35" t="s">
        <v>332</v>
      </c>
      <c r="F101" s="35" t="s">
        <v>669</v>
      </c>
      <c r="G101" s="35" t="s">
        <v>684</v>
      </c>
      <c r="H101" s="35"/>
      <c r="I101" s="35" t="s">
        <v>685</v>
      </c>
      <c r="J101" s="35">
        <v>0</v>
      </c>
      <c r="K101" s="35">
        <v>0</v>
      </c>
      <c r="L101" s="35" t="s">
        <v>396</v>
      </c>
      <c r="M101" s="99">
        <v>0</v>
      </c>
    </row>
    <row r="102" spans="1:13" ht="25.5" x14ac:dyDescent="0.25">
      <c r="A102" s="35" t="s">
        <v>142</v>
      </c>
      <c r="B102" s="35" t="s">
        <v>755</v>
      </c>
      <c r="C102" s="35" t="s">
        <v>784</v>
      </c>
      <c r="D102" s="35" t="s">
        <v>776</v>
      </c>
      <c r="E102" s="35" t="s">
        <v>332</v>
      </c>
      <c r="F102" s="35" t="s">
        <v>169</v>
      </c>
      <c r="G102" s="35" t="s">
        <v>777</v>
      </c>
      <c r="H102" s="35"/>
      <c r="I102" s="35" t="s">
        <v>778</v>
      </c>
      <c r="J102" s="35">
        <v>0</v>
      </c>
      <c r="K102" s="35">
        <v>0</v>
      </c>
      <c r="L102" s="35" t="s">
        <v>396</v>
      </c>
      <c r="M102" s="99">
        <v>0</v>
      </c>
    </row>
    <row r="103" spans="1:13" x14ac:dyDescent="0.25">
      <c r="A103" s="35" t="s">
        <v>367</v>
      </c>
      <c r="B103" s="35" t="s">
        <v>349</v>
      </c>
      <c r="C103" s="35" t="s">
        <v>164</v>
      </c>
      <c r="D103" s="35" t="s">
        <v>372</v>
      </c>
      <c r="E103" s="35" t="s">
        <v>274</v>
      </c>
      <c r="F103" s="35" t="s">
        <v>373</v>
      </c>
      <c r="G103" s="35" t="s">
        <v>374</v>
      </c>
      <c r="H103" s="35"/>
      <c r="I103" s="35"/>
      <c r="J103" s="35">
        <v>0</v>
      </c>
      <c r="K103" s="35">
        <v>0</v>
      </c>
      <c r="L103" s="35" t="s">
        <v>396</v>
      </c>
      <c r="M103" s="99">
        <v>0</v>
      </c>
    </row>
    <row r="104" spans="1:13" x14ac:dyDescent="0.25">
      <c r="A104" s="35" t="s">
        <v>367</v>
      </c>
      <c r="B104" s="35" t="s">
        <v>349</v>
      </c>
      <c r="C104" s="35" t="s">
        <v>164</v>
      </c>
      <c r="D104" s="35" t="s">
        <v>375</v>
      </c>
      <c r="E104" s="35" t="s">
        <v>376</v>
      </c>
      <c r="F104" s="35" t="s">
        <v>377</v>
      </c>
      <c r="G104" s="35" t="s">
        <v>378</v>
      </c>
      <c r="H104" s="35"/>
      <c r="I104" s="35"/>
      <c r="J104" s="35">
        <v>0</v>
      </c>
      <c r="K104" s="35">
        <v>0</v>
      </c>
      <c r="L104" s="35" t="s">
        <v>396</v>
      </c>
      <c r="M104" s="99">
        <v>0</v>
      </c>
    </row>
    <row r="105" spans="1:13" x14ac:dyDescent="0.25">
      <c r="A105" s="35" t="s">
        <v>367</v>
      </c>
      <c r="B105" s="35" t="s">
        <v>349</v>
      </c>
      <c r="C105" s="35" t="s">
        <v>164</v>
      </c>
      <c r="D105" s="35" t="s">
        <v>379</v>
      </c>
      <c r="E105" s="35" t="s">
        <v>376</v>
      </c>
      <c r="F105" s="35" t="s">
        <v>380</v>
      </c>
      <c r="G105" s="35" t="s">
        <v>381</v>
      </c>
      <c r="H105" s="35"/>
      <c r="I105" s="35"/>
      <c r="J105" s="35">
        <v>0</v>
      </c>
      <c r="K105" s="35">
        <v>0</v>
      </c>
      <c r="L105" s="35" t="s">
        <v>396</v>
      </c>
      <c r="M105" s="99">
        <v>0</v>
      </c>
    </row>
    <row r="106" spans="1:13" x14ac:dyDescent="0.25">
      <c r="A106" s="35" t="s">
        <v>367</v>
      </c>
      <c r="B106" s="35" t="s">
        <v>349</v>
      </c>
      <c r="C106" s="35" t="s">
        <v>164</v>
      </c>
      <c r="D106" s="35" t="s">
        <v>382</v>
      </c>
      <c r="E106" s="35" t="s">
        <v>97</v>
      </c>
      <c r="F106" s="35" t="s">
        <v>383</v>
      </c>
      <c r="G106" s="35" t="s">
        <v>384</v>
      </c>
      <c r="H106" s="35"/>
      <c r="I106" s="35"/>
      <c r="J106" s="35">
        <v>0</v>
      </c>
      <c r="K106" s="35">
        <v>0</v>
      </c>
      <c r="L106" s="35" t="s">
        <v>396</v>
      </c>
      <c r="M106" s="99">
        <v>0</v>
      </c>
    </row>
    <row r="107" spans="1:13" x14ac:dyDescent="0.25">
      <c r="A107" s="35" t="s">
        <v>367</v>
      </c>
      <c r="B107" s="35" t="s">
        <v>349</v>
      </c>
      <c r="C107" s="35" t="s">
        <v>164</v>
      </c>
      <c r="D107" s="35" t="s">
        <v>385</v>
      </c>
      <c r="E107" s="35" t="s">
        <v>193</v>
      </c>
      <c r="F107" s="35" t="s">
        <v>386</v>
      </c>
      <c r="G107" s="35" t="s">
        <v>387</v>
      </c>
      <c r="H107" s="35" t="s">
        <v>388</v>
      </c>
      <c r="I107" s="35"/>
      <c r="J107" s="35">
        <v>0</v>
      </c>
      <c r="K107" s="35">
        <v>0</v>
      </c>
      <c r="L107" s="35" t="s">
        <v>396</v>
      </c>
      <c r="M107" s="99">
        <v>0</v>
      </c>
    </row>
    <row r="108" spans="1:13" x14ac:dyDescent="0.25">
      <c r="A108" s="35" t="s">
        <v>367</v>
      </c>
      <c r="B108" s="35" t="s">
        <v>349</v>
      </c>
      <c r="C108" s="35" t="s">
        <v>164</v>
      </c>
      <c r="D108" s="35" t="s">
        <v>389</v>
      </c>
      <c r="E108" s="35" t="s">
        <v>390</v>
      </c>
      <c r="F108" s="35" t="s">
        <v>391</v>
      </c>
      <c r="G108" s="35" t="s">
        <v>392</v>
      </c>
      <c r="H108" s="35"/>
      <c r="I108" s="35"/>
      <c r="J108" s="35">
        <v>0</v>
      </c>
      <c r="K108" s="35">
        <v>0</v>
      </c>
      <c r="L108" s="35" t="s">
        <v>396</v>
      </c>
      <c r="M108" s="99">
        <v>0</v>
      </c>
    </row>
    <row r="109" spans="1:13" x14ac:dyDescent="0.25">
      <c r="A109" s="35" t="s">
        <v>367</v>
      </c>
      <c r="B109" s="35" t="s">
        <v>349</v>
      </c>
      <c r="C109" s="35" t="s">
        <v>164</v>
      </c>
      <c r="D109" s="35" t="s">
        <v>393</v>
      </c>
      <c r="E109" s="35" t="s">
        <v>193</v>
      </c>
      <c r="F109" s="35" t="s">
        <v>394</v>
      </c>
      <c r="G109" s="35" t="s">
        <v>395</v>
      </c>
      <c r="H109" s="35"/>
      <c r="I109" s="35"/>
      <c r="J109" s="35">
        <v>0</v>
      </c>
      <c r="K109" s="35">
        <v>0</v>
      </c>
      <c r="L109" s="35" t="s">
        <v>396</v>
      </c>
      <c r="M109" s="99">
        <v>0</v>
      </c>
    </row>
    <row r="110" spans="1:13" ht="25.5" x14ac:dyDescent="0.25">
      <c r="A110" s="35" t="s">
        <v>958</v>
      </c>
      <c r="B110" s="35" t="s">
        <v>959</v>
      </c>
      <c r="C110" s="35" t="s">
        <v>784</v>
      </c>
      <c r="D110" s="35" t="s">
        <v>965</v>
      </c>
      <c r="E110" s="35" t="s">
        <v>193</v>
      </c>
      <c r="F110" s="35" t="s">
        <v>195</v>
      </c>
      <c r="G110" s="35" t="s">
        <v>966</v>
      </c>
      <c r="H110" s="35">
        <v>5511998464820</v>
      </c>
      <c r="I110" s="35" t="s">
        <v>967</v>
      </c>
      <c r="J110" s="35">
        <v>4</v>
      </c>
      <c r="K110" s="35">
        <v>4</v>
      </c>
      <c r="L110" s="35" t="s">
        <v>50</v>
      </c>
      <c r="M110" s="99">
        <v>0.72</v>
      </c>
    </row>
    <row r="111" spans="1:13" ht="25.5" x14ac:dyDescent="0.25">
      <c r="A111" s="35" t="s">
        <v>958</v>
      </c>
      <c r="B111" s="35" t="s">
        <v>959</v>
      </c>
      <c r="C111" s="35" t="s">
        <v>784</v>
      </c>
      <c r="D111" s="35" t="s">
        <v>968</v>
      </c>
      <c r="E111" s="35" t="s">
        <v>193</v>
      </c>
      <c r="F111" s="35" t="s">
        <v>969</v>
      </c>
      <c r="G111" s="35" t="s">
        <v>970</v>
      </c>
      <c r="H111" s="35" t="s">
        <v>971</v>
      </c>
      <c r="I111" s="35" t="s">
        <v>972</v>
      </c>
      <c r="J111" s="35">
        <v>5</v>
      </c>
      <c r="K111" s="35">
        <v>5</v>
      </c>
      <c r="L111" s="35" t="s">
        <v>71</v>
      </c>
      <c r="M111" s="99">
        <v>0.6</v>
      </c>
    </row>
    <row r="112" spans="1:13" ht="25.5" x14ac:dyDescent="0.25">
      <c r="A112" s="35" t="s">
        <v>958</v>
      </c>
      <c r="B112" s="35" t="s">
        <v>959</v>
      </c>
      <c r="C112" s="35" t="s">
        <v>164</v>
      </c>
      <c r="D112" s="35" t="s">
        <v>968</v>
      </c>
      <c r="E112" s="35" t="s">
        <v>193</v>
      </c>
      <c r="F112" s="35" t="s">
        <v>969</v>
      </c>
      <c r="G112" s="35" t="s">
        <v>970</v>
      </c>
      <c r="H112" s="35" t="s">
        <v>971</v>
      </c>
      <c r="I112" s="35" t="s">
        <v>972</v>
      </c>
      <c r="J112" s="35">
        <v>5</v>
      </c>
      <c r="K112" s="35">
        <v>5</v>
      </c>
      <c r="L112" s="35" t="s">
        <v>64</v>
      </c>
      <c r="M112" s="99">
        <v>0.8</v>
      </c>
    </row>
    <row r="113" spans="1:13" ht="25.5" x14ac:dyDescent="0.25">
      <c r="A113" s="35" t="s">
        <v>958</v>
      </c>
      <c r="B113" s="35" t="s">
        <v>959</v>
      </c>
      <c r="C113" s="35" t="s">
        <v>164</v>
      </c>
      <c r="D113" s="35" t="s">
        <v>965</v>
      </c>
      <c r="E113" s="35" t="s">
        <v>193</v>
      </c>
      <c r="F113" s="35" t="s">
        <v>195</v>
      </c>
      <c r="G113" s="35" t="s">
        <v>966</v>
      </c>
      <c r="H113" s="35">
        <v>5511998464820</v>
      </c>
      <c r="I113" s="35" t="s">
        <v>967</v>
      </c>
      <c r="J113" s="35">
        <v>4</v>
      </c>
      <c r="K113" s="35">
        <v>4</v>
      </c>
      <c r="L113" s="35" t="s">
        <v>50</v>
      </c>
      <c r="M113" s="99">
        <v>0.72</v>
      </c>
    </row>
    <row r="114" spans="1:13" ht="25.5" x14ac:dyDescent="0.25">
      <c r="A114" s="35" t="s">
        <v>973</v>
      </c>
      <c r="B114" s="35" t="s">
        <v>974</v>
      </c>
      <c r="C114" s="35" t="s">
        <v>784</v>
      </c>
      <c r="D114" s="35" t="s">
        <v>982</v>
      </c>
      <c r="E114" s="35" t="s">
        <v>983</v>
      </c>
      <c r="F114" s="35" t="s">
        <v>27</v>
      </c>
      <c r="G114" s="35" t="s">
        <v>984</v>
      </c>
      <c r="H114" s="35" t="s">
        <v>985</v>
      </c>
      <c r="I114" s="35" t="s">
        <v>986</v>
      </c>
      <c r="J114" s="35">
        <v>1</v>
      </c>
      <c r="K114" s="35">
        <v>1</v>
      </c>
      <c r="L114" s="35" t="s">
        <v>64</v>
      </c>
      <c r="M114" s="99">
        <v>0.48</v>
      </c>
    </row>
    <row r="115" spans="1:13" x14ac:dyDescent="0.25">
      <c r="A115" s="35" t="s">
        <v>973</v>
      </c>
      <c r="B115" s="35" t="s">
        <v>974</v>
      </c>
      <c r="C115" s="35" t="s">
        <v>784</v>
      </c>
      <c r="D115" s="35" t="s">
        <v>987</v>
      </c>
      <c r="E115" s="35" t="s">
        <v>983</v>
      </c>
      <c r="F115" s="35" t="s">
        <v>321</v>
      </c>
      <c r="G115" s="35" t="s">
        <v>988</v>
      </c>
      <c r="H115" s="35" t="s">
        <v>985</v>
      </c>
      <c r="I115" s="35" t="s">
        <v>989</v>
      </c>
      <c r="J115" s="35">
        <v>1</v>
      </c>
      <c r="K115" s="35">
        <v>1</v>
      </c>
      <c r="L115" s="35" t="s">
        <v>64</v>
      </c>
      <c r="M115" s="99">
        <v>0.48</v>
      </c>
    </row>
    <row r="116" spans="1:13" x14ac:dyDescent="0.25">
      <c r="A116" s="35" t="s">
        <v>973</v>
      </c>
      <c r="B116" s="35" t="s">
        <v>974</v>
      </c>
      <c r="C116" s="35" t="s">
        <v>784</v>
      </c>
      <c r="D116" s="35" t="s">
        <v>990</v>
      </c>
      <c r="E116" s="35" t="s">
        <v>983</v>
      </c>
      <c r="F116" s="35" t="s">
        <v>991</v>
      </c>
      <c r="G116" s="35" t="s">
        <v>992</v>
      </c>
      <c r="H116" s="35" t="s">
        <v>985</v>
      </c>
      <c r="I116" s="35" t="s">
        <v>993</v>
      </c>
      <c r="J116" s="35">
        <v>1</v>
      </c>
      <c r="K116" s="35">
        <v>1</v>
      </c>
      <c r="L116" s="35" t="s">
        <v>77</v>
      </c>
      <c r="M116" s="99">
        <v>0.28000000000000003</v>
      </c>
    </row>
    <row r="117" spans="1:13" ht="25.5" x14ac:dyDescent="0.25">
      <c r="A117" s="35" t="s">
        <v>973</v>
      </c>
      <c r="B117" s="35" t="s">
        <v>974</v>
      </c>
      <c r="C117" s="35" t="s">
        <v>784</v>
      </c>
      <c r="D117" s="35" t="s">
        <v>994</v>
      </c>
      <c r="E117" s="35" t="s">
        <v>33</v>
      </c>
      <c r="F117" s="35" t="s">
        <v>995</v>
      </c>
      <c r="G117" s="35" t="s">
        <v>996</v>
      </c>
      <c r="H117" s="35" t="s">
        <v>985</v>
      </c>
      <c r="I117" s="35" t="s">
        <v>997</v>
      </c>
      <c r="J117" s="35">
        <v>1</v>
      </c>
      <c r="K117" s="35">
        <v>1</v>
      </c>
      <c r="L117" s="35" t="s">
        <v>77</v>
      </c>
      <c r="M117" s="99">
        <v>0.28000000000000003</v>
      </c>
    </row>
    <row r="118" spans="1:13" ht="25.5" x14ac:dyDescent="0.25">
      <c r="A118" s="35" t="s">
        <v>973</v>
      </c>
      <c r="B118" s="35" t="s">
        <v>974</v>
      </c>
      <c r="C118" s="35" t="s">
        <v>784</v>
      </c>
      <c r="D118" s="35" t="s">
        <v>998</v>
      </c>
      <c r="E118" s="35" t="s">
        <v>193</v>
      </c>
      <c r="F118" s="35" t="s">
        <v>999</v>
      </c>
      <c r="G118" s="35" t="s">
        <v>1000</v>
      </c>
      <c r="H118" s="35" t="s">
        <v>985</v>
      </c>
      <c r="I118" s="35" t="s">
        <v>1001</v>
      </c>
      <c r="J118" s="35">
        <v>1</v>
      </c>
      <c r="K118" s="35">
        <v>1</v>
      </c>
      <c r="L118" s="35" t="s">
        <v>64</v>
      </c>
      <c r="M118" s="99">
        <v>0.48</v>
      </c>
    </row>
    <row r="119" spans="1:13" x14ac:dyDescent="0.25">
      <c r="A119" s="35" t="s">
        <v>973</v>
      </c>
      <c r="B119" s="35" t="s">
        <v>974</v>
      </c>
      <c r="C119" s="35" t="s">
        <v>784</v>
      </c>
      <c r="D119" s="35" t="s">
        <v>1002</v>
      </c>
      <c r="E119" s="35" t="s">
        <v>193</v>
      </c>
      <c r="F119" s="35" t="s">
        <v>361</v>
      </c>
      <c r="G119" s="35" t="s">
        <v>1003</v>
      </c>
      <c r="H119" s="35" t="s">
        <v>985</v>
      </c>
      <c r="I119" s="35" t="s">
        <v>1003</v>
      </c>
      <c r="J119" s="35">
        <v>1</v>
      </c>
      <c r="K119" s="35">
        <v>1</v>
      </c>
      <c r="L119" s="35" t="s">
        <v>64</v>
      </c>
      <c r="M119" s="99">
        <v>0.48</v>
      </c>
    </row>
    <row r="120" spans="1:13" x14ac:dyDescent="0.25">
      <c r="A120" s="35" t="s">
        <v>973</v>
      </c>
      <c r="B120" s="35" t="s">
        <v>974</v>
      </c>
      <c r="C120" s="35" t="s">
        <v>784</v>
      </c>
      <c r="D120" s="35" t="s">
        <v>1004</v>
      </c>
      <c r="E120" s="35" t="s">
        <v>193</v>
      </c>
      <c r="F120" s="35" t="s">
        <v>394</v>
      </c>
      <c r="G120" s="35" t="s">
        <v>1005</v>
      </c>
      <c r="H120" s="35" t="s">
        <v>985</v>
      </c>
      <c r="I120" s="35" t="s">
        <v>1006</v>
      </c>
      <c r="J120" s="35">
        <v>1</v>
      </c>
      <c r="K120" s="35">
        <v>1</v>
      </c>
      <c r="L120" s="35" t="s">
        <v>64</v>
      </c>
      <c r="M120" s="99">
        <v>0.48</v>
      </c>
    </row>
    <row r="121" spans="1:13" x14ac:dyDescent="0.25">
      <c r="A121" s="35" t="s">
        <v>973</v>
      </c>
      <c r="B121" s="35" t="s">
        <v>974</v>
      </c>
      <c r="C121" s="35" t="s">
        <v>784</v>
      </c>
      <c r="D121" s="35" t="s">
        <v>1007</v>
      </c>
      <c r="E121" s="35" t="s">
        <v>332</v>
      </c>
      <c r="F121" s="35" t="s">
        <v>1008</v>
      </c>
      <c r="G121" s="35" t="s">
        <v>1009</v>
      </c>
      <c r="H121" s="35" t="s">
        <v>985</v>
      </c>
      <c r="I121" s="35" t="s">
        <v>1010</v>
      </c>
      <c r="J121" s="35">
        <v>1</v>
      </c>
      <c r="K121" s="35">
        <v>1</v>
      </c>
      <c r="L121" s="35" t="s">
        <v>77</v>
      </c>
      <c r="M121" s="99">
        <v>0.28000000000000003</v>
      </c>
    </row>
    <row r="122" spans="1:13" x14ac:dyDescent="0.25">
      <c r="A122" s="35" t="s">
        <v>973</v>
      </c>
      <c r="B122" s="35" t="s">
        <v>974</v>
      </c>
      <c r="C122" s="35" t="s">
        <v>164</v>
      </c>
      <c r="D122" s="35" t="s">
        <v>1011</v>
      </c>
      <c r="E122" s="35" t="s">
        <v>1012</v>
      </c>
      <c r="F122" s="35" t="s">
        <v>1013</v>
      </c>
      <c r="G122" s="35" t="s">
        <v>1014</v>
      </c>
      <c r="H122" s="35" t="s">
        <v>1015</v>
      </c>
      <c r="I122" s="35" t="s">
        <v>1016</v>
      </c>
      <c r="J122" s="35">
        <v>5</v>
      </c>
      <c r="K122" s="35">
        <v>5</v>
      </c>
      <c r="L122" s="35" t="s">
        <v>64</v>
      </c>
      <c r="M122" s="99">
        <v>0.8</v>
      </c>
    </row>
    <row r="123" spans="1:13" x14ac:dyDescent="0.25">
      <c r="A123" s="35" t="s">
        <v>973</v>
      </c>
      <c r="B123" s="35" t="s">
        <v>1017</v>
      </c>
      <c r="C123" s="35" t="s">
        <v>784</v>
      </c>
      <c r="D123" s="35" t="s">
        <v>1023</v>
      </c>
      <c r="E123" s="35" t="s">
        <v>155</v>
      </c>
      <c r="F123" s="35" t="s">
        <v>1024</v>
      </c>
      <c r="G123" s="35" t="s">
        <v>1025</v>
      </c>
      <c r="H123" s="35" t="s">
        <v>1026</v>
      </c>
      <c r="I123" s="35" t="s">
        <v>1027</v>
      </c>
      <c r="J123" s="35">
        <v>2</v>
      </c>
      <c r="K123" s="35">
        <v>2</v>
      </c>
      <c r="L123" s="35" t="s">
        <v>64</v>
      </c>
      <c r="M123" s="99">
        <v>0.56000000000000005</v>
      </c>
    </row>
    <row r="124" spans="1:13" x14ac:dyDescent="0.25">
      <c r="A124" s="35" t="s">
        <v>973</v>
      </c>
      <c r="B124" s="35" t="s">
        <v>1017</v>
      </c>
      <c r="C124" s="35" t="s">
        <v>784</v>
      </c>
      <c r="D124" s="35" t="s">
        <v>1028</v>
      </c>
      <c r="E124" s="35" t="s">
        <v>252</v>
      </c>
      <c r="F124" s="35" t="s">
        <v>321</v>
      </c>
      <c r="G124" s="35" t="s">
        <v>1029</v>
      </c>
      <c r="H124" s="35" t="s">
        <v>1026</v>
      </c>
      <c r="I124" s="35" t="s">
        <v>1030</v>
      </c>
      <c r="J124" s="35">
        <v>4</v>
      </c>
      <c r="K124" s="35">
        <v>5</v>
      </c>
      <c r="L124" s="35" t="s">
        <v>64</v>
      </c>
      <c r="M124" s="99">
        <v>0.76</v>
      </c>
    </row>
    <row r="125" spans="1:13" ht="25.5" x14ac:dyDescent="0.25">
      <c r="A125" s="35" t="s">
        <v>973</v>
      </c>
      <c r="B125" s="35" t="s">
        <v>1017</v>
      </c>
      <c r="C125" s="35" t="s">
        <v>784</v>
      </c>
      <c r="D125" s="35" t="s">
        <v>1031</v>
      </c>
      <c r="E125" s="35" t="s">
        <v>33</v>
      </c>
      <c r="F125" s="35" t="s">
        <v>1032</v>
      </c>
      <c r="G125" s="35" t="s">
        <v>1033</v>
      </c>
      <c r="H125" s="35" t="s">
        <v>1026</v>
      </c>
      <c r="I125" s="35" t="s">
        <v>1034</v>
      </c>
      <c r="J125" s="35">
        <v>3</v>
      </c>
      <c r="K125" s="35">
        <v>3</v>
      </c>
      <c r="L125" s="35" t="s">
        <v>77</v>
      </c>
      <c r="M125" s="99">
        <v>0.44</v>
      </c>
    </row>
    <row r="126" spans="1:13" ht="25.5" x14ac:dyDescent="0.25">
      <c r="A126" s="35" t="s">
        <v>973</v>
      </c>
      <c r="B126" s="35" t="s">
        <v>1017</v>
      </c>
      <c r="C126" s="35" t="s">
        <v>784</v>
      </c>
      <c r="D126" s="35" t="s">
        <v>1035</v>
      </c>
      <c r="E126" s="35" t="s">
        <v>193</v>
      </c>
      <c r="F126" s="35" t="s">
        <v>340</v>
      </c>
      <c r="G126" s="35" t="s">
        <v>1036</v>
      </c>
      <c r="H126" s="35" t="s">
        <v>1037</v>
      </c>
      <c r="I126" s="35" t="s">
        <v>1038</v>
      </c>
      <c r="J126" s="35">
        <v>5</v>
      </c>
      <c r="K126" s="35">
        <v>5</v>
      </c>
      <c r="L126" s="35" t="s">
        <v>64</v>
      </c>
      <c r="M126" s="99">
        <v>0.8</v>
      </c>
    </row>
    <row r="127" spans="1:13" x14ac:dyDescent="0.25">
      <c r="A127" s="35" t="s">
        <v>973</v>
      </c>
      <c r="B127" s="35" t="s">
        <v>1017</v>
      </c>
      <c r="C127" s="35" t="s">
        <v>784</v>
      </c>
      <c r="D127" s="35" t="s">
        <v>1039</v>
      </c>
      <c r="E127" s="35" t="s">
        <v>332</v>
      </c>
      <c r="F127" s="35" t="s">
        <v>1040</v>
      </c>
      <c r="G127" s="35" t="s">
        <v>1041</v>
      </c>
      <c r="H127" s="35" t="s">
        <v>1026</v>
      </c>
      <c r="I127" s="35" t="s">
        <v>1042</v>
      </c>
      <c r="J127" s="35">
        <v>1</v>
      </c>
      <c r="K127" s="35">
        <v>1</v>
      </c>
      <c r="L127" s="35" t="s">
        <v>64</v>
      </c>
      <c r="M127" s="99">
        <v>0.48</v>
      </c>
    </row>
    <row r="128" spans="1:13" ht="25.5" x14ac:dyDescent="0.25">
      <c r="A128" s="35" t="s">
        <v>973</v>
      </c>
      <c r="B128" s="35" t="s">
        <v>1017</v>
      </c>
      <c r="C128" s="35" t="s">
        <v>164</v>
      </c>
      <c r="D128" s="35" t="s">
        <v>1043</v>
      </c>
      <c r="E128" s="35" t="s">
        <v>1044</v>
      </c>
      <c r="F128" s="35" t="s">
        <v>1045</v>
      </c>
      <c r="G128" s="35" t="s">
        <v>1046</v>
      </c>
      <c r="H128" s="35" t="s">
        <v>1047</v>
      </c>
      <c r="I128" s="35" t="s">
        <v>1048</v>
      </c>
      <c r="J128" s="35">
        <v>5</v>
      </c>
      <c r="K128" s="35">
        <v>5</v>
      </c>
      <c r="L128" s="35" t="s">
        <v>64</v>
      </c>
      <c r="M128" s="99">
        <v>0.8</v>
      </c>
    </row>
    <row r="129" spans="1:13" ht="25.5" x14ac:dyDescent="0.25">
      <c r="A129" s="35" t="s">
        <v>973</v>
      </c>
      <c r="B129" s="35" t="s">
        <v>1017</v>
      </c>
      <c r="C129" s="35" t="s">
        <v>164</v>
      </c>
      <c r="D129" s="35" t="s">
        <v>1049</v>
      </c>
      <c r="E129" s="35" t="s">
        <v>1050</v>
      </c>
      <c r="F129" s="35" t="s">
        <v>1051</v>
      </c>
      <c r="G129" s="35" t="s">
        <v>1052</v>
      </c>
      <c r="H129" s="35" t="s">
        <v>1053</v>
      </c>
      <c r="I129" s="35" t="s">
        <v>1054</v>
      </c>
      <c r="J129" s="35">
        <v>5</v>
      </c>
      <c r="K129" s="35">
        <v>5</v>
      </c>
      <c r="L129" s="35" t="s">
        <v>71</v>
      </c>
      <c r="M129" s="99">
        <v>0.6</v>
      </c>
    </row>
    <row r="130" spans="1:13" x14ac:dyDescent="0.25">
      <c r="A130" s="35" t="s">
        <v>973</v>
      </c>
      <c r="B130" s="35" t="s">
        <v>1055</v>
      </c>
      <c r="C130" s="35" t="s">
        <v>784</v>
      </c>
      <c r="D130" s="35" t="s">
        <v>1061</v>
      </c>
      <c r="E130" s="35" t="s">
        <v>252</v>
      </c>
      <c r="F130" s="35" t="s">
        <v>321</v>
      </c>
      <c r="G130" s="35" t="s">
        <v>1062</v>
      </c>
      <c r="H130" s="35" t="s">
        <v>1063</v>
      </c>
      <c r="I130" s="35" t="s">
        <v>1064</v>
      </c>
      <c r="J130" s="35">
        <v>4</v>
      </c>
      <c r="K130" s="35">
        <v>3</v>
      </c>
      <c r="L130" s="35" t="s">
        <v>64</v>
      </c>
      <c r="M130" s="99">
        <v>0.68</v>
      </c>
    </row>
    <row r="131" spans="1:13" ht="25.5" x14ac:dyDescent="0.25">
      <c r="A131" s="35" t="s">
        <v>973</v>
      </c>
      <c r="B131" s="35" t="s">
        <v>1055</v>
      </c>
      <c r="C131" s="35" t="s">
        <v>784</v>
      </c>
      <c r="D131" s="35" t="s">
        <v>1065</v>
      </c>
      <c r="E131" s="35" t="s">
        <v>179</v>
      </c>
      <c r="F131" s="35" t="s">
        <v>326</v>
      </c>
      <c r="G131" s="35" t="s">
        <v>1066</v>
      </c>
      <c r="H131" s="35" t="s">
        <v>1067</v>
      </c>
      <c r="I131" s="35" t="s">
        <v>1068</v>
      </c>
      <c r="J131" s="35">
        <v>2</v>
      </c>
      <c r="K131" s="35">
        <v>3</v>
      </c>
      <c r="L131" s="35" t="s">
        <v>77</v>
      </c>
      <c r="M131" s="99">
        <v>0.4</v>
      </c>
    </row>
    <row r="132" spans="1:13" ht="25.5" x14ac:dyDescent="0.25">
      <c r="A132" s="35" t="s">
        <v>973</v>
      </c>
      <c r="B132" s="35" t="s">
        <v>1055</v>
      </c>
      <c r="C132" s="35" t="s">
        <v>784</v>
      </c>
      <c r="D132" s="35" t="s">
        <v>1069</v>
      </c>
      <c r="E132" s="35" t="s">
        <v>33</v>
      </c>
      <c r="F132" s="35" t="s">
        <v>1070</v>
      </c>
      <c r="G132" s="35" t="s">
        <v>1071</v>
      </c>
      <c r="H132" s="35" t="s">
        <v>1067</v>
      </c>
      <c r="I132" s="35" t="s">
        <v>1072</v>
      </c>
      <c r="J132" s="35">
        <v>2</v>
      </c>
      <c r="K132" s="35">
        <v>2</v>
      </c>
      <c r="L132" s="35" t="s">
        <v>77</v>
      </c>
      <c r="M132" s="99">
        <v>0.36</v>
      </c>
    </row>
    <row r="133" spans="1:13" x14ac:dyDescent="0.25">
      <c r="A133" s="35" t="s">
        <v>973</v>
      </c>
      <c r="B133" s="35" t="s">
        <v>1055</v>
      </c>
      <c r="C133" s="35" t="s">
        <v>784</v>
      </c>
      <c r="D133" s="35" t="s">
        <v>1073</v>
      </c>
      <c r="E133" s="35" t="s">
        <v>193</v>
      </c>
      <c r="F133" s="35" t="s">
        <v>1074</v>
      </c>
      <c r="G133" s="35" t="s">
        <v>1075</v>
      </c>
      <c r="H133" s="35" t="s">
        <v>1076</v>
      </c>
      <c r="I133" s="35" t="s">
        <v>1077</v>
      </c>
      <c r="J133" s="35">
        <v>5</v>
      </c>
      <c r="K133" s="35">
        <v>5</v>
      </c>
      <c r="L133" s="35" t="s">
        <v>77</v>
      </c>
      <c r="M133" s="99">
        <v>0.6</v>
      </c>
    </row>
    <row r="134" spans="1:13" x14ac:dyDescent="0.25">
      <c r="A134" s="35" t="s">
        <v>973</v>
      </c>
      <c r="B134" s="35" t="s">
        <v>1055</v>
      </c>
      <c r="C134" s="35" t="s">
        <v>784</v>
      </c>
      <c r="D134" s="35" t="s">
        <v>1078</v>
      </c>
      <c r="E134" s="35" t="s">
        <v>193</v>
      </c>
      <c r="F134" s="35" t="s">
        <v>1079</v>
      </c>
      <c r="G134" s="35" t="s">
        <v>1080</v>
      </c>
      <c r="H134" s="35" t="s">
        <v>1081</v>
      </c>
      <c r="I134" s="35" t="s">
        <v>1082</v>
      </c>
      <c r="J134" s="35">
        <v>5</v>
      </c>
      <c r="K134" s="35">
        <v>5</v>
      </c>
      <c r="L134" s="35" t="s">
        <v>77</v>
      </c>
      <c r="M134" s="99">
        <v>0.6</v>
      </c>
    </row>
    <row r="135" spans="1:13" ht="25.5" x14ac:dyDescent="0.25">
      <c r="A135" s="35" t="s">
        <v>973</v>
      </c>
      <c r="B135" s="35" t="s">
        <v>1055</v>
      </c>
      <c r="C135" s="35" t="s">
        <v>784</v>
      </c>
      <c r="D135" s="35" t="s">
        <v>1083</v>
      </c>
      <c r="E135" s="35" t="s">
        <v>332</v>
      </c>
      <c r="F135" s="35" t="s">
        <v>1084</v>
      </c>
      <c r="G135" s="35" t="s">
        <v>1085</v>
      </c>
      <c r="H135" s="35" t="s">
        <v>1067</v>
      </c>
      <c r="I135" s="35" t="s">
        <v>1086</v>
      </c>
      <c r="J135" s="35">
        <v>3</v>
      </c>
      <c r="K135" s="35">
        <v>3</v>
      </c>
      <c r="L135" s="35" t="s">
        <v>77</v>
      </c>
      <c r="M135" s="99">
        <v>0.44</v>
      </c>
    </row>
    <row r="136" spans="1:13" x14ac:dyDescent="0.25">
      <c r="A136" s="35" t="s">
        <v>973</v>
      </c>
      <c r="B136" s="35" t="s">
        <v>1055</v>
      </c>
      <c r="C136" s="35" t="s">
        <v>164</v>
      </c>
      <c r="D136" s="35" t="s">
        <v>1087</v>
      </c>
      <c r="E136" s="35" t="s">
        <v>193</v>
      </c>
      <c r="F136" s="35" t="s">
        <v>1088</v>
      </c>
      <c r="G136" s="35" t="s">
        <v>1089</v>
      </c>
      <c r="H136" s="35"/>
      <c r="I136" s="35" t="s">
        <v>1090</v>
      </c>
      <c r="J136" s="35">
        <v>3</v>
      </c>
      <c r="K136" s="35">
        <v>3</v>
      </c>
      <c r="L136" s="35" t="s">
        <v>77</v>
      </c>
      <c r="M136" s="99">
        <v>0.44</v>
      </c>
    </row>
    <row r="137" spans="1:13" x14ac:dyDescent="0.25">
      <c r="A137" s="35" t="s">
        <v>973</v>
      </c>
      <c r="B137" s="35" t="s">
        <v>1055</v>
      </c>
      <c r="C137" s="35" t="s">
        <v>164</v>
      </c>
      <c r="D137" s="35" t="s">
        <v>1091</v>
      </c>
      <c r="E137" s="35" t="s">
        <v>193</v>
      </c>
      <c r="F137" s="35" t="s">
        <v>1092</v>
      </c>
      <c r="G137" s="35" t="s">
        <v>1093</v>
      </c>
      <c r="H137" s="35" t="s">
        <v>1094</v>
      </c>
      <c r="I137" s="35" t="s">
        <v>1095</v>
      </c>
      <c r="J137" s="35">
        <v>3</v>
      </c>
      <c r="K137" s="35">
        <v>3</v>
      </c>
      <c r="L137" s="35" t="s">
        <v>77</v>
      </c>
      <c r="M137" s="99">
        <v>0.44</v>
      </c>
    </row>
    <row r="138" spans="1:13" x14ac:dyDescent="0.25">
      <c r="A138" s="35" t="s">
        <v>973</v>
      </c>
      <c r="B138" s="35" t="s">
        <v>1055</v>
      </c>
      <c r="C138" s="35" t="s">
        <v>164</v>
      </c>
      <c r="D138" s="35" t="s">
        <v>1096</v>
      </c>
      <c r="E138" s="35" t="s">
        <v>193</v>
      </c>
      <c r="F138" s="35" t="s">
        <v>340</v>
      </c>
      <c r="G138" s="35" t="s">
        <v>1097</v>
      </c>
      <c r="H138" s="35" t="s">
        <v>1098</v>
      </c>
      <c r="I138" s="35" t="s">
        <v>1099</v>
      </c>
      <c r="J138" s="35">
        <v>5</v>
      </c>
      <c r="K138" s="35">
        <v>5</v>
      </c>
      <c r="L138" s="35" t="s">
        <v>77</v>
      </c>
      <c r="M138" s="99">
        <v>0.6</v>
      </c>
    </row>
    <row r="139" spans="1:13" x14ac:dyDescent="0.25">
      <c r="A139" s="35" t="s">
        <v>973</v>
      </c>
      <c r="B139" s="35" t="s">
        <v>1100</v>
      </c>
      <c r="C139" s="35" t="s">
        <v>784</v>
      </c>
      <c r="D139" s="35" t="s">
        <v>1104</v>
      </c>
      <c r="E139" s="35" t="s">
        <v>1105</v>
      </c>
      <c r="F139" s="35" t="s">
        <v>27</v>
      </c>
      <c r="G139" s="35" t="s">
        <v>1106</v>
      </c>
      <c r="H139" s="35" t="s">
        <v>1107</v>
      </c>
      <c r="I139" s="35" t="s">
        <v>1108</v>
      </c>
      <c r="J139" s="35">
        <v>2</v>
      </c>
      <c r="K139" s="35">
        <v>2</v>
      </c>
      <c r="L139" s="35" t="s">
        <v>64</v>
      </c>
      <c r="M139" s="99">
        <v>0.56000000000000005</v>
      </c>
    </row>
    <row r="140" spans="1:13" x14ac:dyDescent="0.25">
      <c r="A140" s="35" t="s">
        <v>973</v>
      </c>
      <c r="B140" s="35" t="s">
        <v>1100</v>
      </c>
      <c r="C140" s="35" t="s">
        <v>784</v>
      </c>
      <c r="D140" s="35" t="s">
        <v>1109</v>
      </c>
      <c r="E140" s="35" t="s">
        <v>252</v>
      </c>
      <c r="F140" s="35" t="s">
        <v>1110</v>
      </c>
      <c r="G140" s="35" t="s">
        <v>1111</v>
      </c>
      <c r="H140" s="35" t="s">
        <v>1107</v>
      </c>
      <c r="I140" s="35" t="s">
        <v>1112</v>
      </c>
      <c r="J140" s="35">
        <v>2</v>
      </c>
      <c r="K140" s="35">
        <v>2</v>
      </c>
      <c r="L140" s="35" t="s">
        <v>64</v>
      </c>
      <c r="M140" s="99">
        <v>0.48</v>
      </c>
    </row>
    <row r="141" spans="1:13" ht="25.5" x14ac:dyDescent="0.25">
      <c r="A141" s="35" t="s">
        <v>973</v>
      </c>
      <c r="B141" s="35" t="s">
        <v>1100</v>
      </c>
      <c r="C141" s="35" t="s">
        <v>784</v>
      </c>
      <c r="D141" s="35" t="s">
        <v>1113</v>
      </c>
      <c r="E141" s="35" t="s">
        <v>179</v>
      </c>
      <c r="F141" s="35" t="s">
        <v>1114</v>
      </c>
      <c r="G141" s="35" t="s">
        <v>1115</v>
      </c>
      <c r="H141" s="35" t="s">
        <v>1107</v>
      </c>
      <c r="I141" s="35" t="s">
        <v>1116</v>
      </c>
      <c r="J141" s="35">
        <v>2</v>
      </c>
      <c r="K141" s="35">
        <v>2</v>
      </c>
      <c r="L141" s="35" t="s">
        <v>64</v>
      </c>
      <c r="M141" s="99">
        <v>0.48</v>
      </c>
    </row>
    <row r="142" spans="1:13" x14ac:dyDescent="0.25">
      <c r="A142" s="35" t="s">
        <v>973</v>
      </c>
      <c r="B142" s="35" t="s">
        <v>1100</v>
      </c>
      <c r="C142" s="35" t="s">
        <v>784</v>
      </c>
      <c r="D142" s="35" t="s">
        <v>1117</v>
      </c>
      <c r="E142" s="35" t="s">
        <v>193</v>
      </c>
      <c r="F142" s="35" t="s">
        <v>1118</v>
      </c>
      <c r="G142" s="35" t="s">
        <v>1119</v>
      </c>
      <c r="H142" s="35" t="s">
        <v>1107</v>
      </c>
      <c r="I142" s="35" t="s">
        <v>1120</v>
      </c>
      <c r="J142" s="35">
        <v>2</v>
      </c>
      <c r="K142" s="35">
        <v>2</v>
      </c>
      <c r="L142" s="35" t="s">
        <v>64</v>
      </c>
      <c r="M142" s="99">
        <v>0.56000000000000005</v>
      </c>
    </row>
    <row r="143" spans="1:13" x14ac:dyDescent="0.25">
      <c r="A143" s="35" t="s">
        <v>973</v>
      </c>
      <c r="B143" s="35" t="s">
        <v>1100</v>
      </c>
      <c r="C143" s="35" t="s">
        <v>784</v>
      </c>
      <c r="D143" s="35" t="s">
        <v>1121</v>
      </c>
      <c r="E143" s="35" t="s">
        <v>193</v>
      </c>
      <c r="F143" s="35" t="s">
        <v>1122</v>
      </c>
      <c r="G143" s="35" t="s">
        <v>1123</v>
      </c>
      <c r="H143" s="35" t="s">
        <v>1107</v>
      </c>
      <c r="I143" s="35" t="s">
        <v>1124</v>
      </c>
      <c r="J143" s="35">
        <v>3</v>
      </c>
      <c r="K143" s="35">
        <v>3</v>
      </c>
      <c r="L143" s="35" t="s">
        <v>64</v>
      </c>
      <c r="M143" s="99">
        <v>0.64</v>
      </c>
    </row>
    <row r="144" spans="1:13" ht="25.5" x14ac:dyDescent="0.25">
      <c r="A144" s="35" t="s">
        <v>973</v>
      </c>
      <c r="B144" s="35" t="s">
        <v>1100</v>
      </c>
      <c r="C144" s="35" t="s">
        <v>784</v>
      </c>
      <c r="D144" s="35" t="s">
        <v>1125</v>
      </c>
      <c r="E144" s="35" t="s">
        <v>193</v>
      </c>
      <c r="F144" s="35" t="s">
        <v>365</v>
      </c>
      <c r="G144" s="35" t="s">
        <v>1126</v>
      </c>
      <c r="H144" s="35" t="s">
        <v>1107</v>
      </c>
      <c r="I144" s="35" t="s">
        <v>1127</v>
      </c>
      <c r="J144" s="35">
        <v>3</v>
      </c>
      <c r="K144" s="35">
        <v>4</v>
      </c>
      <c r="L144" s="35" t="s">
        <v>64</v>
      </c>
      <c r="M144" s="99">
        <v>0.68</v>
      </c>
    </row>
    <row r="145" spans="1:13" x14ac:dyDescent="0.25">
      <c r="A145" s="35" t="s">
        <v>973</v>
      </c>
      <c r="B145" s="35" t="s">
        <v>1100</v>
      </c>
      <c r="C145" s="35" t="s">
        <v>784</v>
      </c>
      <c r="D145" s="35" t="s">
        <v>1128</v>
      </c>
      <c r="E145" s="35" t="s">
        <v>332</v>
      </c>
      <c r="F145" s="35" t="s">
        <v>1008</v>
      </c>
      <c r="G145" s="35" t="s">
        <v>1129</v>
      </c>
      <c r="H145" s="35" t="s">
        <v>1107</v>
      </c>
      <c r="I145" s="35" t="s">
        <v>1130</v>
      </c>
      <c r="J145" s="35">
        <v>2</v>
      </c>
      <c r="K145" s="35">
        <v>2</v>
      </c>
      <c r="L145" s="35" t="s">
        <v>77</v>
      </c>
      <c r="M145" s="99">
        <v>0.36</v>
      </c>
    </row>
    <row r="146" spans="1:13" x14ac:dyDescent="0.25">
      <c r="A146" s="35" t="s">
        <v>973</v>
      </c>
      <c r="B146" s="35" t="s">
        <v>1100</v>
      </c>
      <c r="C146" s="35" t="s">
        <v>164</v>
      </c>
      <c r="D146" s="35" t="s">
        <v>1131</v>
      </c>
      <c r="E146" s="35" t="s">
        <v>193</v>
      </c>
      <c r="F146" s="35" t="s">
        <v>340</v>
      </c>
      <c r="G146" s="35" t="s">
        <v>1132</v>
      </c>
      <c r="H146" s="35" t="s">
        <v>1107</v>
      </c>
      <c r="I146" s="35" t="s">
        <v>1133</v>
      </c>
      <c r="J146" s="35">
        <v>5</v>
      </c>
      <c r="K146" s="35">
        <v>5</v>
      </c>
      <c r="L146" s="35" t="s">
        <v>77</v>
      </c>
      <c r="M146" s="99">
        <v>0.6</v>
      </c>
    </row>
    <row r="147" spans="1:13" x14ac:dyDescent="0.25">
      <c r="A147" s="35" t="s">
        <v>973</v>
      </c>
      <c r="B147" s="35" t="s">
        <v>1100</v>
      </c>
      <c r="C147" s="35" t="s">
        <v>164</v>
      </c>
      <c r="D147" s="35" t="s">
        <v>1134</v>
      </c>
      <c r="E147" s="35" t="s">
        <v>193</v>
      </c>
      <c r="F147" s="35" t="s">
        <v>1135</v>
      </c>
      <c r="G147" s="35" t="s">
        <v>1136</v>
      </c>
      <c r="H147" s="35" t="s">
        <v>1107</v>
      </c>
      <c r="I147" s="35" t="s">
        <v>1137</v>
      </c>
      <c r="J147" s="35">
        <v>5</v>
      </c>
      <c r="K147" s="35">
        <v>5</v>
      </c>
      <c r="L147" s="35" t="s">
        <v>77</v>
      </c>
      <c r="M147" s="99">
        <v>0.6</v>
      </c>
    </row>
    <row r="148" spans="1:13" x14ac:dyDescent="0.25">
      <c r="A148" s="35" t="s">
        <v>367</v>
      </c>
      <c r="B148" s="35" t="s">
        <v>1376</v>
      </c>
      <c r="C148" s="35" t="s">
        <v>784</v>
      </c>
      <c r="D148" s="35" t="s">
        <v>1382</v>
      </c>
      <c r="E148" s="35" t="s">
        <v>193</v>
      </c>
      <c r="F148" s="35" t="s">
        <v>195</v>
      </c>
      <c r="G148" s="35" t="s">
        <v>1402</v>
      </c>
      <c r="H148" s="35" t="s">
        <v>1401</v>
      </c>
      <c r="I148" s="35" t="s">
        <v>1403</v>
      </c>
      <c r="J148" s="35">
        <v>3</v>
      </c>
      <c r="K148" s="35">
        <v>2</v>
      </c>
      <c r="L148" s="35" t="s">
        <v>64</v>
      </c>
      <c r="M148" s="99">
        <v>0.6</v>
      </c>
    </row>
    <row r="149" spans="1:13" x14ac:dyDescent="0.25">
      <c r="A149" s="35" t="s">
        <v>367</v>
      </c>
      <c r="B149" s="35" t="s">
        <v>1376</v>
      </c>
      <c r="C149" s="35" t="s">
        <v>164</v>
      </c>
      <c r="D149" s="35" t="s">
        <v>1383</v>
      </c>
      <c r="E149" s="35" t="s">
        <v>563</v>
      </c>
      <c r="F149" s="35" t="s">
        <v>169</v>
      </c>
      <c r="G149" s="35" t="s">
        <v>1384</v>
      </c>
      <c r="H149" s="35" t="s">
        <v>1385</v>
      </c>
      <c r="I149" s="35" t="s">
        <v>1404</v>
      </c>
      <c r="J149" s="35">
        <v>4</v>
      </c>
      <c r="K149" s="35">
        <v>4</v>
      </c>
      <c r="L149" s="35" t="s">
        <v>77</v>
      </c>
      <c r="M149" s="99">
        <v>0.52</v>
      </c>
    </row>
    <row r="150" spans="1:13" ht="25.5" x14ac:dyDescent="0.25">
      <c r="A150" s="35" t="s">
        <v>367</v>
      </c>
      <c r="B150" s="35" t="s">
        <v>1376</v>
      </c>
      <c r="C150" s="35" t="s">
        <v>164</v>
      </c>
      <c r="D150" s="35" t="s">
        <v>1386</v>
      </c>
      <c r="E150" s="35" t="s">
        <v>563</v>
      </c>
      <c r="F150" s="35" t="s">
        <v>1387</v>
      </c>
      <c r="G150" s="35" t="s">
        <v>1388</v>
      </c>
      <c r="H150" s="35" t="s">
        <v>1389</v>
      </c>
      <c r="I150" s="35" t="s">
        <v>1405</v>
      </c>
      <c r="J150" s="35">
        <v>5</v>
      </c>
      <c r="K150" s="35">
        <v>5</v>
      </c>
      <c r="L150" s="35" t="s">
        <v>77</v>
      </c>
      <c r="M150" s="99">
        <v>0.6</v>
      </c>
    </row>
    <row r="151" spans="1:13" ht="25.5" x14ac:dyDescent="0.25">
      <c r="A151" s="35" t="s">
        <v>367</v>
      </c>
      <c r="B151" s="35" t="s">
        <v>1390</v>
      </c>
      <c r="C151" s="35" t="s">
        <v>784</v>
      </c>
      <c r="D151" s="35" t="s">
        <v>1396</v>
      </c>
      <c r="E151" s="35" t="s">
        <v>193</v>
      </c>
      <c r="F151" s="35" t="s">
        <v>365</v>
      </c>
      <c r="G151" s="35" t="s">
        <v>1406</v>
      </c>
      <c r="H151" s="35"/>
      <c r="I151" s="35" t="s">
        <v>1407</v>
      </c>
      <c r="J151" s="35">
        <v>3</v>
      </c>
      <c r="K151" s="35">
        <v>3</v>
      </c>
      <c r="L151" s="35" t="s">
        <v>64</v>
      </c>
      <c r="M151" s="99">
        <v>0.64</v>
      </c>
    </row>
    <row r="152" spans="1:13" ht="19.5" customHeight="1" x14ac:dyDescent="0.25">
      <c r="A152" s="35" t="s">
        <v>367</v>
      </c>
      <c r="B152" s="35" t="s">
        <v>1390</v>
      </c>
      <c r="C152" s="35" t="s">
        <v>164</v>
      </c>
      <c r="D152" s="35" t="s">
        <v>1397</v>
      </c>
      <c r="E152" s="35" t="s">
        <v>1398</v>
      </c>
      <c r="F152" s="35" t="s">
        <v>169</v>
      </c>
      <c r="G152" s="35" t="s">
        <v>1399</v>
      </c>
      <c r="H152" s="35" t="s">
        <v>1408</v>
      </c>
      <c r="I152" s="35" t="s">
        <v>1400</v>
      </c>
      <c r="J152" s="35">
        <v>5</v>
      </c>
      <c r="K152" s="35">
        <v>5</v>
      </c>
      <c r="L152" s="35" t="s">
        <v>77</v>
      </c>
      <c r="M152" s="99">
        <v>0.6</v>
      </c>
    </row>
    <row r="153" spans="1:13" ht="19.5" customHeight="1" x14ac:dyDescent="0.25">
      <c r="A153" s="35" t="s">
        <v>367</v>
      </c>
      <c r="B153" s="35" t="s">
        <v>1490</v>
      </c>
      <c r="C153" s="35" t="s">
        <v>784</v>
      </c>
      <c r="D153" s="35" t="s">
        <v>1496</v>
      </c>
      <c r="E153" s="35" t="s">
        <v>1292</v>
      </c>
      <c r="F153" s="35" t="s">
        <v>27</v>
      </c>
      <c r="G153" s="35" t="s">
        <v>1497</v>
      </c>
      <c r="H153" s="35"/>
      <c r="I153" s="35" t="s">
        <v>1498</v>
      </c>
      <c r="J153" s="35">
        <v>2</v>
      </c>
      <c r="K153" s="35">
        <v>1</v>
      </c>
      <c r="L153" s="35" t="s">
        <v>64</v>
      </c>
      <c r="M153" s="99">
        <v>0.52</v>
      </c>
    </row>
    <row r="154" spans="1:13" ht="19.5" customHeight="1" x14ac:dyDescent="0.25">
      <c r="A154" s="35" t="s">
        <v>367</v>
      </c>
      <c r="B154" s="35" t="s">
        <v>1490</v>
      </c>
      <c r="C154" s="35" t="s">
        <v>784</v>
      </c>
      <c r="D154" s="35" t="s">
        <v>1499</v>
      </c>
      <c r="E154" s="35" t="s">
        <v>193</v>
      </c>
      <c r="F154" s="35" t="s">
        <v>1500</v>
      </c>
      <c r="G154" s="35" t="s">
        <v>1501</v>
      </c>
      <c r="H154" s="35"/>
      <c r="I154" s="35" t="s">
        <v>1502</v>
      </c>
      <c r="J154" s="35">
        <v>1</v>
      </c>
      <c r="K154" s="35">
        <v>1</v>
      </c>
      <c r="L154" s="35" t="s">
        <v>50</v>
      </c>
      <c r="M154" s="99">
        <v>0.48</v>
      </c>
    </row>
    <row r="155" spans="1:13" ht="19.5" customHeight="1" x14ac:dyDescent="0.25">
      <c r="A155" s="35" t="s">
        <v>367</v>
      </c>
      <c r="B155" s="35" t="s">
        <v>1490</v>
      </c>
      <c r="C155" s="35" t="s">
        <v>784</v>
      </c>
      <c r="D155" s="35" t="s">
        <v>1503</v>
      </c>
      <c r="E155" s="35" t="s">
        <v>193</v>
      </c>
      <c r="F155" s="35" t="s">
        <v>669</v>
      </c>
      <c r="G155" s="35" t="s">
        <v>1504</v>
      </c>
      <c r="H155" s="35"/>
      <c r="I155" s="35" t="s">
        <v>1505</v>
      </c>
      <c r="J155" s="35">
        <v>1</v>
      </c>
      <c r="K155" s="35">
        <v>1</v>
      </c>
      <c r="L155" s="35" t="s">
        <v>50</v>
      </c>
      <c r="M155" s="99">
        <v>0.48</v>
      </c>
    </row>
    <row r="156" spans="1:13" ht="19.5" customHeight="1" x14ac:dyDescent="0.25">
      <c r="A156" s="35" t="s">
        <v>367</v>
      </c>
      <c r="B156" s="35" t="s">
        <v>1490</v>
      </c>
      <c r="C156" s="35" t="s">
        <v>784</v>
      </c>
      <c r="D156" s="35" t="s">
        <v>1506</v>
      </c>
      <c r="E156" s="35" t="s">
        <v>193</v>
      </c>
      <c r="F156" s="35" t="s">
        <v>1507</v>
      </c>
      <c r="G156" s="35" t="s">
        <v>1508</v>
      </c>
      <c r="H156" s="35" t="s">
        <v>1509</v>
      </c>
      <c r="I156" s="35" t="s">
        <v>1510</v>
      </c>
      <c r="J156" s="35">
        <v>3</v>
      </c>
      <c r="K156" s="35">
        <v>3</v>
      </c>
      <c r="L156" s="35" t="s">
        <v>64</v>
      </c>
      <c r="M156" s="99">
        <v>0.64</v>
      </c>
    </row>
    <row r="157" spans="1:13" ht="19.5" customHeight="1" x14ac:dyDescent="0.25">
      <c r="A157" s="35" t="s">
        <v>367</v>
      </c>
      <c r="B157" s="35" t="s">
        <v>1490</v>
      </c>
      <c r="C157" s="35" t="s">
        <v>164</v>
      </c>
      <c r="D157" s="35" t="s">
        <v>1511</v>
      </c>
      <c r="E157" s="35" t="s">
        <v>1512</v>
      </c>
      <c r="F157" s="35" t="s">
        <v>1513</v>
      </c>
      <c r="G157" s="35" t="s">
        <v>1514</v>
      </c>
      <c r="H157" s="35" t="s">
        <v>1515</v>
      </c>
      <c r="I157" s="35" t="s">
        <v>1516</v>
      </c>
      <c r="J157" s="35">
        <v>5</v>
      </c>
      <c r="K157" s="35">
        <v>5</v>
      </c>
      <c r="L157" s="35" t="s">
        <v>50</v>
      </c>
      <c r="M157" s="99">
        <v>0.8</v>
      </c>
    </row>
    <row r="158" spans="1:13" ht="19.5" customHeight="1" x14ac:dyDescent="0.25">
      <c r="A158" s="35" t="s">
        <v>367</v>
      </c>
      <c r="B158" s="35" t="s">
        <v>1490</v>
      </c>
      <c r="C158" s="35" t="s">
        <v>164</v>
      </c>
      <c r="D158" s="35" t="s">
        <v>1517</v>
      </c>
      <c r="E158" s="35" t="s">
        <v>1512</v>
      </c>
      <c r="F158" s="35" t="s">
        <v>1518</v>
      </c>
      <c r="G158" s="35" t="s">
        <v>1519</v>
      </c>
      <c r="H158" s="35"/>
      <c r="I158" s="35" t="s">
        <v>1520</v>
      </c>
      <c r="J158" s="35">
        <v>3</v>
      </c>
      <c r="K158" s="35">
        <v>4</v>
      </c>
      <c r="L158" s="35" t="s">
        <v>77</v>
      </c>
      <c r="M158" s="99">
        <v>0.48</v>
      </c>
    </row>
    <row r="159" spans="1:13" ht="19.5" customHeight="1" x14ac:dyDescent="0.25">
      <c r="A159" s="35" t="s">
        <v>367</v>
      </c>
      <c r="B159" s="35" t="s">
        <v>1490</v>
      </c>
      <c r="C159" s="35" t="s">
        <v>164</v>
      </c>
      <c r="D159" s="35" t="s">
        <v>1521</v>
      </c>
      <c r="E159" s="35"/>
      <c r="F159" s="35" t="s">
        <v>1522</v>
      </c>
      <c r="G159" s="35" t="s">
        <v>1523</v>
      </c>
      <c r="H159" s="35"/>
      <c r="I159" s="35" t="s">
        <v>1524</v>
      </c>
      <c r="J159" s="35">
        <v>4</v>
      </c>
      <c r="K159" s="35">
        <v>4</v>
      </c>
      <c r="L159" s="35" t="s">
        <v>64</v>
      </c>
      <c r="M159" s="99">
        <v>0.72</v>
      </c>
    </row>
    <row r="160" spans="1:13" ht="19.5" customHeight="1" x14ac:dyDescent="0.25">
      <c r="A160" s="35" t="s">
        <v>367</v>
      </c>
      <c r="B160" s="35" t="s">
        <v>1490</v>
      </c>
      <c r="C160" s="35" t="s">
        <v>164</v>
      </c>
      <c r="D160" s="35" t="s">
        <v>1525</v>
      </c>
      <c r="E160" s="35" t="s">
        <v>193</v>
      </c>
      <c r="F160" s="35" t="s">
        <v>1526</v>
      </c>
      <c r="G160" s="35" t="s">
        <v>1527</v>
      </c>
      <c r="H160" s="35"/>
      <c r="I160" s="35" t="s">
        <v>1528</v>
      </c>
      <c r="J160" s="35">
        <v>2</v>
      </c>
      <c r="K160" s="35">
        <v>3</v>
      </c>
      <c r="L160" s="35" t="s">
        <v>77</v>
      </c>
      <c r="M160" s="99">
        <v>0.4</v>
      </c>
    </row>
    <row r="161" spans="1:13" ht="19.5" customHeight="1" x14ac:dyDescent="0.25">
      <c r="A161" s="35" t="s">
        <v>367</v>
      </c>
      <c r="B161" s="35" t="s">
        <v>1490</v>
      </c>
      <c r="C161" s="35" t="s">
        <v>164</v>
      </c>
      <c r="D161" s="35" t="s">
        <v>1529</v>
      </c>
      <c r="E161" s="35" t="s">
        <v>1050</v>
      </c>
      <c r="F161" s="35" t="s">
        <v>71</v>
      </c>
      <c r="G161" s="35" t="s">
        <v>1530</v>
      </c>
      <c r="H161" s="35" t="s">
        <v>1531</v>
      </c>
      <c r="I161" s="35"/>
      <c r="J161" s="35">
        <v>5</v>
      </c>
      <c r="K161" s="35">
        <v>4</v>
      </c>
      <c r="L161" s="35" t="s">
        <v>71</v>
      </c>
      <c r="M161" s="99">
        <v>0.56000000000000005</v>
      </c>
    </row>
    <row r="162" spans="1:13" ht="19.5" customHeight="1" x14ac:dyDescent="0.25">
      <c r="A162" s="35" t="s">
        <v>367</v>
      </c>
      <c r="B162" s="35" t="s">
        <v>1490</v>
      </c>
      <c r="C162" s="35" t="s">
        <v>164</v>
      </c>
      <c r="D162" s="35" t="s">
        <v>1532</v>
      </c>
      <c r="E162" s="35" t="s">
        <v>1512</v>
      </c>
      <c r="F162" s="35" t="s">
        <v>1533</v>
      </c>
      <c r="G162" s="35" t="s">
        <v>1534</v>
      </c>
      <c r="H162" s="35"/>
      <c r="I162" s="35" t="s">
        <v>1535</v>
      </c>
      <c r="J162" s="35">
        <v>2</v>
      </c>
      <c r="K162" s="35">
        <v>4</v>
      </c>
      <c r="L162" s="35" t="s">
        <v>77</v>
      </c>
      <c r="M162" s="99">
        <v>0.44</v>
      </c>
    </row>
    <row r="163" spans="1:13" ht="19.5" customHeight="1" x14ac:dyDescent="0.25">
      <c r="A163" s="35" t="s">
        <v>367</v>
      </c>
      <c r="B163" s="35" t="s">
        <v>1490</v>
      </c>
      <c r="C163" s="35" t="s">
        <v>164</v>
      </c>
      <c r="D163" s="35" t="s">
        <v>1536</v>
      </c>
      <c r="E163" s="35" t="s">
        <v>193</v>
      </c>
      <c r="F163" s="35" t="s">
        <v>969</v>
      </c>
      <c r="G163" s="35" t="s">
        <v>1537</v>
      </c>
      <c r="H163" s="35"/>
      <c r="I163" s="35" t="s">
        <v>1538</v>
      </c>
      <c r="J163" s="35">
        <v>4</v>
      </c>
      <c r="K163" s="35">
        <v>3</v>
      </c>
      <c r="L163" s="35" t="s">
        <v>77</v>
      </c>
      <c r="M163" s="99">
        <v>0.48</v>
      </c>
    </row>
    <row r="164" spans="1:13" ht="19.5" customHeight="1" x14ac:dyDescent="0.25">
      <c r="A164" s="35" t="s">
        <v>367</v>
      </c>
      <c r="B164" s="35" t="s">
        <v>1490</v>
      </c>
      <c r="C164" s="35" t="s">
        <v>164</v>
      </c>
      <c r="D164" s="35" t="s">
        <v>1539</v>
      </c>
      <c r="E164" s="35" t="s">
        <v>1540</v>
      </c>
      <c r="F164" s="35" t="s">
        <v>1387</v>
      </c>
      <c r="G164" s="35" t="s">
        <v>1541</v>
      </c>
      <c r="H164" s="35"/>
      <c r="I164" s="35" t="s">
        <v>1542</v>
      </c>
      <c r="J164" s="35">
        <v>4</v>
      </c>
      <c r="K164" s="35">
        <v>4</v>
      </c>
      <c r="L164" s="35" t="s">
        <v>77</v>
      </c>
      <c r="M164" s="99">
        <v>0.52</v>
      </c>
    </row>
    <row r="165" spans="1:13" ht="19.5" customHeight="1" x14ac:dyDescent="0.25">
      <c r="A165" s="35" t="s">
        <v>1654</v>
      </c>
      <c r="B165" s="35" t="s">
        <v>2097</v>
      </c>
      <c r="C165" s="35" t="s">
        <v>784</v>
      </c>
      <c r="D165" s="35" t="s">
        <v>1641</v>
      </c>
      <c r="E165" s="35" t="s">
        <v>1642</v>
      </c>
      <c r="F165" s="35" t="s">
        <v>1643</v>
      </c>
      <c r="G165" s="35" t="s">
        <v>1644</v>
      </c>
      <c r="H165" s="35" t="s">
        <v>1645</v>
      </c>
      <c r="I165" s="35"/>
      <c r="J165" s="35">
        <v>4</v>
      </c>
      <c r="K165" s="35">
        <v>1</v>
      </c>
      <c r="L165" s="35" t="s">
        <v>77</v>
      </c>
      <c r="M165" s="99">
        <v>0.4</v>
      </c>
    </row>
    <row r="166" spans="1:13" ht="19.5" customHeight="1" x14ac:dyDescent="0.25">
      <c r="A166" s="35" t="s">
        <v>1654</v>
      </c>
      <c r="B166" s="35" t="s">
        <v>2097</v>
      </c>
      <c r="C166" s="35" t="s">
        <v>784</v>
      </c>
      <c r="D166" s="35" t="s">
        <v>1646</v>
      </c>
      <c r="E166" s="35" t="s">
        <v>193</v>
      </c>
      <c r="F166" s="35" t="s">
        <v>1647</v>
      </c>
      <c r="G166" s="35" t="s">
        <v>1648</v>
      </c>
      <c r="H166" s="35"/>
      <c r="I166" s="35" t="s">
        <v>1649</v>
      </c>
      <c r="J166" s="35">
        <v>2</v>
      </c>
      <c r="K166" s="35">
        <v>3</v>
      </c>
      <c r="L166" s="35" t="s">
        <v>64</v>
      </c>
      <c r="M166" s="99">
        <v>0.6</v>
      </c>
    </row>
    <row r="167" spans="1:13" ht="19.5" customHeight="1" x14ac:dyDescent="0.25">
      <c r="A167" s="35" t="s">
        <v>1654</v>
      </c>
      <c r="B167" s="35" t="s">
        <v>2097</v>
      </c>
      <c r="C167" s="35" t="s">
        <v>164</v>
      </c>
      <c r="D167" s="35" t="s">
        <v>1650</v>
      </c>
      <c r="E167" s="35" t="s">
        <v>33</v>
      </c>
      <c r="F167" s="35" t="s">
        <v>1651</v>
      </c>
      <c r="G167" s="35" t="s">
        <v>1652</v>
      </c>
      <c r="H167" s="35" t="s">
        <v>1653</v>
      </c>
      <c r="I167" s="35"/>
      <c r="J167" s="35">
        <v>1</v>
      </c>
      <c r="K167" s="35">
        <v>1</v>
      </c>
      <c r="L167" s="35" t="s">
        <v>77</v>
      </c>
      <c r="M167" s="99">
        <v>0.28000000000000003</v>
      </c>
    </row>
    <row r="168" spans="1:13" ht="19.5" customHeight="1" x14ac:dyDescent="0.25">
      <c r="A168" s="35" t="s">
        <v>142</v>
      </c>
      <c r="B168" s="35" t="s">
        <v>1744</v>
      </c>
      <c r="C168" s="35" t="s">
        <v>784</v>
      </c>
      <c r="D168" s="35" t="s">
        <v>1750</v>
      </c>
      <c r="E168" s="35"/>
      <c r="F168" s="35" t="s">
        <v>27</v>
      </c>
      <c r="G168" s="35" t="s">
        <v>1751</v>
      </c>
      <c r="H168" s="35" t="s">
        <v>1752</v>
      </c>
      <c r="I168" s="35" t="s">
        <v>1753</v>
      </c>
      <c r="J168" s="35">
        <v>1</v>
      </c>
      <c r="K168" s="35">
        <v>1</v>
      </c>
      <c r="L168" s="35" t="s">
        <v>64</v>
      </c>
      <c r="M168" s="99">
        <v>0.48</v>
      </c>
    </row>
    <row r="169" spans="1:13" ht="19.5" customHeight="1" x14ac:dyDescent="0.25">
      <c r="A169" s="35" t="s">
        <v>142</v>
      </c>
      <c r="B169" s="35" t="s">
        <v>1744</v>
      </c>
      <c r="C169" s="35" t="s">
        <v>784</v>
      </c>
      <c r="D169" s="35" t="s">
        <v>1754</v>
      </c>
      <c r="E169" s="35" t="s">
        <v>252</v>
      </c>
      <c r="F169" s="35" t="s">
        <v>321</v>
      </c>
      <c r="G169" s="35" t="s">
        <v>1755</v>
      </c>
      <c r="H169" s="35" t="s">
        <v>1756</v>
      </c>
      <c r="I169" s="35" t="s">
        <v>1757</v>
      </c>
      <c r="J169" s="35">
        <v>1</v>
      </c>
      <c r="K169" s="35">
        <v>1</v>
      </c>
      <c r="L169" s="35" t="s">
        <v>64</v>
      </c>
      <c r="M169" s="99">
        <v>0.48</v>
      </c>
    </row>
    <row r="170" spans="1:13" ht="19.5" customHeight="1" x14ac:dyDescent="0.25">
      <c r="A170" s="35" t="s">
        <v>142</v>
      </c>
      <c r="B170" s="35" t="s">
        <v>1744</v>
      </c>
      <c r="C170" s="35" t="s">
        <v>784</v>
      </c>
      <c r="D170" s="35" t="s">
        <v>1758</v>
      </c>
      <c r="E170" s="35" t="s">
        <v>189</v>
      </c>
      <c r="F170" s="35" t="s">
        <v>669</v>
      </c>
      <c r="G170" s="35" t="s">
        <v>1759</v>
      </c>
      <c r="H170" s="35"/>
      <c r="I170" s="35" t="s">
        <v>1760</v>
      </c>
      <c r="J170" s="35">
        <v>2</v>
      </c>
      <c r="K170" s="35">
        <v>1</v>
      </c>
      <c r="L170" s="35" t="s">
        <v>64</v>
      </c>
      <c r="M170" s="99">
        <v>0.52</v>
      </c>
    </row>
    <row r="171" spans="1:13" ht="19.5" customHeight="1" x14ac:dyDescent="0.25">
      <c r="A171" s="35" t="s">
        <v>142</v>
      </c>
      <c r="B171" s="35" t="s">
        <v>1744</v>
      </c>
      <c r="C171" s="35" t="s">
        <v>784</v>
      </c>
      <c r="D171" s="35" t="s">
        <v>1761</v>
      </c>
      <c r="E171" s="35" t="s">
        <v>33</v>
      </c>
      <c r="F171" s="35" t="s">
        <v>1762</v>
      </c>
      <c r="G171" s="35" t="s">
        <v>1763</v>
      </c>
      <c r="H171" s="35"/>
      <c r="I171" s="35" t="s">
        <v>1764</v>
      </c>
      <c r="J171" s="35">
        <v>0</v>
      </c>
      <c r="K171" s="35">
        <v>0</v>
      </c>
      <c r="L171" s="35" t="s">
        <v>396</v>
      </c>
      <c r="M171" s="99">
        <v>0</v>
      </c>
    </row>
    <row r="172" spans="1:13" ht="19.5" customHeight="1" x14ac:dyDescent="0.25">
      <c r="A172" s="35" t="s">
        <v>142</v>
      </c>
      <c r="B172" s="35" t="s">
        <v>1744</v>
      </c>
      <c r="C172" s="35" t="s">
        <v>784</v>
      </c>
      <c r="D172" s="35" t="s">
        <v>1765</v>
      </c>
      <c r="E172" s="35" t="s">
        <v>193</v>
      </c>
      <c r="F172" s="35" t="s">
        <v>1766</v>
      </c>
      <c r="G172" s="35" t="s">
        <v>1767</v>
      </c>
      <c r="H172" s="35"/>
      <c r="I172" s="35" t="s">
        <v>1768</v>
      </c>
      <c r="J172" s="35">
        <v>5</v>
      </c>
      <c r="K172" s="35">
        <v>5</v>
      </c>
      <c r="L172" s="35" t="s">
        <v>64</v>
      </c>
      <c r="M172" s="99">
        <v>0.8</v>
      </c>
    </row>
    <row r="173" spans="1:13" ht="19.5" customHeight="1" x14ac:dyDescent="0.25">
      <c r="A173" s="35" t="s">
        <v>142</v>
      </c>
      <c r="B173" s="35" t="s">
        <v>1744</v>
      </c>
      <c r="C173" s="35" t="s">
        <v>784</v>
      </c>
      <c r="D173" s="35" t="s">
        <v>1769</v>
      </c>
      <c r="E173" s="35" t="s">
        <v>332</v>
      </c>
      <c r="F173" s="35" t="s">
        <v>669</v>
      </c>
      <c r="G173" s="35" t="s">
        <v>1770</v>
      </c>
      <c r="H173" s="35"/>
      <c r="I173" s="35" t="s">
        <v>1771</v>
      </c>
      <c r="J173" s="35">
        <v>4</v>
      </c>
      <c r="K173" s="35">
        <v>4</v>
      </c>
      <c r="L173" s="35" t="s">
        <v>64</v>
      </c>
      <c r="M173" s="99">
        <v>0.72</v>
      </c>
    </row>
    <row r="174" spans="1:13" ht="19.5" customHeight="1" x14ac:dyDescent="0.25">
      <c r="A174" s="35" t="s">
        <v>142</v>
      </c>
      <c r="B174" s="35" t="s">
        <v>1744</v>
      </c>
      <c r="C174" s="35" t="s">
        <v>164</v>
      </c>
      <c r="D174" s="35" t="s">
        <v>1772</v>
      </c>
      <c r="E174" s="35" t="s">
        <v>1773</v>
      </c>
      <c r="F174" s="35" t="s">
        <v>1766</v>
      </c>
      <c r="G174" s="35" t="s">
        <v>1774</v>
      </c>
      <c r="H174" s="35"/>
      <c r="I174" s="35"/>
      <c r="J174" s="35">
        <v>5</v>
      </c>
      <c r="K174" s="35">
        <v>5</v>
      </c>
      <c r="L174" s="35" t="s">
        <v>77</v>
      </c>
      <c r="M174" s="99">
        <v>0.6</v>
      </c>
    </row>
    <row r="175" spans="1:13" ht="19.5" customHeight="1" x14ac:dyDescent="0.25">
      <c r="A175" s="35" t="s">
        <v>142</v>
      </c>
      <c r="B175" s="35" t="s">
        <v>1744</v>
      </c>
      <c r="C175" s="35" t="s">
        <v>164</v>
      </c>
      <c r="D175" s="35" t="s">
        <v>1775</v>
      </c>
      <c r="E175" s="35" t="s">
        <v>1776</v>
      </c>
      <c r="F175" s="35" t="s">
        <v>1777</v>
      </c>
      <c r="G175" s="35" t="s">
        <v>1778</v>
      </c>
      <c r="H175" s="35"/>
      <c r="I175" s="35" t="s">
        <v>1779</v>
      </c>
      <c r="J175" s="35">
        <v>5</v>
      </c>
      <c r="K175" s="35">
        <v>5</v>
      </c>
      <c r="L175" s="35" t="s">
        <v>77</v>
      </c>
      <c r="M175" s="99">
        <v>0.6</v>
      </c>
    </row>
    <row r="176" spans="1:13" ht="19.5" customHeight="1" x14ac:dyDescent="0.25">
      <c r="A176" s="35" t="s">
        <v>142</v>
      </c>
      <c r="B176" s="35" t="s">
        <v>1744</v>
      </c>
      <c r="C176" s="35" t="s">
        <v>164</v>
      </c>
      <c r="D176" s="35" t="s">
        <v>1780</v>
      </c>
      <c r="E176" s="35" t="s">
        <v>193</v>
      </c>
      <c r="F176" s="35" t="s">
        <v>1781</v>
      </c>
      <c r="G176" s="35" t="s">
        <v>1782</v>
      </c>
      <c r="H176" s="35"/>
      <c r="I176" s="35" t="s">
        <v>1783</v>
      </c>
      <c r="J176" s="35">
        <v>5</v>
      </c>
      <c r="K176" s="35">
        <v>5</v>
      </c>
      <c r="L176" s="35" t="s">
        <v>77</v>
      </c>
      <c r="M176" s="99">
        <v>0.6</v>
      </c>
    </row>
    <row r="177" spans="1:13" ht="19.5" customHeight="1" x14ac:dyDescent="0.25">
      <c r="A177" s="35" t="s">
        <v>142</v>
      </c>
      <c r="B177" s="35" t="s">
        <v>1744</v>
      </c>
      <c r="C177" s="35" t="s">
        <v>164</v>
      </c>
      <c r="D177" s="35" t="s">
        <v>1784</v>
      </c>
      <c r="E177" s="35" t="s">
        <v>1785</v>
      </c>
      <c r="F177" s="35" t="s">
        <v>209</v>
      </c>
      <c r="G177" s="35" t="s">
        <v>1786</v>
      </c>
      <c r="H177" s="35"/>
      <c r="I177" s="35" t="s">
        <v>1787</v>
      </c>
      <c r="J177" s="35">
        <v>5</v>
      </c>
      <c r="K177" s="35">
        <v>5</v>
      </c>
      <c r="L177" s="35" t="s">
        <v>77</v>
      </c>
      <c r="M177" s="99">
        <v>0.6</v>
      </c>
    </row>
    <row r="178" spans="1:13" ht="19.5" customHeight="1" x14ac:dyDescent="0.25">
      <c r="A178" s="35" t="s">
        <v>142</v>
      </c>
      <c r="B178" s="35" t="s">
        <v>1788</v>
      </c>
      <c r="C178" s="35" t="s">
        <v>784</v>
      </c>
      <c r="D178" s="35" t="s">
        <v>1795</v>
      </c>
      <c r="E178" s="35"/>
      <c r="F178" s="35" t="s">
        <v>27</v>
      </c>
      <c r="G178" s="35" t="s">
        <v>1796</v>
      </c>
      <c r="H178" s="35"/>
      <c r="I178" s="35" t="s">
        <v>1797</v>
      </c>
      <c r="J178" s="35">
        <v>1</v>
      </c>
      <c r="K178" s="35">
        <v>1</v>
      </c>
      <c r="L178" s="35" t="s">
        <v>64</v>
      </c>
      <c r="M178" s="99">
        <v>0.48</v>
      </c>
    </row>
    <row r="179" spans="1:13" ht="19.5" customHeight="1" x14ac:dyDescent="0.25">
      <c r="A179" s="35" t="s">
        <v>142</v>
      </c>
      <c r="B179" s="35" t="s">
        <v>1788</v>
      </c>
      <c r="C179" s="35" t="s">
        <v>784</v>
      </c>
      <c r="D179" s="35" t="s">
        <v>1798</v>
      </c>
      <c r="E179" s="35" t="s">
        <v>252</v>
      </c>
      <c r="F179" s="35" t="s">
        <v>1799</v>
      </c>
      <c r="G179" s="35" t="s">
        <v>1800</v>
      </c>
      <c r="H179" s="35"/>
      <c r="I179" s="35" t="s">
        <v>1801</v>
      </c>
      <c r="J179" s="35">
        <v>1</v>
      </c>
      <c r="K179" s="35">
        <v>1</v>
      </c>
      <c r="L179" s="35" t="s">
        <v>71</v>
      </c>
      <c r="M179" s="99">
        <v>0.28000000000000003</v>
      </c>
    </row>
    <row r="180" spans="1:13" ht="19.5" customHeight="1" x14ac:dyDescent="0.25">
      <c r="A180" s="35" t="s">
        <v>142</v>
      </c>
      <c r="B180" s="35" t="s">
        <v>1788</v>
      </c>
      <c r="C180" s="35" t="s">
        <v>784</v>
      </c>
      <c r="D180" s="35" t="s">
        <v>1802</v>
      </c>
      <c r="E180" s="35" t="s">
        <v>33</v>
      </c>
      <c r="F180" s="35" t="s">
        <v>785</v>
      </c>
      <c r="G180" s="35" t="s">
        <v>1803</v>
      </c>
      <c r="H180" s="35"/>
      <c r="I180" s="35" t="s">
        <v>1804</v>
      </c>
      <c r="J180" s="35">
        <v>1</v>
      </c>
      <c r="K180" s="35">
        <v>1</v>
      </c>
      <c r="L180" s="35" t="s">
        <v>64</v>
      </c>
      <c r="M180" s="99">
        <v>0.48</v>
      </c>
    </row>
    <row r="181" spans="1:13" ht="19.5" customHeight="1" x14ac:dyDescent="0.25">
      <c r="A181" s="35" t="s">
        <v>142</v>
      </c>
      <c r="B181" s="35" t="s">
        <v>1788</v>
      </c>
      <c r="C181" s="35" t="s">
        <v>784</v>
      </c>
      <c r="D181" s="35" t="s">
        <v>1805</v>
      </c>
      <c r="E181" s="35" t="s">
        <v>193</v>
      </c>
      <c r="F181" s="35" t="s">
        <v>1806</v>
      </c>
      <c r="G181" s="35" t="s">
        <v>1807</v>
      </c>
      <c r="H181" s="35"/>
      <c r="I181" s="35" t="s">
        <v>1808</v>
      </c>
      <c r="J181" s="35">
        <v>3</v>
      </c>
      <c r="K181" s="35">
        <v>3</v>
      </c>
      <c r="L181" s="35" t="s">
        <v>77</v>
      </c>
      <c r="M181" s="99">
        <v>0.44</v>
      </c>
    </row>
    <row r="182" spans="1:13" ht="19.5" customHeight="1" x14ac:dyDescent="0.25">
      <c r="A182" s="35" t="s">
        <v>142</v>
      </c>
      <c r="B182" s="35" t="s">
        <v>1788</v>
      </c>
      <c r="C182" s="35" t="s">
        <v>784</v>
      </c>
      <c r="D182" s="35" t="s">
        <v>1809</v>
      </c>
      <c r="E182" s="35"/>
      <c r="F182" s="35" t="s">
        <v>1810</v>
      </c>
      <c r="G182" s="35"/>
      <c r="H182" s="35"/>
      <c r="I182" s="35" t="s">
        <v>1811</v>
      </c>
      <c r="J182" s="35">
        <v>1</v>
      </c>
      <c r="K182" s="35">
        <v>1</v>
      </c>
      <c r="L182" s="35" t="s">
        <v>77</v>
      </c>
      <c r="M182" s="99">
        <v>0.28000000000000003</v>
      </c>
    </row>
    <row r="183" spans="1:13" ht="19.5" customHeight="1" x14ac:dyDescent="0.25">
      <c r="A183" s="35" t="s">
        <v>142</v>
      </c>
      <c r="B183" s="35" t="s">
        <v>1788</v>
      </c>
      <c r="C183" s="35" t="s">
        <v>164</v>
      </c>
      <c r="D183" s="35" t="s">
        <v>1812</v>
      </c>
      <c r="E183" s="35" t="s">
        <v>193</v>
      </c>
      <c r="F183" s="35" t="s">
        <v>1813</v>
      </c>
      <c r="G183" s="35" t="s">
        <v>1814</v>
      </c>
      <c r="H183" s="35"/>
      <c r="I183" s="35" t="s">
        <v>1815</v>
      </c>
      <c r="J183" s="35">
        <v>3</v>
      </c>
      <c r="K183" s="35">
        <v>3</v>
      </c>
      <c r="L183" s="35" t="s">
        <v>77</v>
      </c>
      <c r="M183" s="99">
        <v>0.44</v>
      </c>
    </row>
    <row r="184" spans="1:13" ht="19.5" customHeight="1" x14ac:dyDescent="0.25">
      <c r="A184" s="35" t="s">
        <v>142</v>
      </c>
      <c r="B184" s="35" t="s">
        <v>1788</v>
      </c>
      <c r="C184" s="35" t="s">
        <v>164</v>
      </c>
      <c r="D184" s="35" t="s">
        <v>1816</v>
      </c>
      <c r="E184" s="35" t="s">
        <v>193</v>
      </c>
      <c r="F184" s="35" t="s">
        <v>1817</v>
      </c>
      <c r="G184" s="35" t="s">
        <v>1818</v>
      </c>
      <c r="H184" s="35"/>
      <c r="I184" s="35" t="s">
        <v>1819</v>
      </c>
      <c r="J184" s="35">
        <v>5</v>
      </c>
      <c r="K184" s="35">
        <v>3</v>
      </c>
      <c r="L184" s="35" t="s">
        <v>77</v>
      </c>
      <c r="M184" s="99">
        <v>0.52</v>
      </c>
    </row>
    <row r="185" spans="1:13" ht="19.5" customHeight="1" x14ac:dyDescent="0.25">
      <c r="A185" s="35" t="s">
        <v>142</v>
      </c>
      <c r="B185" s="35" t="s">
        <v>1788</v>
      </c>
      <c r="C185" s="35" t="s">
        <v>164</v>
      </c>
      <c r="D185" s="35" t="s">
        <v>1820</v>
      </c>
      <c r="E185" s="35" t="s">
        <v>193</v>
      </c>
      <c r="F185" s="35" t="s">
        <v>1821</v>
      </c>
      <c r="G185" s="35" t="s">
        <v>1822</v>
      </c>
      <c r="H185" s="35"/>
      <c r="I185" s="35" t="s">
        <v>1823</v>
      </c>
      <c r="J185" s="35">
        <v>1</v>
      </c>
      <c r="K185" s="35">
        <v>1</v>
      </c>
      <c r="L185" s="35" t="s">
        <v>64</v>
      </c>
      <c r="M185" s="99">
        <v>0.48</v>
      </c>
    </row>
    <row r="186" spans="1:13" ht="19.5" customHeight="1" x14ac:dyDescent="0.25">
      <c r="A186" s="35" t="s">
        <v>142</v>
      </c>
      <c r="B186" s="35" t="s">
        <v>1824</v>
      </c>
      <c r="C186" s="35" t="s">
        <v>784</v>
      </c>
      <c r="D186" s="35" t="s">
        <v>1830</v>
      </c>
      <c r="E186" s="35" t="s">
        <v>179</v>
      </c>
      <c r="F186" s="35" t="s">
        <v>669</v>
      </c>
      <c r="G186" s="35"/>
      <c r="H186" s="35"/>
      <c r="I186" s="35" t="s">
        <v>1831</v>
      </c>
      <c r="J186" s="35">
        <v>0</v>
      </c>
      <c r="K186" s="35">
        <v>0</v>
      </c>
      <c r="L186" s="35" t="s">
        <v>396</v>
      </c>
      <c r="M186" s="99">
        <v>0</v>
      </c>
    </row>
    <row r="187" spans="1:13" ht="19.5" customHeight="1" x14ac:dyDescent="0.25">
      <c r="A187" s="35" t="s">
        <v>142</v>
      </c>
      <c r="B187" s="35" t="s">
        <v>1824</v>
      </c>
      <c r="C187" s="35" t="s">
        <v>784</v>
      </c>
      <c r="D187" s="35" t="s">
        <v>1832</v>
      </c>
      <c r="E187" s="35" t="s">
        <v>193</v>
      </c>
      <c r="F187" s="35" t="s">
        <v>748</v>
      </c>
      <c r="G187" s="35" t="s">
        <v>1833</v>
      </c>
      <c r="H187" s="35"/>
      <c r="I187" s="35" t="s">
        <v>1834</v>
      </c>
      <c r="J187" s="35">
        <v>0</v>
      </c>
      <c r="K187" s="35">
        <v>0</v>
      </c>
      <c r="L187" s="35" t="s">
        <v>396</v>
      </c>
      <c r="M187" s="99">
        <v>0</v>
      </c>
    </row>
    <row r="188" spans="1:13" ht="19.5" customHeight="1" x14ac:dyDescent="0.25">
      <c r="A188" s="35" t="s">
        <v>142</v>
      </c>
      <c r="B188" s="35" t="s">
        <v>1824</v>
      </c>
      <c r="C188" s="35" t="s">
        <v>784</v>
      </c>
      <c r="D188" s="35" t="s">
        <v>1835</v>
      </c>
      <c r="E188" s="35" t="s">
        <v>332</v>
      </c>
      <c r="F188" s="35" t="s">
        <v>1836</v>
      </c>
      <c r="G188" s="35" t="s">
        <v>1837</v>
      </c>
      <c r="H188" s="35"/>
      <c r="I188" s="35" t="s">
        <v>1838</v>
      </c>
      <c r="J188" s="35">
        <v>0</v>
      </c>
      <c r="K188" s="35">
        <v>0</v>
      </c>
      <c r="L188" s="35" t="s">
        <v>396</v>
      </c>
      <c r="M188" s="99">
        <v>0</v>
      </c>
    </row>
    <row r="189" spans="1:13" ht="19.5" customHeight="1" x14ac:dyDescent="0.25">
      <c r="A189" s="35" t="s">
        <v>142</v>
      </c>
      <c r="B189" s="35" t="s">
        <v>1839</v>
      </c>
      <c r="C189" s="35" t="s">
        <v>784</v>
      </c>
      <c r="D189" s="35" t="s">
        <v>1845</v>
      </c>
      <c r="E189" s="35"/>
      <c r="F189" s="35" t="s">
        <v>27</v>
      </c>
      <c r="G189" s="35" t="s">
        <v>1846</v>
      </c>
      <c r="H189" s="35"/>
      <c r="I189" s="35" t="s">
        <v>1847</v>
      </c>
      <c r="J189" s="35">
        <v>1</v>
      </c>
      <c r="K189" s="35">
        <v>1</v>
      </c>
      <c r="L189" s="35" t="s">
        <v>64</v>
      </c>
      <c r="M189" s="99">
        <v>0.48</v>
      </c>
    </row>
    <row r="190" spans="1:13" ht="19.5" customHeight="1" x14ac:dyDescent="0.25">
      <c r="A190" s="35" t="s">
        <v>142</v>
      </c>
      <c r="B190" s="35" t="s">
        <v>1839</v>
      </c>
      <c r="C190" s="35" t="s">
        <v>784</v>
      </c>
      <c r="D190" s="35" t="s">
        <v>1848</v>
      </c>
      <c r="E190" s="35" t="s">
        <v>252</v>
      </c>
      <c r="F190" s="35" t="s">
        <v>669</v>
      </c>
      <c r="G190" s="35" t="s">
        <v>1849</v>
      </c>
      <c r="H190" s="35"/>
      <c r="I190" s="35" t="s">
        <v>1850</v>
      </c>
      <c r="J190" s="35">
        <v>1</v>
      </c>
      <c r="K190" s="35">
        <v>1</v>
      </c>
      <c r="L190" s="35" t="s">
        <v>64</v>
      </c>
      <c r="M190" s="99">
        <v>0.48</v>
      </c>
    </row>
    <row r="191" spans="1:13" ht="19.5" customHeight="1" x14ac:dyDescent="0.25">
      <c r="A191" s="35" t="s">
        <v>142</v>
      </c>
      <c r="B191" s="35" t="s">
        <v>1839</v>
      </c>
      <c r="C191" s="35" t="s">
        <v>784</v>
      </c>
      <c r="D191" s="35" t="s">
        <v>1851</v>
      </c>
      <c r="E191" s="35" t="s">
        <v>193</v>
      </c>
      <c r="F191" s="35" t="s">
        <v>169</v>
      </c>
      <c r="G191" s="35" t="s">
        <v>1852</v>
      </c>
      <c r="H191" s="35"/>
      <c r="I191" s="35" t="s">
        <v>1853</v>
      </c>
      <c r="J191" s="35">
        <v>3</v>
      </c>
      <c r="K191" s="35">
        <v>2</v>
      </c>
      <c r="L191" s="35" t="s">
        <v>64</v>
      </c>
      <c r="M191" s="99">
        <v>0.6</v>
      </c>
    </row>
    <row r="192" spans="1:13" ht="19.5" customHeight="1" x14ac:dyDescent="0.25">
      <c r="A192" s="35" t="s">
        <v>142</v>
      </c>
      <c r="B192" s="35" t="s">
        <v>1839</v>
      </c>
      <c r="C192" s="35" t="s">
        <v>164</v>
      </c>
      <c r="D192" s="35" t="s">
        <v>1854</v>
      </c>
      <c r="E192" s="35" t="s">
        <v>193</v>
      </c>
      <c r="F192" s="35" t="s">
        <v>609</v>
      </c>
      <c r="G192" s="35" t="s">
        <v>1855</v>
      </c>
      <c r="H192" s="35"/>
      <c r="I192" s="35" t="s">
        <v>1856</v>
      </c>
      <c r="J192" s="35">
        <v>5</v>
      </c>
      <c r="K192" s="35">
        <v>5</v>
      </c>
      <c r="L192" s="35" t="s">
        <v>77</v>
      </c>
      <c r="M192" s="99">
        <v>0.6</v>
      </c>
    </row>
    <row r="193" spans="1:13" ht="19.5" customHeight="1" x14ac:dyDescent="0.25">
      <c r="A193" s="35" t="s">
        <v>142</v>
      </c>
      <c r="B193" s="35" t="s">
        <v>1857</v>
      </c>
      <c r="C193" s="35" t="s">
        <v>784</v>
      </c>
      <c r="D193" s="35" t="s">
        <v>1864</v>
      </c>
      <c r="E193" s="35"/>
      <c r="F193" s="35" t="s">
        <v>27</v>
      </c>
      <c r="G193" s="35" t="s">
        <v>1865</v>
      </c>
      <c r="H193" s="35"/>
      <c r="I193" s="35" t="s">
        <v>1866</v>
      </c>
      <c r="J193" s="35">
        <v>1</v>
      </c>
      <c r="K193" s="35">
        <v>1</v>
      </c>
      <c r="L193" s="35" t="s">
        <v>64</v>
      </c>
      <c r="M193" s="99">
        <v>0.48</v>
      </c>
    </row>
    <row r="194" spans="1:13" ht="19.5" customHeight="1" x14ac:dyDescent="0.25">
      <c r="A194" s="35" t="s">
        <v>142</v>
      </c>
      <c r="B194" s="35" t="s">
        <v>1857</v>
      </c>
      <c r="C194" s="35" t="s">
        <v>784</v>
      </c>
      <c r="D194" s="35" t="s">
        <v>1867</v>
      </c>
      <c r="E194" s="35" t="s">
        <v>252</v>
      </c>
      <c r="F194" s="35" t="s">
        <v>321</v>
      </c>
      <c r="G194" s="35" t="s">
        <v>1868</v>
      </c>
      <c r="H194" s="35"/>
      <c r="I194" s="35"/>
      <c r="J194" s="35">
        <v>5</v>
      </c>
      <c r="K194" s="35">
        <v>5</v>
      </c>
      <c r="L194" s="35" t="s">
        <v>64</v>
      </c>
      <c r="M194" s="99">
        <v>0.8</v>
      </c>
    </row>
    <row r="195" spans="1:13" ht="19.5" customHeight="1" x14ac:dyDescent="0.25">
      <c r="A195" s="35" t="s">
        <v>142</v>
      </c>
      <c r="B195" s="35" t="s">
        <v>1857</v>
      </c>
      <c r="C195" s="35" t="s">
        <v>784</v>
      </c>
      <c r="D195" s="35" t="s">
        <v>1869</v>
      </c>
      <c r="E195" s="35" t="s">
        <v>193</v>
      </c>
      <c r="F195" s="35" t="s">
        <v>365</v>
      </c>
      <c r="G195" s="35" t="s">
        <v>1870</v>
      </c>
      <c r="H195" s="35"/>
      <c r="I195" s="35" t="s">
        <v>1871</v>
      </c>
      <c r="J195" s="35">
        <v>1</v>
      </c>
      <c r="K195" s="35">
        <v>1</v>
      </c>
      <c r="L195" s="35" t="s">
        <v>77</v>
      </c>
      <c r="M195" s="99">
        <v>0.28000000000000003</v>
      </c>
    </row>
    <row r="196" spans="1:13" ht="19.5" customHeight="1" x14ac:dyDescent="0.25">
      <c r="A196" s="35" t="s">
        <v>142</v>
      </c>
      <c r="B196" s="35" t="s">
        <v>1857</v>
      </c>
      <c r="C196" s="35" t="s">
        <v>784</v>
      </c>
      <c r="D196" s="35" t="s">
        <v>1872</v>
      </c>
      <c r="E196" s="35" t="s">
        <v>193</v>
      </c>
      <c r="F196" s="35" t="s">
        <v>1873</v>
      </c>
      <c r="G196" s="35" t="s">
        <v>1874</v>
      </c>
      <c r="H196" s="35"/>
      <c r="I196" s="35" t="s">
        <v>1866</v>
      </c>
      <c r="J196" s="35">
        <v>5</v>
      </c>
      <c r="K196" s="35">
        <v>5</v>
      </c>
      <c r="L196" s="35" t="s">
        <v>77</v>
      </c>
      <c r="M196" s="99">
        <v>0.6</v>
      </c>
    </row>
    <row r="197" spans="1:13" ht="19.5" customHeight="1" x14ac:dyDescent="0.25">
      <c r="A197" s="35" t="s">
        <v>142</v>
      </c>
      <c r="B197" s="35" t="s">
        <v>1857</v>
      </c>
      <c r="C197" s="35" t="s">
        <v>784</v>
      </c>
      <c r="D197" s="35" t="s">
        <v>1875</v>
      </c>
      <c r="E197" s="35" t="s">
        <v>193</v>
      </c>
      <c r="F197" s="35" t="s">
        <v>1876</v>
      </c>
      <c r="G197" s="35" t="s">
        <v>1877</v>
      </c>
      <c r="H197" s="35"/>
      <c r="I197" s="35" t="s">
        <v>1878</v>
      </c>
      <c r="J197" s="35">
        <v>4</v>
      </c>
      <c r="K197" s="35">
        <v>3</v>
      </c>
      <c r="L197" s="35" t="s">
        <v>77</v>
      </c>
      <c r="M197" s="99">
        <v>0.48</v>
      </c>
    </row>
    <row r="198" spans="1:13" ht="19.5" customHeight="1" x14ac:dyDescent="0.25">
      <c r="A198" s="35" t="s">
        <v>142</v>
      </c>
      <c r="B198" s="35" t="s">
        <v>1857</v>
      </c>
      <c r="C198" s="35" t="s">
        <v>784</v>
      </c>
      <c r="D198" s="35" t="s">
        <v>1879</v>
      </c>
      <c r="E198" s="35" t="s">
        <v>332</v>
      </c>
      <c r="F198" s="35" t="s">
        <v>1880</v>
      </c>
      <c r="G198" s="35" t="s">
        <v>1881</v>
      </c>
      <c r="H198" s="35"/>
      <c r="I198" s="35" t="s">
        <v>1882</v>
      </c>
      <c r="J198" s="35">
        <v>1</v>
      </c>
      <c r="K198" s="35">
        <v>1</v>
      </c>
      <c r="L198" s="35" t="s">
        <v>77</v>
      </c>
      <c r="M198" s="99">
        <v>0.28000000000000003</v>
      </c>
    </row>
    <row r="199" spans="1:13" ht="19.5" customHeight="1" x14ac:dyDescent="0.25">
      <c r="A199" s="35" t="s">
        <v>142</v>
      </c>
      <c r="B199" s="35" t="s">
        <v>1857</v>
      </c>
      <c r="C199" s="35" t="s">
        <v>164</v>
      </c>
      <c r="D199" s="35" t="s">
        <v>1883</v>
      </c>
      <c r="E199" s="35" t="s">
        <v>193</v>
      </c>
      <c r="F199" s="35" t="s">
        <v>1884</v>
      </c>
      <c r="G199" s="35" t="s">
        <v>1885</v>
      </c>
      <c r="H199" s="35" t="s">
        <v>1886</v>
      </c>
      <c r="I199" s="35" t="s">
        <v>1887</v>
      </c>
      <c r="J199" s="35">
        <v>1</v>
      </c>
      <c r="K199" s="35">
        <v>5</v>
      </c>
      <c r="L199" s="35" t="s">
        <v>77</v>
      </c>
      <c r="M199" s="99">
        <v>0.44</v>
      </c>
    </row>
    <row r="200" spans="1:13" ht="19.5" customHeight="1" x14ac:dyDescent="0.25">
      <c r="A200" s="35" t="s">
        <v>142</v>
      </c>
      <c r="B200" s="35" t="s">
        <v>1857</v>
      </c>
      <c r="C200" s="35" t="s">
        <v>164</v>
      </c>
      <c r="D200" s="35" t="s">
        <v>1888</v>
      </c>
      <c r="E200" s="35" t="s">
        <v>193</v>
      </c>
      <c r="F200" s="35" t="s">
        <v>1889</v>
      </c>
      <c r="G200" s="35" t="s">
        <v>1890</v>
      </c>
      <c r="H200" s="35"/>
      <c r="I200" s="35" t="s">
        <v>1891</v>
      </c>
      <c r="J200" s="35">
        <v>5</v>
      </c>
      <c r="K200" s="35">
        <v>5</v>
      </c>
      <c r="L200" s="35" t="s">
        <v>77</v>
      </c>
      <c r="M200" s="99">
        <v>0.6</v>
      </c>
    </row>
    <row r="201" spans="1:13" ht="19.5" customHeight="1" x14ac:dyDescent="0.25">
      <c r="A201" s="35" t="s">
        <v>142</v>
      </c>
      <c r="B201" s="35" t="s">
        <v>2098</v>
      </c>
      <c r="C201" s="35" t="s">
        <v>784</v>
      </c>
      <c r="D201" s="35" t="s">
        <v>1900</v>
      </c>
      <c r="E201" s="35"/>
      <c r="F201" s="35" t="s">
        <v>318</v>
      </c>
      <c r="G201" s="35" t="s">
        <v>1901</v>
      </c>
      <c r="H201" s="35" t="s">
        <v>1902</v>
      </c>
      <c r="I201" s="35" t="s">
        <v>1903</v>
      </c>
      <c r="J201" s="35">
        <v>1</v>
      </c>
      <c r="K201" s="35">
        <v>5</v>
      </c>
      <c r="L201" s="35" t="s">
        <v>64</v>
      </c>
      <c r="M201" s="99">
        <v>0.64</v>
      </c>
    </row>
    <row r="202" spans="1:13" ht="19.5" customHeight="1" x14ac:dyDescent="0.25">
      <c r="A202" s="35" t="s">
        <v>142</v>
      </c>
      <c r="B202" s="35" t="s">
        <v>2098</v>
      </c>
      <c r="C202" s="35" t="s">
        <v>784</v>
      </c>
      <c r="D202" s="35" t="s">
        <v>1904</v>
      </c>
      <c r="E202" s="35" t="s">
        <v>252</v>
      </c>
      <c r="F202" s="35" t="s">
        <v>669</v>
      </c>
      <c r="G202" s="35" t="s">
        <v>1905</v>
      </c>
      <c r="H202" s="35" t="s">
        <v>1906</v>
      </c>
      <c r="I202" s="35" t="s">
        <v>1907</v>
      </c>
      <c r="J202" s="35">
        <v>2</v>
      </c>
      <c r="K202" s="35">
        <v>2</v>
      </c>
      <c r="L202" s="35" t="s">
        <v>64</v>
      </c>
      <c r="M202" s="99">
        <v>0.56000000000000005</v>
      </c>
    </row>
    <row r="203" spans="1:13" ht="19.5" customHeight="1" x14ac:dyDescent="0.25">
      <c r="A203" s="35" t="s">
        <v>142</v>
      </c>
      <c r="B203" s="35" t="s">
        <v>2098</v>
      </c>
      <c r="C203" s="35" t="s">
        <v>784</v>
      </c>
      <c r="D203" s="35" t="s">
        <v>1908</v>
      </c>
      <c r="E203" s="35" t="s">
        <v>189</v>
      </c>
      <c r="F203" s="35" t="s">
        <v>669</v>
      </c>
      <c r="G203" s="35"/>
      <c r="H203" s="35"/>
      <c r="I203" s="35" t="s">
        <v>1909</v>
      </c>
      <c r="J203" s="35">
        <v>1</v>
      </c>
      <c r="K203" s="35">
        <v>1</v>
      </c>
      <c r="L203" s="35" t="s">
        <v>77</v>
      </c>
      <c r="M203" s="99">
        <v>0.28000000000000003</v>
      </c>
    </row>
    <row r="204" spans="1:13" ht="19.5" customHeight="1" x14ac:dyDescent="0.25">
      <c r="A204" s="35" t="s">
        <v>142</v>
      </c>
      <c r="B204" s="35" t="s">
        <v>2098</v>
      </c>
      <c r="C204" s="35" t="s">
        <v>784</v>
      </c>
      <c r="D204" s="35" t="s">
        <v>1910</v>
      </c>
      <c r="E204" s="35" t="s">
        <v>193</v>
      </c>
      <c r="F204" s="35" t="s">
        <v>169</v>
      </c>
      <c r="G204" s="35" t="s">
        <v>1911</v>
      </c>
      <c r="H204" s="35"/>
      <c r="I204" s="35" t="s">
        <v>1912</v>
      </c>
      <c r="J204" s="35">
        <v>4</v>
      </c>
      <c r="K204" s="35">
        <v>3</v>
      </c>
      <c r="L204" s="35" t="s">
        <v>83</v>
      </c>
      <c r="M204" s="99">
        <v>0.88</v>
      </c>
    </row>
    <row r="205" spans="1:13" ht="19.5" customHeight="1" x14ac:dyDescent="0.25">
      <c r="A205" s="35" t="s">
        <v>142</v>
      </c>
      <c r="B205" s="35" t="s">
        <v>2098</v>
      </c>
      <c r="C205" s="35" t="s">
        <v>784</v>
      </c>
      <c r="D205" s="35" t="s">
        <v>1913</v>
      </c>
      <c r="E205" s="35" t="s">
        <v>332</v>
      </c>
      <c r="F205" s="35" t="s">
        <v>169</v>
      </c>
      <c r="G205" s="35" t="s">
        <v>1914</v>
      </c>
      <c r="H205" s="35"/>
      <c r="I205" s="35" t="s">
        <v>1915</v>
      </c>
      <c r="J205" s="35">
        <v>1</v>
      </c>
      <c r="K205" s="35">
        <v>1</v>
      </c>
      <c r="L205" s="35" t="s">
        <v>57</v>
      </c>
      <c r="M205" s="99">
        <v>0.08</v>
      </c>
    </row>
    <row r="206" spans="1:13" ht="19.5" customHeight="1" x14ac:dyDescent="0.25">
      <c r="A206" s="35" t="s">
        <v>142</v>
      </c>
      <c r="B206" s="35" t="s">
        <v>1916</v>
      </c>
      <c r="C206" s="35" t="s">
        <v>784</v>
      </c>
      <c r="D206" s="35" t="s">
        <v>1921</v>
      </c>
      <c r="E206" s="35"/>
      <c r="F206" s="35" t="s">
        <v>27</v>
      </c>
      <c r="G206" s="35"/>
      <c r="H206" s="35" t="s">
        <v>1922</v>
      </c>
      <c r="I206" s="35" t="s">
        <v>1923</v>
      </c>
      <c r="J206" s="35">
        <v>1</v>
      </c>
      <c r="K206" s="35">
        <v>1</v>
      </c>
      <c r="L206" s="35" t="s">
        <v>64</v>
      </c>
      <c r="M206" s="99">
        <v>0.48</v>
      </c>
    </row>
    <row r="207" spans="1:13" ht="19.5" customHeight="1" x14ac:dyDescent="0.25">
      <c r="A207" s="35" t="s">
        <v>142</v>
      </c>
      <c r="B207" s="35" t="s">
        <v>1916</v>
      </c>
      <c r="C207" s="35" t="s">
        <v>784</v>
      </c>
      <c r="D207" s="35" t="s">
        <v>1924</v>
      </c>
      <c r="E207" s="35" t="s">
        <v>252</v>
      </c>
      <c r="F207" s="35" t="s">
        <v>1925</v>
      </c>
      <c r="G207" s="35" t="s">
        <v>1926</v>
      </c>
      <c r="H207" s="35" t="s">
        <v>1922</v>
      </c>
      <c r="I207" s="35" t="s">
        <v>1927</v>
      </c>
      <c r="J207" s="35">
        <v>1</v>
      </c>
      <c r="K207" s="35">
        <v>1</v>
      </c>
      <c r="L207" s="35" t="s">
        <v>64</v>
      </c>
      <c r="M207" s="99">
        <v>0.48</v>
      </c>
    </row>
    <row r="208" spans="1:13" ht="19.5" customHeight="1" x14ac:dyDescent="0.25">
      <c r="A208" s="35" t="s">
        <v>142</v>
      </c>
      <c r="B208" s="35" t="s">
        <v>1916</v>
      </c>
      <c r="C208" s="35" t="s">
        <v>784</v>
      </c>
      <c r="D208" s="35" t="s">
        <v>1928</v>
      </c>
      <c r="E208" s="35" t="s">
        <v>1929</v>
      </c>
      <c r="F208" s="35" t="s">
        <v>1930</v>
      </c>
      <c r="G208" s="35" t="s">
        <v>1931</v>
      </c>
      <c r="H208" s="35" t="s">
        <v>1922</v>
      </c>
      <c r="I208" s="35" t="s">
        <v>1932</v>
      </c>
      <c r="J208" s="35">
        <v>2</v>
      </c>
      <c r="K208" s="35">
        <v>2</v>
      </c>
      <c r="L208" s="35" t="s">
        <v>64</v>
      </c>
      <c r="M208" s="99">
        <v>0.56000000000000005</v>
      </c>
    </row>
    <row r="209" spans="1:13" ht="19.5" customHeight="1" x14ac:dyDescent="0.25">
      <c r="A209" s="35" t="s">
        <v>142</v>
      </c>
      <c r="B209" s="35" t="s">
        <v>1916</v>
      </c>
      <c r="C209" s="35" t="s">
        <v>784</v>
      </c>
      <c r="D209" s="35" t="s">
        <v>1933</v>
      </c>
      <c r="E209" s="35" t="s">
        <v>33</v>
      </c>
      <c r="F209" s="35" t="s">
        <v>785</v>
      </c>
      <c r="G209" s="35" t="s">
        <v>1934</v>
      </c>
      <c r="H209" s="35" t="s">
        <v>1922</v>
      </c>
      <c r="I209" s="35" t="s">
        <v>1935</v>
      </c>
      <c r="J209" s="35">
        <v>1</v>
      </c>
      <c r="K209" s="35">
        <v>1</v>
      </c>
      <c r="L209" s="35" t="s">
        <v>64</v>
      </c>
      <c r="M209" s="99">
        <v>0.48</v>
      </c>
    </row>
    <row r="210" spans="1:13" ht="19.5" customHeight="1" x14ac:dyDescent="0.25">
      <c r="A210" s="35" t="s">
        <v>142</v>
      </c>
      <c r="B210" s="35" t="s">
        <v>1916</v>
      </c>
      <c r="C210" s="35" t="s">
        <v>784</v>
      </c>
      <c r="D210" s="35" t="s">
        <v>1936</v>
      </c>
      <c r="E210" s="35" t="s">
        <v>1937</v>
      </c>
      <c r="F210" s="35" t="s">
        <v>1938</v>
      </c>
      <c r="G210" s="35" t="s">
        <v>1939</v>
      </c>
      <c r="H210" s="35" t="s">
        <v>1922</v>
      </c>
      <c r="I210" s="35" t="s">
        <v>1940</v>
      </c>
      <c r="J210" s="35">
        <v>4</v>
      </c>
      <c r="K210" s="35">
        <v>4</v>
      </c>
      <c r="L210" s="35" t="s">
        <v>77</v>
      </c>
      <c r="M210" s="99">
        <v>0.52</v>
      </c>
    </row>
    <row r="211" spans="1:13" ht="19.5" customHeight="1" x14ac:dyDescent="0.25">
      <c r="A211" s="35" t="s">
        <v>142</v>
      </c>
      <c r="B211" s="35" t="s">
        <v>1916</v>
      </c>
      <c r="C211" s="35" t="s">
        <v>784</v>
      </c>
      <c r="D211" s="35" t="s">
        <v>1941</v>
      </c>
      <c r="E211" s="35" t="s">
        <v>332</v>
      </c>
      <c r="F211" s="35" t="s">
        <v>169</v>
      </c>
      <c r="G211" s="35" t="s">
        <v>1942</v>
      </c>
      <c r="H211" s="35" t="s">
        <v>1922</v>
      </c>
      <c r="I211" s="35" t="s">
        <v>1943</v>
      </c>
      <c r="J211" s="35">
        <v>1</v>
      </c>
      <c r="K211" s="35">
        <v>1</v>
      </c>
      <c r="L211" s="35" t="s">
        <v>77</v>
      </c>
      <c r="M211" s="99">
        <v>0.28000000000000003</v>
      </c>
    </row>
    <row r="212" spans="1:13" ht="19.5" customHeight="1" x14ac:dyDescent="0.25">
      <c r="A212" s="35" t="s">
        <v>142</v>
      </c>
      <c r="B212" s="35" t="s">
        <v>1916</v>
      </c>
      <c r="C212" s="35" t="s">
        <v>164</v>
      </c>
      <c r="D212" s="35" t="s">
        <v>1944</v>
      </c>
      <c r="E212" s="35" t="s">
        <v>193</v>
      </c>
      <c r="F212" s="35" t="s">
        <v>1945</v>
      </c>
      <c r="G212" s="35" t="s">
        <v>1946</v>
      </c>
      <c r="H212" s="35" t="s">
        <v>1922</v>
      </c>
      <c r="I212" s="35" t="s">
        <v>1947</v>
      </c>
      <c r="J212" s="35">
        <v>1</v>
      </c>
      <c r="K212" s="35">
        <v>1</v>
      </c>
      <c r="L212" s="35" t="s">
        <v>77</v>
      </c>
      <c r="M212" s="99">
        <v>0.28000000000000003</v>
      </c>
    </row>
    <row r="213" spans="1:13" ht="19.5" customHeight="1" x14ac:dyDescent="0.25">
      <c r="A213" s="35" t="s">
        <v>142</v>
      </c>
      <c r="B213" s="35" t="s">
        <v>1916</v>
      </c>
      <c r="C213" s="35" t="s">
        <v>164</v>
      </c>
      <c r="D213" s="35" t="s">
        <v>1948</v>
      </c>
      <c r="E213" s="35" t="s">
        <v>274</v>
      </c>
      <c r="F213" s="35" t="s">
        <v>1949</v>
      </c>
      <c r="G213" s="35" t="s">
        <v>1950</v>
      </c>
      <c r="H213" s="35" t="s">
        <v>1922</v>
      </c>
      <c r="I213" s="35" t="s">
        <v>1951</v>
      </c>
      <c r="J213" s="35">
        <v>1</v>
      </c>
      <c r="K213" s="35">
        <v>1</v>
      </c>
      <c r="L213" s="35" t="s">
        <v>71</v>
      </c>
      <c r="M213" s="99">
        <v>0.28000000000000003</v>
      </c>
    </row>
    <row r="214" spans="1:13" ht="19.5" customHeight="1" x14ac:dyDescent="0.25">
      <c r="A214" s="35" t="s">
        <v>142</v>
      </c>
      <c r="B214" s="35" t="s">
        <v>1916</v>
      </c>
      <c r="C214" s="35" t="s">
        <v>164</v>
      </c>
      <c r="D214" s="35" t="s">
        <v>1952</v>
      </c>
      <c r="E214" s="35" t="s">
        <v>193</v>
      </c>
      <c r="F214" s="35" t="s">
        <v>1953</v>
      </c>
      <c r="G214" s="35" t="s">
        <v>1954</v>
      </c>
      <c r="H214" s="35" t="s">
        <v>1922</v>
      </c>
      <c r="I214" s="35" t="s">
        <v>1955</v>
      </c>
      <c r="J214" s="35">
        <v>4</v>
      </c>
      <c r="K214" s="35">
        <v>4</v>
      </c>
      <c r="L214" s="35" t="s">
        <v>83</v>
      </c>
      <c r="M214" s="99">
        <v>0.92</v>
      </c>
    </row>
    <row r="215" spans="1:13" ht="19.5" customHeight="1" x14ac:dyDescent="0.25">
      <c r="A215" s="35" t="s">
        <v>142</v>
      </c>
      <c r="B215" s="35" t="s">
        <v>1916</v>
      </c>
      <c r="C215" s="35" t="s">
        <v>164</v>
      </c>
      <c r="D215" s="35" t="s">
        <v>1956</v>
      </c>
      <c r="E215" s="35" t="s">
        <v>193</v>
      </c>
      <c r="F215" s="35" t="s">
        <v>1957</v>
      </c>
      <c r="G215" s="35" t="s">
        <v>1958</v>
      </c>
      <c r="H215" s="35" t="s">
        <v>1922</v>
      </c>
      <c r="I215" s="35" t="s">
        <v>1959</v>
      </c>
      <c r="J215" s="35">
        <v>3</v>
      </c>
      <c r="K215" s="35">
        <v>3</v>
      </c>
      <c r="L215" s="35" t="s">
        <v>77</v>
      </c>
      <c r="M215" s="99">
        <v>0.44</v>
      </c>
    </row>
    <row r="216" spans="1:13" ht="19.5" customHeight="1" x14ac:dyDescent="0.25">
      <c r="A216" s="35" t="s">
        <v>367</v>
      </c>
      <c r="B216" s="35" t="s">
        <v>1960</v>
      </c>
      <c r="C216" s="35" t="s">
        <v>784</v>
      </c>
      <c r="D216" s="35" t="s">
        <v>1967</v>
      </c>
      <c r="E216" s="35"/>
      <c r="F216" s="35" t="s">
        <v>27</v>
      </c>
      <c r="G216" s="35" t="s">
        <v>1968</v>
      </c>
      <c r="H216" s="35"/>
      <c r="I216" s="35"/>
      <c r="J216" s="35">
        <v>1</v>
      </c>
      <c r="K216" s="35">
        <v>2</v>
      </c>
      <c r="L216" s="35" t="s">
        <v>50</v>
      </c>
      <c r="M216" s="99">
        <v>0.52</v>
      </c>
    </row>
    <row r="217" spans="1:13" ht="19.5" customHeight="1" x14ac:dyDescent="0.25">
      <c r="A217" s="35" t="s">
        <v>367</v>
      </c>
      <c r="B217" s="35" t="s">
        <v>1960</v>
      </c>
      <c r="C217" s="35" t="s">
        <v>784</v>
      </c>
      <c r="D217" s="35" t="s">
        <v>1969</v>
      </c>
      <c r="E217" s="35" t="s">
        <v>193</v>
      </c>
      <c r="F217" s="35" t="s">
        <v>1970</v>
      </c>
      <c r="G217" s="35" t="s">
        <v>1971</v>
      </c>
      <c r="H217" s="35" t="s">
        <v>1972</v>
      </c>
      <c r="I217" s="35"/>
      <c r="J217" s="35">
        <v>5</v>
      </c>
      <c r="K217" s="35">
        <v>5</v>
      </c>
      <c r="L217" s="35" t="s">
        <v>83</v>
      </c>
      <c r="M217" s="99">
        <v>1</v>
      </c>
    </row>
    <row r="218" spans="1:13" ht="19.5" customHeight="1" x14ac:dyDescent="0.25">
      <c r="A218" s="35" t="s">
        <v>367</v>
      </c>
      <c r="B218" s="35" t="s">
        <v>1960</v>
      </c>
      <c r="C218" s="35" t="s">
        <v>784</v>
      </c>
      <c r="D218" s="35" t="s">
        <v>1973</v>
      </c>
      <c r="E218" s="35" t="s">
        <v>193</v>
      </c>
      <c r="F218" s="35" t="s">
        <v>1974</v>
      </c>
      <c r="G218" s="35" t="s">
        <v>1975</v>
      </c>
      <c r="H218" s="35"/>
      <c r="I218" s="35"/>
      <c r="J218" s="35">
        <v>4</v>
      </c>
      <c r="K218" s="35">
        <v>3</v>
      </c>
      <c r="L218" s="35" t="s">
        <v>64</v>
      </c>
      <c r="M218" s="99">
        <v>0.68</v>
      </c>
    </row>
    <row r="219" spans="1:13" ht="19.5" customHeight="1" x14ac:dyDescent="0.25">
      <c r="A219" s="35" t="s">
        <v>367</v>
      </c>
      <c r="B219" s="35" t="s">
        <v>1960</v>
      </c>
      <c r="C219" s="35" t="s">
        <v>164</v>
      </c>
      <c r="D219" s="35" t="s">
        <v>1976</v>
      </c>
      <c r="E219" s="35" t="s">
        <v>1050</v>
      </c>
      <c r="F219" s="35" t="s">
        <v>71</v>
      </c>
      <c r="G219" s="35" t="s">
        <v>1977</v>
      </c>
      <c r="H219" s="35" t="s">
        <v>1978</v>
      </c>
      <c r="I219" s="35"/>
      <c r="J219" s="35">
        <v>4</v>
      </c>
      <c r="K219" s="35">
        <v>3</v>
      </c>
      <c r="L219" s="35" t="s">
        <v>71</v>
      </c>
      <c r="M219" s="99">
        <v>0.48</v>
      </c>
    </row>
    <row r="220" spans="1:13" ht="19.5" customHeight="1" x14ac:dyDescent="0.25">
      <c r="A220" s="35" t="s">
        <v>367</v>
      </c>
      <c r="B220" s="35" t="s">
        <v>1960</v>
      </c>
      <c r="C220" s="35" t="s">
        <v>164</v>
      </c>
      <c r="D220" s="35" t="s">
        <v>1979</v>
      </c>
      <c r="E220" s="35" t="s">
        <v>1050</v>
      </c>
      <c r="F220" s="35" t="s">
        <v>1980</v>
      </c>
      <c r="G220" s="35" t="s">
        <v>1981</v>
      </c>
      <c r="H220" s="35" t="s">
        <v>1982</v>
      </c>
      <c r="I220" s="35"/>
      <c r="J220" s="35">
        <v>4</v>
      </c>
      <c r="K220" s="35">
        <v>3</v>
      </c>
      <c r="L220" s="35" t="s">
        <v>71</v>
      </c>
      <c r="M220" s="99">
        <v>0.48</v>
      </c>
    </row>
    <row r="221" spans="1:13" ht="19.5" customHeight="1" x14ac:dyDescent="0.25">
      <c r="A221" s="35" t="s">
        <v>367</v>
      </c>
      <c r="B221" s="35" t="s">
        <v>1983</v>
      </c>
      <c r="C221" s="35" t="s">
        <v>784</v>
      </c>
      <c r="D221" s="35" t="s">
        <v>1988</v>
      </c>
      <c r="E221" s="35"/>
      <c r="F221" s="35" t="s">
        <v>27</v>
      </c>
      <c r="G221" s="35"/>
      <c r="H221" s="35"/>
      <c r="I221" s="35" t="s">
        <v>1989</v>
      </c>
      <c r="J221" s="35">
        <v>1</v>
      </c>
      <c r="K221" s="35">
        <v>1</v>
      </c>
      <c r="L221" s="35" t="s">
        <v>64</v>
      </c>
      <c r="M221" s="99">
        <v>0.48</v>
      </c>
    </row>
    <row r="222" spans="1:13" ht="19.5" customHeight="1" x14ac:dyDescent="0.25">
      <c r="A222" s="35" t="s">
        <v>367</v>
      </c>
      <c r="B222" s="35" t="s">
        <v>1983</v>
      </c>
      <c r="C222" s="35" t="s">
        <v>784</v>
      </c>
      <c r="D222" s="35" t="s">
        <v>1990</v>
      </c>
      <c r="E222" s="35" t="s">
        <v>189</v>
      </c>
      <c r="F222" s="35" t="s">
        <v>1991</v>
      </c>
      <c r="G222" s="35" t="s">
        <v>1992</v>
      </c>
      <c r="H222" s="35"/>
      <c r="I222" s="35"/>
      <c r="J222" s="35">
        <v>2</v>
      </c>
      <c r="K222" s="35">
        <v>4</v>
      </c>
      <c r="L222" s="35" t="s">
        <v>77</v>
      </c>
      <c r="M222" s="99">
        <v>0.44</v>
      </c>
    </row>
    <row r="223" spans="1:13" ht="19.5" customHeight="1" x14ac:dyDescent="0.25">
      <c r="A223" s="35" t="s">
        <v>367</v>
      </c>
      <c r="B223" s="35" t="s">
        <v>1983</v>
      </c>
      <c r="C223" s="35" t="s">
        <v>784</v>
      </c>
      <c r="D223" s="35" t="s">
        <v>1993</v>
      </c>
      <c r="E223" s="35" t="s">
        <v>193</v>
      </c>
      <c r="F223" s="35" t="s">
        <v>1994</v>
      </c>
      <c r="G223" s="35" t="s">
        <v>1995</v>
      </c>
      <c r="H223" s="35"/>
      <c r="I223" s="35"/>
      <c r="J223" s="35">
        <v>4</v>
      </c>
      <c r="K223" s="35">
        <v>3</v>
      </c>
      <c r="L223" s="35" t="s">
        <v>64</v>
      </c>
      <c r="M223" s="99">
        <v>0.68</v>
      </c>
    </row>
    <row r="224" spans="1:13" ht="19.5" customHeight="1" x14ac:dyDescent="0.25">
      <c r="A224" s="35" t="s">
        <v>367</v>
      </c>
      <c r="B224" s="35" t="s">
        <v>1983</v>
      </c>
      <c r="C224" s="35" t="s">
        <v>164</v>
      </c>
      <c r="D224" s="35" t="s">
        <v>1996</v>
      </c>
      <c r="E224" s="35" t="s">
        <v>1050</v>
      </c>
      <c r="F224" s="35" t="s">
        <v>373</v>
      </c>
      <c r="G224" s="35" t="s">
        <v>1997</v>
      </c>
      <c r="H224" s="35"/>
      <c r="I224" s="35"/>
      <c r="J224" s="35">
        <v>3</v>
      </c>
      <c r="K224" s="35">
        <v>4</v>
      </c>
      <c r="L224" s="35" t="s">
        <v>71</v>
      </c>
      <c r="M224" s="99">
        <v>0.48</v>
      </c>
    </row>
    <row r="225" spans="1:13" ht="19.5" customHeight="1" x14ac:dyDescent="0.25">
      <c r="A225" s="35" t="s">
        <v>367</v>
      </c>
      <c r="B225" s="35" t="s">
        <v>1983</v>
      </c>
      <c r="C225" s="35" t="s">
        <v>164</v>
      </c>
      <c r="D225" s="35" t="s">
        <v>1998</v>
      </c>
      <c r="E225" s="35" t="s">
        <v>193</v>
      </c>
      <c r="F225" s="35" t="s">
        <v>1999</v>
      </c>
      <c r="G225" s="35" t="s">
        <v>2000</v>
      </c>
      <c r="H225" s="35"/>
      <c r="I225" s="35"/>
      <c r="J225" s="35">
        <v>4</v>
      </c>
      <c r="K225" s="35">
        <v>5</v>
      </c>
      <c r="L225" s="35" t="s">
        <v>77</v>
      </c>
      <c r="M225" s="99">
        <v>0.56000000000000005</v>
      </c>
    </row>
    <row r="226" spans="1:13" ht="19.5" customHeight="1" x14ac:dyDescent="0.25">
      <c r="A226" s="35" t="s">
        <v>367</v>
      </c>
      <c r="B226" s="35" t="s">
        <v>1983</v>
      </c>
      <c r="C226" s="35" t="s">
        <v>164</v>
      </c>
      <c r="D226" s="35" t="s">
        <v>2001</v>
      </c>
      <c r="E226" s="35" t="s">
        <v>193</v>
      </c>
      <c r="F226" s="35" t="s">
        <v>2002</v>
      </c>
      <c r="G226" s="35" t="s">
        <v>2003</v>
      </c>
      <c r="H226" s="35" t="s">
        <v>2004</v>
      </c>
      <c r="I226" s="35"/>
      <c r="J226" s="35">
        <v>5</v>
      </c>
      <c r="K226" s="35">
        <v>5</v>
      </c>
      <c r="L226" s="35" t="s">
        <v>83</v>
      </c>
      <c r="M226" s="99">
        <v>1</v>
      </c>
    </row>
    <row r="227" spans="1:13" ht="19.5" customHeight="1" x14ac:dyDescent="0.25">
      <c r="A227" s="35" t="s">
        <v>367</v>
      </c>
      <c r="B227" s="35" t="s">
        <v>1983</v>
      </c>
      <c r="C227" s="35" t="s">
        <v>164</v>
      </c>
      <c r="D227" s="35" t="s">
        <v>2005</v>
      </c>
      <c r="E227" s="35" t="s">
        <v>193</v>
      </c>
      <c r="F227" s="35" t="s">
        <v>2006</v>
      </c>
      <c r="G227" s="35" t="s">
        <v>2007</v>
      </c>
      <c r="H227" s="35"/>
      <c r="I227" s="35"/>
      <c r="J227" s="35">
        <v>4</v>
      </c>
      <c r="K227" s="35">
        <v>3</v>
      </c>
      <c r="L227" s="35" t="s">
        <v>77</v>
      </c>
      <c r="M227" s="99">
        <v>0.48</v>
      </c>
    </row>
    <row r="228" spans="1:13" ht="19.5" customHeight="1" x14ac:dyDescent="0.25">
      <c r="A228" s="35" t="s">
        <v>367</v>
      </c>
      <c r="B228" s="35" t="s">
        <v>349</v>
      </c>
      <c r="C228" s="35" t="s">
        <v>164</v>
      </c>
      <c r="D228" s="35" t="s">
        <v>2009</v>
      </c>
      <c r="E228" s="35" t="s">
        <v>2010</v>
      </c>
      <c r="F228" s="35" t="s">
        <v>2011</v>
      </c>
      <c r="G228" s="35" t="s">
        <v>2012</v>
      </c>
      <c r="H228" s="35" t="s">
        <v>2013</v>
      </c>
      <c r="I228" s="35"/>
      <c r="J228" s="35">
        <v>5</v>
      </c>
      <c r="K228" s="35">
        <v>5</v>
      </c>
      <c r="L228" s="35" t="s">
        <v>83</v>
      </c>
      <c r="M228" s="99">
        <v>1</v>
      </c>
    </row>
    <row r="229" spans="1:13" ht="19.5" customHeight="1" x14ac:dyDescent="0.25">
      <c r="A229" s="35" t="s">
        <v>367</v>
      </c>
      <c r="B229" s="35" t="s">
        <v>349</v>
      </c>
      <c r="C229" s="35" t="s">
        <v>164</v>
      </c>
      <c r="D229" s="35" t="s">
        <v>2014</v>
      </c>
      <c r="E229" s="35" t="s">
        <v>2010</v>
      </c>
      <c r="F229" s="35" t="s">
        <v>2015</v>
      </c>
      <c r="G229" s="35" t="s">
        <v>2016</v>
      </c>
      <c r="H229" s="35" t="s">
        <v>2017</v>
      </c>
      <c r="I229" s="35"/>
      <c r="J229" s="35">
        <v>5</v>
      </c>
      <c r="K229" s="35">
        <v>5</v>
      </c>
      <c r="L229" s="35" t="s">
        <v>83</v>
      </c>
      <c r="M229" s="99">
        <v>1</v>
      </c>
    </row>
    <row r="230" spans="1:13" ht="19.5" customHeight="1" x14ac:dyDescent="0.25">
      <c r="A230" s="35" t="s">
        <v>367</v>
      </c>
      <c r="B230" s="35" t="s">
        <v>349</v>
      </c>
      <c r="C230" s="35" t="s">
        <v>164</v>
      </c>
      <c r="D230" s="35" t="s">
        <v>2018</v>
      </c>
      <c r="E230" s="35" t="s">
        <v>2010</v>
      </c>
      <c r="F230" s="35" t="s">
        <v>2019</v>
      </c>
      <c r="G230" s="35" t="s">
        <v>2020</v>
      </c>
      <c r="H230" s="35" t="s">
        <v>2021</v>
      </c>
      <c r="I230" s="35"/>
      <c r="J230" s="35">
        <v>4</v>
      </c>
      <c r="K230" s="35">
        <v>3</v>
      </c>
      <c r="L230" s="35" t="s">
        <v>64</v>
      </c>
      <c r="M230" s="99">
        <v>0.68</v>
      </c>
    </row>
    <row r="231" spans="1:13" ht="19.5" customHeight="1" x14ac:dyDescent="0.25">
      <c r="A231" s="35" t="s">
        <v>367</v>
      </c>
      <c r="B231" s="35" t="s">
        <v>2028</v>
      </c>
      <c r="C231" s="35" t="s">
        <v>784</v>
      </c>
      <c r="D231" s="35" t="s">
        <v>2029</v>
      </c>
      <c r="E231" s="35" t="s">
        <v>2030</v>
      </c>
      <c r="F231" s="35" t="s">
        <v>318</v>
      </c>
      <c r="G231" s="35" t="s">
        <v>2031</v>
      </c>
      <c r="H231" s="35"/>
      <c r="I231" s="35" t="s">
        <v>2032</v>
      </c>
      <c r="J231" s="35">
        <v>2</v>
      </c>
      <c r="K231" s="35">
        <v>1</v>
      </c>
      <c r="L231" s="35" t="s">
        <v>64</v>
      </c>
      <c r="M231" s="99">
        <v>0.52</v>
      </c>
    </row>
    <row r="232" spans="1:13" ht="19.5" customHeight="1" x14ac:dyDescent="0.25">
      <c r="A232" s="35" t="s">
        <v>367</v>
      </c>
      <c r="B232" s="35" t="s">
        <v>2028</v>
      </c>
      <c r="C232" s="35" t="s">
        <v>784</v>
      </c>
      <c r="D232" s="35" t="s">
        <v>2033</v>
      </c>
      <c r="E232" s="35" t="s">
        <v>2030</v>
      </c>
      <c r="F232" s="35" t="s">
        <v>321</v>
      </c>
      <c r="G232" s="35" t="s">
        <v>2034</v>
      </c>
      <c r="H232" s="35"/>
      <c r="I232" s="35" t="s">
        <v>2035</v>
      </c>
      <c r="J232" s="35">
        <v>1</v>
      </c>
      <c r="K232" s="35">
        <v>1</v>
      </c>
      <c r="L232" s="35" t="s">
        <v>64</v>
      </c>
      <c r="M232" s="99">
        <v>0.48</v>
      </c>
    </row>
    <row r="233" spans="1:13" ht="19.5" customHeight="1" x14ac:dyDescent="0.25">
      <c r="A233" s="35" t="s">
        <v>367</v>
      </c>
      <c r="B233" s="35" t="s">
        <v>2028</v>
      </c>
      <c r="C233" s="35" t="s">
        <v>784</v>
      </c>
      <c r="D233" s="35" t="s">
        <v>2036</v>
      </c>
      <c r="E233" s="35" t="s">
        <v>189</v>
      </c>
      <c r="F233" s="35" t="s">
        <v>156</v>
      </c>
      <c r="G233" s="35"/>
      <c r="H233" s="35"/>
      <c r="I233" s="35" t="s">
        <v>2037</v>
      </c>
      <c r="J233" s="35">
        <v>1</v>
      </c>
      <c r="K233" s="35">
        <v>1</v>
      </c>
      <c r="L233" s="35" t="s">
        <v>50</v>
      </c>
      <c r="M233" s="99">
        <v>0.48</v>
      </c>
    </row>
    <row r="234" spans="1:13" ht="19.5" customHeight="1" x14ac:dyDescent="0.25">
      <c r="A234" s="35" t="s">
        <v>367</v>
      </c>
      <c r="B234" s="35" t="s">
        <v>2028</v>
      </c>
      <c r="C234" s="35" t="s">
        <v>784</v>
      </c>
      <c r="D234" s="35" t="s">
        <v>2038</v>
      </c>
      <c r="E234" s="35" t="s">
        <v>185</v>
      </c>
      <c r="F234" s="35" t="s">
        <v>156</v>
      </c>
      <c r="G234" s="35" t="s">
        <v>2039</v>
      </c>
      <c r="H234" s="35"/>
      <c r="I234" s="35" t="s">
        <v>2040</v>
      </c>
      <c r="J234" s="35">
        <v>1</v>
      </c>
      <c r="K234" s="35">
        <v>1</v>
      </c>
      <c r="L234" s="35" t="s">
        <v>50</v>
      </c>
      <c r="M234" s="99">
        <v>0.48</v>
      </c>
    </row>
    <row r="235" spans="1:13" ht="19.5" customHeight="1" x14ac:dyDescent="0.25">
      <c r="A235" s="35" t="s">
        <v>367</v>
      </c>
      <c r="B235" s="35" t="s">
        <v>2028</v>
      </c>
      <c r="C235" s="35" t="s">
        <v>164</v>
      </c>
      <c r="D235" s="35" t="s">
        <v>2041</v>
      </c>
      <c r="E235" s="35" t="s">
        <v>193</v>
      </c>
      <c r="F235" s="35" t="s">
        <v>2042</v>
      </c>
      <c r="G235" s="35" t="s">
        <v>2043</v>
      </c>
      <c r="H235" s="35" t="s">
        <v>2044</v>
      </c>
      <c r="I235" s="35" t="s">
        <v>2045</v>
      </c>
      <c r="J235" s="35">
        <v>4</v>
      </c>
      <c r="K235" s="35">
        <v>5</v>
      </c>
      <c r="L235" s="35" t="s">
        <v>64</v>
      </c>
      <c r="M235" s="99">
        <v>0.76</v>
      </c>
    </row>
    <row r="236" spans="1:13" ht="19.5" customHeight="1" x14ac:dyDescent="0.25">
      <c r="A236" s="35" t="s">
        <v>367</v>
      </c>
      <c r="B236" s="35" t="s">
        <v>2028</v>
      </c>
      <c r="C236" s="35" t="s">
        <v>164</v>
      </c>
      <c r="D236" s="35" t="s">
        <v>2046</v>
      </c>
      <c r="E236" s="35" t="s">
        <v>193</v>
      </c>
      <c r="F236" s="35" t="s">
        <v>2047</v>
      </c>
      <c r="G236" s="35"/>
      <c r="H236" s="35"/>
      <c r="I236" s="35" t="s">
        <v>2048</v>
      </c>
      <c r="J236" s="35">
        <v>1</v>
      </c>
      <c r="K236" s="35">
        <v>2</v>
      </c>
      <c r="L236" s="35" t="s">
        <v>50</v>
      </c>
      <c r="M236" s="99">
        <v>0.52</v>
      </c>
    </row>
    <row r="237" spans="1:13" ht="19.5" customHeight="1" x14ac:dyDescent="0.25">
      <c r="A237" s="35" t="s">
        <v>367</v>
      </c>
      <c r="B237" s="35" t="s">
        <v>2028</v>
      </c>
      <c r="C237" s="35" t="s">
        <v>164</v>
      </c>
      <c r="D237" s="35" t="s">
        <v>2049</v>
      </c>
      <c r="E237" s="35" t="s">
        <v>193</v>
      </c>
      <c r="F237" s="35" t="s">
        <v>2050</v>
      </c>
      <c r="G237" s="35" t="s">
        <v>2051</v>
      </c>
      <c r="H237" s="35"/>
      <c r="I237" s="35" t="s">
        <v>2052</v>
      </c>
      <c r="J237" s="35">
        <v>3</v>
      </c>
      <c r="K237" s="35">
        <v>4</v>
      </c>
      <c r="L237" s="35" t="s">
        <v>77</v>
      </c>
      <c r="M237" s="99">
        <v>0.48</v>
      </c>
    </row>
    <row r="238" spans="1:13" ht="19.5" customHeight="1" x14ac:dyDescent="0.25">
      <c r="A238" s="35" t="s">
        <v>367</v>
      </c>
      <c r="B238" s="35" t="s">
        <v>2028</v>
      </c>
      <c r="C238" s="35" t="s">
        <v>164</v>
      </c>
      <c r="D238" s="35" t="s">
        <v>2053</v>
      </c>
      <c r="E238" s="35" t="s">
        <v>2100</v>
      </c>
      <c r="F238" s="35" t="s">
        <v>2054</v>
      </c>
      <c r="G238" s="35" t="s">
        <v>2055</v>
      </c>
      <c r="H238" s="35"/>
      <c r="I238" s="35" t="s">
        <v>2056</v>
      </c>
      <c r="J238" s="35">
        <v>1</v>
      </c>
      <c r="K238" s="35">
        <v>2</v>
      </c>
      <c r="L238" s="35" t="s">
        <v>50</v>
      </c>
      <c r="M238" s="99">
        <v>0.52</v>
      </c>
    </row>
    <row r="239" spans="1:13" ht="19.5" customHeight="1" x14ac:dyDescent="0.25">
      <c r="A239" s="35" t="s">
        <v>367</v>
      </c>
      <c r="B239" s="35" t="s">
        <v>2099</v>
      </c>
      <c r="C239" s="35" t="s">
        <v>784</v>
      </c>
      <c r="D239" s="35" t="s">
        <v>2065</v>
      </c>
      <c r="E239" s="35" t="s">
        <v>2030</v>
      </c>
      <c r="F239" s="35" t="s">
        <v>2066</v>
      </c>
      <c r="G239" s="35" t="s">
        <v>2067</v>
      </c>
      <c r="H239" s="35"/>
      <c r="I239" s="35" t="s">
        <v>2068</v>
      </c>
      <c r="J239" s="35">
        <v>3</v>
      </c>
      <c r="K239" s="35">
        <v>3</v>
      </c>
      <c r="L239" s="35" t="s">
        <v>64</v>
      </c>
      <c r="M239" s="99">
        <v>0.64</v>
      </c>
    </row>
    <row r="240" spans="1:13" ht="19.5" customHeight="1" x14ac:dyDescent="0.25">
      <c r="A240" s="35" t="s">
        <v>367</v>
      </c>
      <c r="B240" s="35" t="s">
        <v>2099</v>
      </c>
      <c r="C240" s="35" t="s">
        <v>784</v>
      </c>
      <c r="D240" s="35" t="s">
        <v>2069</v>
      </c>
      <c r="E240" s="35" t="s">
        <v>2030</v>
      </c>
      <c r="F240" s="35" t="s">
        <v>2070</v>
      </c>
      <c r="G240" s="35" t="s">
        <v>2071</v>
      </c>
      <c r="H240" s="35"/>
      <c r="I240" s="35" t="s">
        <v>2072</v>
      </c>
      <c r="J240" s="35">
        <v>1</v>
      </c>
      <c r="K240" s="35">
        <v>1</v>
      </c>
      <c r="L240" s="35" t="s">
        <v>50</v>
      </c>
      <c r="M240" s="99">
        <v>0.48</v>
      </c>
    </row>
    <row r="241" spans="1:13" ht="19.5" customHeight="1" x14ac:dyDescent="0.25">
      <c r="A241" s="35" t="s">
        <v>367</v>
      </c>
      <c r="B241" s="35" t="s">
        <v>2099</v>
      </c>
      <c r="C241" s="35" t="s">
        <v>784</v>
      </c>
      <c r="D241" s="35" t="s">
        <v>2073</v>
      </c>
      <c r="E241" s="35" t="s">
        <v>2030</v>
      </c>
      <c r="F241" s="35" t="s">
        <v>2074</v>
      </c>
      <c r="G241" s="35" t="s">
        <v>2075</v>
      </c>
      <c r="H241" s="35"/>
      <c r="I241" s="35" t="s">
        <v>2076</v>
      </c>
      <c r="J241" s="35">
        <v>1</v>
      </c>
      <c r="K241" s="35">
        <v>1</v>
      </c>
      <c r="L241" s="35" t="s">
        <v>50</v>
      </c>
      <c r="M241" s="99">
        <v>0.48</v>
      </c>
    </row>
    <row r="242" spans="1:13" ht="19.5" customHeight="1" x14ac:dyDescent="0.25">
      <c r="A242" s="35" t="s">
        <v>367</v>
      </c>
      <c r="B242" s="35" t="s">
        <v>2099</v>
      </c>
      <c r="C242" s="35" t="s">
        <v>164</v>
      </c>
      <c r="D242" s="35" t="s">
        <v>2077</v>
      </c>
      <c r="E242" s="35" t="s">
        <v>1817</v>
      </c>
      <c r="F242" s="35" t="s">
        <v>2078</v>
      </c>
      <c r="G242" s="35" t="s">
        <v>2079</v>
      </c>
      <c r="H242" s="35" t="s">
        <v>2080</v>
      </c>
      <c r="I242" s="35" t="s">
        <v>2081</v>
      </c>
      <c r="J242" s="35">
        <v>5</v>
      </c>
      <c r="K242" s="35">
        <v>5</v>
      </c>
      <c r="L242" s="35" t="s">
        <v>83</v>
      </c>
      <c r="M242" s="99">
        <v>1</v>
      </c>
    </row>
    <row r="243" spans="1:13" ht="19.5" customHeight="1" x14ac:dyDescent="0.25">
      <c r="A243" s="35" t="s">
        <v>367</v>
      </c>
      <c r="B243" s="35" t="s">
        <v>2099</v>
      </c>
      <c r="C243" s="35" t="s">
        <v>164</v>
      </c>
      <c r="D243" s="35" t="s">
        <v>2082</v>
      </c>
      <c r="E243" s="35" t="s">
        <v>1817</v>
      </c>
      <c r="F243" s="35" t="s">
        <v>2083</v>
      </c>
      <c r="G243" s="35" t="s">
        <v>2084</v>
      </c>
      <c r="H243" s="35" t="s">
        <v>2085</v>
      </c>
      <c r="I243" s="35" t="s">
        <v>2086</v>
      </c>
      <c r="J243" s="35">
        <v>5</v>
      </c>
      <c r="K243" s="35">
        <v>5</v>
      </c>
      <c r="L243" s="35" t="s">
        <v>83</v>
      </c>
      <c r="M243" s="99">
        <v>1</v>
      </c>
    </row>
    <row r="244" spans="1:13" ht="19.5" customHeight="1" x14ac:dyDescent="0.25">
      <c r="A244" s="35" t="s">
        <v>367</v>
      </c>
      <c r="B244" s="35" t="s">
        <v>2099</v>
      </c>
      <c r="C244" s="35" t="s">
        <v>164</v>
      </c>
      <c r="D244" s="35" t="s">
        <v>2087</v>
      </c>
      <c r="E244" s="35" t="s">
        <v>1050</v>
      </c>
      <c r="F244" s="35" t="s">
        <v>71</v>
      </c>
      <c r="G244" s="35" t="s">
        <v>2088</v>
      </c>
      <c r="H244" s="35" t="s">
        <v>2089</v>
      </c>
      <c r="I244" s="35"/>
      <c r="J244" s="35">
        <v>4</v>
      </c>
      <c r="K244" s="35">
        <v>5</v>
      </c>
      <c r="L244" s="35" t="s">
        <v>71</v>
      </c>
      <c r="M244" s="99">
        <v>0.56000000000000005</v>
      </c>
    </row>
    <row r="245" spans="1:13" ht="19.5" customHeight="1" x14ac:dyDescent="0.25">
      <c r="A245" s="35" t="s">
        <v>367</v>
      </c>
      <c r="B245" s="35" t="s">
        <v>2099</v>
      </c>
      <c r="C245" s="35" t="s">
        <v>164</v>
      </c>
      <c r="D245" s="35" t="s">
        <v>2090</v>
      </c>
      <c r="E245" s="35" t="s">
        <v>2091</v>
      </c>
      <c r="F245" s="35" t="s">
        <v>1777</v>
      </c>
      <c r="G245" s="35" t="s">
        <v>2092</v>
      </c>
      <c r="H245" s="35"/>
      <c r="I245" s="35" t="s">
        <v>2093</v>
      </c>
      <c r="J245" s="35">
        <v>1</v>
      </c>
      <c r="K245" s="35">
        <v>1</v>
      </c>
      <c r="L245" s="35" t="s">
        <v>77</v>
      </c>
      <c r="M245" s="99">
        <v>0.28000000000000003</v>
      </c>
    </row>
    <row r="246" spans="1:13" ht="19.5" customHeight="1" x14ac:dyDescent="0.25">
      <c r="A246" s="35" t="s">
        <v>1654</v>
      </c>
      <c r="B246" s="35" t="s">
        <v>2540</v>
      </c>
      <c r="C246" s="35" t="s">
        <v>784</v>
      </c>
      <c r="D246" s="35" t="s">
        <v>2546</v>
      </c>
      <c r="E246" s="35" t="s">
        <v>193</v>
      </c>
      <c r="F246" s="35" t="s">
        <v>2547</v>
      </c>
      <c r="G246" s="35" t="s">
        <v>2548</v>
      </c>
      <c r="H246" s="35"/>
      <c r="I246" s="35"/>
      <c r="J246" s="35">
        <v>3</v>
      </c>
      <c r="K246" s="35">
        <v>3</v>
      </c>
      <c r="L246" s="35" t="s">
        <v>77</v>
      </c>
      <c r="M246" s="99">
        <v>0.44</v>
      </c>
    </row>
    <row r="247" spans="1:13" ht="19.5" customHeight="1" x14ac:dyDescent="0.25">
      <c r="A247" s="35" t="s">
        <v>1654</v>
      </c>
      <c r="B247" s="35" t="s">
        <v>2540</v>
      </c>
      <c r="C247" s="35" t="s">
        <v>784</v>
      </c>
      <c r="D247" s="35" t="s">
        <v>2549</v>
      </c>
      <c r="E247" s="35" t="s">
        <v>2550</v>
      </c>
      <c r="F247" s="35" t="s">
        <v>1522</v>
      </c>
      <c r="G247" s="35" t="s">
        <v>2551</v>
      </c>
      <c r="H247" s="35"/>
      <c r="I247" s="35"/>
      <c r="J247" s="35">
        <v>3</v>
      </c>
      <c r="K247" s="35">
        <v>3</v>
      </c>
      <c r="L247" s="35" t="s">
        <v>77</v>
      </c>
      <c r="M247" s="99">
        <v>0.44</v>
      </c>
    </row>
    <row r="248" spans="1:13" ht="19.5" customHeight="1" x14ac:dyDescent="0.25">
      <c r="A248" s="35" t="s">
        <v>1654</v>
      </c>
      <c r="B248" s="35" t="s">
        <v>2567</v>
      </c>
      <c r="C248" s="35" t="s">
        <v>784</v>
      </c>
      <c r="D248" s="35" t="s">
        <v>2561</v>
      </c>
      <c r="E248" s="35" t="s">
        <v>274</v>
      </c>
      <c r="F248" s="35" t="s">
        <v>2562</v>
      </c>
      <c r="G248" s="35" t="s">
        <v>2563</v>
      </c>
      <c r="H248" s="35"/>
      <c r="I248" s="35"/>
      <c r="J248" s="35">
        <v>3</v>
      </c>
      <c r="K248" s="35">
        <v>3</v>
      </c>
      <c r="L248" s="35" t="s">
        <v>71</v>
      </c>
      <c r="M248" s="99">
        <v>0.44</v>
      </c>
    </row>
    <row r="249" spans="1:13" ht="19.5" customHeight="1" x14ac:dyDescent="0.25">
      <c r="A249" s="35" t="s">
        <v>1654</v>
      </c>
      <c r="B249" s="35" t="s">
        <v>2567</v>
      </c>
      <c r="C249" s="35" t="s">
        <v>784</v>
      </c>
      <c r="D249" s="35" t="s">
        <v>2564</v>
      </c>
      <c r="E249" s="35" t="s">
        <v>193</v>
      </c>
      <c r="F249" s="35" t="s">
        <v>340</v>
      </c>
      <c r="G249" s="35" t="s">
        <v>2565</v>
      </c>
      <c r="H249" s="35" t="s">
        <v>2566</v>
      </c>
      <c r="I249" s="35"/>
      <c r="J249" s="35">
        <v>4</v>
      </c>
      <c r="K249" s="35">
        <v>3</v>
      </c>
      <c r="L249" s="35" t="s">
        <v>77</v>
      </c>
      <c r="M249" s="99">
        <v>0.48</v>
      </c>
    </row>
    <row r="250" spans="1:13" ht="19.5" customHeight="1" x14ac:dyDescent="0.25">
      <c r="A250" s="35" t="s">
        <v>2576</v>
      </c>
      <c r="B250" s="35" t="s">
        <v>2594</v>
      </c>
      <c r="C250" s="35" t="s">
        <v>784</v>
      </c>
      <c r="D250" s="35" t="s">
        <v>2577</v>
      </c>
      <c r="E250" s="35" t="s">
        <v>155</v>
      </c>
      <c r="F250" s="35" t="s">
        <v>27</v>
      </c>
      <c r="G250" s="35"/>
      <c r="H250" s="35"/>
      <c r="I250" s="35" t="s">
        <v>2578</v>
      </c>
      <c r="J250" s="35">
        <v>1</v>
      </c>
      <c r="K250" s="35">
        <v>1</v>
      </c>
      <c r="L250" s="35" t="s">
        <v>64</v>
      </c>
      <c r="M250" s="99">
        <v>0.48</v>
      </c>
    </row>
    <row r="251" spans="1:13" ht="19.5" customHeight="1" x14ac:dyDescent="0.25">
      <c r="A251" s="35" t="s">
        <v>2576</v>
      </c>
      <c r="B251" s="35" t="s">
        <v>2594</v>
      </c>
      <c r="C251" s="35" t="s">
        <v>164</v>
      </c>
      <c r="D251" s="35" t="s">
        <v>2579</v>
      </c>
      <c r="E251" s="35" t="s">
        <v>193</v>
      </c>
      <c r="F251" s="35" t="s">
        <v>2580</v>
      </c>
      <c r="G251" s="35" t="s">
        <v>2581</v>
      </c>
      <c r="H251" s="35" t="s">
        <v>2582</v>
      </c>
      <c r="I251" s="35" t="s">
        <v>2583</v>
      </c>
      <c r="J251" s="35">
        <v>4</v>
      </c>
      <c r="K251" s="35">
        <v>5</v>
      </c>
      <c r="L251" s="35" t="s">
        <v>83</v>
      </c>
      <c r="M251" s="99">
        <v>0.96</v>
      </c>
    </row>
    <row r="252" spans="1:13" ht="19.5" customHeight="1" x14ac:dyDescent="0.25">
      <c r="A252" s="35" t="s">
        <v>2576</v>
      </c>
      <c r="B252" s="35" t="s">
        <v>2594</v>
      </c>
      <c r="C252" s="35" t="s">
        <v>164</v>
      </c>
      <c r="D252" s="35" t="s">
        <v>2584</v>
      </c>
      <c r="E252" s="35" t="s">
        <v>193</v>
      </c>
      <c r="F252" s="35" t="s">
        <v>2585</v>
      </c>
      <c r="G252" s="35" t="s">
        <v>2586</v>
      </c>
      <c r="H252" s="35" t="s">
        <v>2587</v>
      </c>
      <c r="I252" s="35" t="s">
        <v>2588</v>
      </c>
      <c r="J252" s="35">
        <v>3</v>
      </c>
      <c r="K252" s="35">
        <v>2</v>
      </c>
      <c r="L252" s="35" t="s">
        <v>77</v>
      </c>
      <c r="M252" s="99">
        <v>0.4</v>
      </c>
    </row>
    <row r="253" spans="1:13" ht="19.5" customHeight="1" x14ac:dyDescent="0.25">
      <c r="A253" s="35" t="s">
        <v>2576</v>
      </c>
      <c r="B253" s="35" t="s">
        <v>2594</v>
      </c>
      <c r="C253" s="35" t="s">
        <v>164</v>
      </c>
      <c r="D253" s="35" t="s">
        <v>2589</v>
      </c>
      <c r="E253" s="35" t="s">
        <v>193</v>
      </c>
      <c r="F253" s="35" t="s">
        <v>2590</v>
      </c>
      <c r="G253" s="35" t="s">
        <v>2591</v>
      </c>
      <c r="H253" s="35" t="s">
        <v>2592</v>
      </c>
      <c r="I253" s="35" t="s">
        <v>2593</v>
      </c>
      <c r="J253" s="35">
        <v>3</v>
      </c>
      <c r="K253" s="35">
        <v>2</v>
      </c>
      <c r="L253" s="35" t="s">
        <v>77</v>
      </c>
      <c r="M253" s="99">
        <v>0.4</v>
      </c>
    </row>
    <row r="254" spans="1:13" ht="19.5" customHeight="1" x14ac:dyDescent="0.25">
      <c r="A254" s="35" t="s">
        <v>2576</v>
      </c>
      <c r="B254" s="35" t="s">
        <v>2612</v>
      </c>
      <c r="C254" s="35" t="s">
        <v>784</v>
      </c>
      <c r="D254" s="35" t="s">
        <v>2603</v>
      </c>
      <c r="E254" s="35" t="s">
        <v>193</v>
      </c>
      <c r="F254" s="35" t="s">
        <v>365</v>
      </c>
      <c r="G254" s="35" t="s">
        <v>2604</v>
      </c>
      <c r="H254" s="35" t="s">
        <v>2605</v>
      </c>
      <c r="I254" s="35" t="s">
        <v>2606</v>
      </c>
      <c r="J254" s="35">
        <v>1</v>
      </c>
      <c r="K254" s="35">
        <v>1</v>
      </c>
      <c r="L254" s="35" t="s">
        <v>64</v>
      </c>
      <c r="M254" s="99">
        <v>0.48</v>
      </c>
    </row>
    <row r="255" spans="1:13" ht="19.5" customHeight="1" x14ac:dyDescent="0.25">
      <c r="A255" s="35" t="s">
        <v>2576</v>
      </c>
      <c r="B255" s="35" t="s">
        <v>2612</v>
      </c>
      <c r="C255" s="35" t="s">
        <v>164</v>
      </c>
      <c r="D255" s="35" t="s">
        <v>2607</v>
      </c>
      <c r="E255" s="35" t="s">
        <v>193</v>
      </c>
      <c r="F255" s="35" t="s">
        <v>2608</v>
      </c>
      <c r="G255" s="35" t="s">
        <v>2609</v>
      </c>
      <c r="H255" s="35" t="s">
        <v>2610</v>
      </c>
      <c r="I255" s="35" t="s">
        <v>2611</v>
      </c>
      <c r="J255" s="35">
        <v>3</v>
      </c>
      <c r="K255" s="35">
        <v>3</v>
      </c>
      <c r="L255" s="35" t="s">
        <v>83</v>
      </c>
      <c r="M255" s="99">
        <v>0.84</v>
      </c>
    </row>
    <row r="256" spans="1:13" ht="19.5" customHeight="1" x14ac:dyDescent="0.25">
      <c r="A256" s="35"/>
      <c r="B256" s="35"/>
      <c r="C256" s="35"/>
      <c r="D256" s="35"/>
      <c r="E256" s="35"/>
      <c r="F256" s="35"/>
      <c r="G256" s="35"/>
      <c r="H256" s="35"/>
      <c r="I256" s="35"/>
      <c r="J256" s="35"/>
      <c r="K256" s="35"/>
      <c r="L256" s="35"/>
      <c r="M256" s="99"/>
    </row>
    <row r="257" spans="1:13" ht="19.5" customHeight="1" x14ac:dyDescent="0.25">
      <c r="A257" s="35"/>
      <c r="B257" s="35"/>
      <c r="C257" s="35"/>
      <c r="D257" s="35"/>
      <c r="E257" s="35"/>
      <c r="F257" s="35"/>
      <c r="G257" s="35"/>
      <c r="H257" s="35"/>
      <c r="I257" s="35"/>
      <c r="J257" s="35"/>
      <c r="K257" s="35"/>
      <c r="L257" s="35"/>
      <c r="M257" s="99"/>
    </row>
    <row r="258" spans="1:13" ht="19.5" customHeight="1" x14ac:dyDescent="0.25">
      <c r="A258" s="35"/>
      <c r="B258" s="35"/>
      <c r="C258" s="35"/>
      <c r="D258" s="35"/>
      <c r="E258" s="35"/>
      <c r="F258" s="35"/>
      <c r="G258" s="35"/>
      <c r="H258" s="35"/>
      <c r="I258" s="35"/>
      <c r="J258" s="35"/>
      <c r="K258" s="35"/>
      <c r="L258" s="35"/>
      <c r="M258" s="99"/>
    </row>
  </sheetData>
  <autoFilter ref="A1:M255" xr:uid="{701A16D8-D6C7-4B0A-8B8A-FBBEC291B1DB}">
    <sortState xmlns:xlrd2="http://schemas.microsoft.com/office/spreadsheetml/2017/richdata2" ref="A2:M109">
      <sortCondition descending="1" ref="J1"/>
    </sortState>
  </autoFilter>
  <conditionalFormatting sqref="J2:K109">
    <cfRule type="colorScale" priority="8">
      <colorScale>
        <cfvo type="min"/>
        <cfvo type="percentile" val="50"/>
        <cfvo type="max"/>
        <color rgb="FF63BE7B"/>
        <color rgb="FFFFEB84"/>
        <color rgb="FFF8696B"/>
      </colorScale>
    </cfRule>
  </conditionalFormatting>
  <conditionalFormatting sqref="J110:K147">
    <cfRule type="colorScale" priority="6">
      <colorScale>
        <cfvo type="min"/>
        <cfvo type="percentile" val="50"/>
        <cfvo type="max"/>
        <color rgb="FF63BE7B"/>
        <color rgb="FFFFEB84"/>
        <color rgb="FFF8696B"/>
      </colorScale>
    </cfRule>
  </conditionalFormatting>
  <conditionalFormatting sqref="J148:K164">
    <cfRule type="colorScale" priority="5">
      <colorScale>
        <cfvo type="min"/>
        <cfvo type="percentile" val="50"/>
        <cfvo type="max"/>
        <color rgb="FF63BE7B"/>
        <color rgb="FFFFEB84"/>
        <color rgb="FFF8696B"/>
      </colorScale>
    </cfRule>
  </conditionalFormatting>
  <conditionalFormatting sqref="J165:K245">
    <cfRule type="colorScale" priority="17">
      <colorScale>
        <cfvo type="min"/>
        <cfvo type="percentile" val="50"/>
        <cfvo type="max"/>
        <color rgb="FF63BE7B"/>
        <color rgb="FFFFEB84"/>
        <color rgb="FFF8696B"/>
      </colorScale>
    </cfRule>
  </conditionalFormatting>
  <conditionalFormatting sqref="J246:K258">
    <cfRule type="colorScale" priority="21">
      <colorScale>
        <cfvo type="min"/>
        <cfvo type="percentile" val="50"/>
        <cfvo type="max"/>
        <color rgb="FF63BE7B"/>
        <color rgb="FFFFEB84"/>
        <color rgb="FFF8696B"/>
      </colorScale>
    </cfRule>
  </conditionalFormatting>
  <conditionalFormatting sqref="M2:M258">
    <cfRule type="colorScale" priority="19">
      <colorScale>
        <cfvo type="min"/>
        <cfvo type="percentile" val="50"/>
        <cfvo type="max"/>
        <color rgb="FF63BE7B"/>
        <color rgb="FFFFEB84"/>
        <color rgb="FFF8696B"/>
      </colorScale>
    </cfRule>
  </conditionalFormatting>
  <dataValidations disablePrompts="1" count="2">
    <dataValidation type="list" allowBlank="1" showInputMessage="1" showErrorMessage="1" sqref="L2:L3" xr:uid="{5EA27808-627F-47AE-A3B5-E9F94FE1FC2B}">
      <formula1>$J$50:$J$56</formula1>
    </dataValidation>
    <dataValidation type="list" allowBlank="1" showInputMessage="1" showErrorMessage="1" sqref="J2:K3" xr:uid="{C301D17D-8F6F-4F45-A13A-933BFCDCA6B5}">
      <formula1>$D$50:$D$54</formula1>
    </dataValidation>
  </dataValidations>
  <hyperlinks>
    <hyperlink ref="G84" r:id="rId1" xr:uid="{E78302EA-C3E6-408E-8F66-D4C4768878DF}"/>
    <hyperlink ref="I29" r:id="rId2" xr:uid="{E669EE6F-C346-467A-AC18-D04F1AF02850}"/>
    <hyperlink ref="I67" r:id="rId3" xr:uid="{66D0CDF8-D761-4747-9101-0886F3E226D2}"/>
    <hyperlink ref="I84" r:id="rId4" xr:uid="{1E24B863-3D64-4F3D-9867-BD91CF048798}"/>
    <hyperlink ref="I85" r:id="rId5" xr:uid="{B65FF978-84F4-403B-AB5C-A9F05673C9DD}"/>
    <hyperlink ref="I73" r:id="rId6" xr:uid="{C8CBF13D-AACC-496C-9329-E32E37FFF38E}"/>
    <hyperlink ref="G73" r:id="rId7" xr:uid="{33EB2D39-02E3-442F-A411-4A7F386F1E49}"/>
  </hyperlink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B79CB-79E0-4B28-8A5E-020A0B77E35E}">
  <dimension ref="A1:AD50"/>
  <sheetViews>
    <sheetView tabSelected="1" zoomScale="85" zoomScaleNormal="85" workbookViewId="0">
      <pane xSplit="4" ySplit="1" topLeftCell="T2" activePane="bottomRight" state="frozen"/>
      <selection pane="topRight" activeCell="D1" sqref="D1"/>
      <selection pane="bottomLeft" activeCell="A2" sqref="A2"/>
      <selection pane="bottomRight" activeCell="D10" sqref="D10"/>
    </sheetView>
  </sheetViews>
  <sheetFormatPr defaultColWidth="27.5703125" defaultRowHeight="26.25" customHeight="1" x14ac:dyDescent="0.25"/>
  <cols>
    <col min="1" max="3" width="30.140625" customWidth="1"/>
    <col min="4" max="4" width="43.5703125" style="119" bestFit="1" customWidth="1"/>
    <col min="5" max="5" width="30.140625" customWidth="1"/>
    <col min="6" max="6" width="37.5703125" customWidth="1"/>
    <col min="7" max="20" width="30.140625" customWidth="1"/>
    <col min="21" max="21" width="27.5703125" customWidth="1"/>
    <col min="22" max="22" width="30.140625" customWidth="1"/>
    <col min="23" max="24" width="65.42578125" style="129" customWidth="1"/>
    <col min="25" max="29" width="16.140625" style="146" customWidth="1"/>
    <col min="30" max="30" width="13" style="177" customWidth="1"/>
  </cols>
  <sheetData>
    <row r="1" spans="1:30" ht="46.5" customHeight="1" x14ac:dyDescent="0.25">
      <c r="A1" s="54" t="s">
        <v>102</v>
      </c>
      <c r="B1" s="54" t="s">
        <v>103</v>
      </c>
      <c r="C1" s="54" t="s">
        <v>1637</v>
      </c>
      <c r="D1" s="118" t="s">
        <v>1</v>
      </c>
      <c r="E1" s="43" t="s">
        <v>2</v>
      </c>
      <c r="F1" s="43" t="s">
        <v>948</v>
      </c>
      <c r="G1" s="43" t="s">
        <v>3</v>
      </c>
      <c r="H1" s="43" t="s">
        <v>4</v>
      </c>
      <c r="I1" s="43" t="s">
        <v>5</v>
      </c>
      <c r="J1" s="43" t="s">
        <v>6</v>
      </c>
      <c r="K1" s="43" t="s">
        <v>7</v>
      </c>
      <c r="L1" s="43" t="s">
        <v>8</v>
      </c>
      <c r="M1" s="43" t="s">
        <v>180</v>
      </c>
      <c r="N1" s="43" t="s">
        <v>9</v>
      </c>
      <c r="O1" s="43" t="s">
        <v>180</v>
      </c>
      <c r="P1" s="43" t="s">
        <v>108</v>
      </c>
      <c r="Q1" s="43" t="s">
        <v>107</v>
      </c>
      <c r="R1" s="43" t="s">
        <v>24</v>
      </c>
      <c r="S1" s="43" t="s">
        <v>106</v>
      </c>
      <c r="T1" s="43" t="s">
        <v>25</v>
      </c>
      <c r="U1" s="43" t="s">
        <v>26</v>
      </c>
      <c r="V1" s="43" t="s">
        <v>790</v>
      </c>
      <c r="W1" s="43" t="s">
        <v>173</v>
      </c>
      <c r="X1" s="43" t="s">
        <v>1335</v>
      </c>
      <c r="Y1" s="43" t="s">
        <v>10</v>
      </c>
      <c r="Z1" s="43" t="s">
        <v>104</v>
      </c>
      <c r="AA1" s="43" t="s">
        <v>23</v>
      </c>
      <c r="AB1" s="43" t="s">
        <v>41</v>
      </c>
      <c r="AC1" s="43" t="s">
        <v>109</v>
      </c>
      <c r="AD1" s="176" t="s">
        <v>2671</v>
      </c>
    </row>
    <row r="2" spans="1:30" ht="18" customHeight="1" x14ac:dyDescent="0.25">
      <c r="A2" s="35" t="s">
        <v>45</v>
      </c>
      <c r="B2" s="35" t="s">
        <v>45</v>
      </c>
      <c r="C2" s="35"/>
      <c r="D2" s="35" t="s">
        <v>1983</v>
      </c>
      <c r="E2" s="35" t="s">
        <v>688</v>
      </c>
      <c r="F2" s="35" t="s">
        <v>2114</v>
      </c>
      <c r="G2" s="35" t="s">
        <v>85</v>
      </c>
      <c r="H2" s="35" t="s">
        <v>82</v>
      </c>
      <c r="I2" s="35" t="s">
        <v>148</v>
      </c>
      <c r="J2" s="35" t="s">
        <v>1985</v>
      </c>
      <c r="K2" s="35"/>
      <c r="L2" s="35" t="s">
        <v>45</v>
      </c>
      <c r="M2" s="13" t="s">
        <v>1986</v>
      </c>
      <c r="N2" s="92" t="s">
        <v>45</v>
      </c>
      <c r="O2" s="13" t="s">
        <v>46</v>
      </c>
      <c r="P2" s="13" t="s">
        <v>46</v>
      </c>
      <c r="Q2" s="35" t="s">
        <v>55</v>
      </c>
      <c r="R2" s="35" t="s">
        <v>56</v>
      </c>
      <c r="S2" s="35" t="s">
        <v>222</v>
      </c>
      <c r="T2" s="35" t="s">
        <v>45</v>
      </c>
      <c r="U2" s="13" t="s">
        <v>222</v>
      </c>
      <c r="V2" s="36" t="s">
        <v>2117</v>
      </c>
      <c r="W2" s="35" t="s">
        <v>1987</v>
      </c>
      <c r="X2" s="128"/>
      <c r="Y2" s="145">
        <v>1</v>
      </c>
      <c r="Z2" s="144">
        <v>0.98</v>
      </c>
      <c r="AA2" s="144">
        <v>0.2</v>
      </c>
      <c r="AB2" s="144">
        <v>0.63</v>
      </c>
      <c r="AC2" s="144">
        <v>0.60299999999999998</v>
      </c>
      <c r="AD2" s="145">
        <f t="shared" ref="AD2:AD42" si="0">AVERAGE(Y2:AC2)</f>
        <v>0.6826000000000001</v>
      </c>
    </row>
    <row r="3" spans="1:30" ht="18" customHeight="1" x14ac:dyDescent="0.25">
      <c r="A3" s="35" t="s">
        <v>45</v>
      </c>
      <c r="B3" s="35" t="s">
        <v>45</v>
      </c>
      <c r="C3" s="35"/>
      <c r="D3" s="172" t="s">
        <v>1100</v>
      </c>
      <c r="E3" s="35" t="s">
        <v>688</v>
      </c>
      <c r="F3" s="35" t="s">
        <v>1140</v>
      </c>
      <c r="G3" s="35" t="s">
        <v>84</v>
      </c>
      <c r="H3" s="35" t="s">
        <v>79</v>
      </c>
      <c r="I3" s="35" t="s">
        <v>148</v>
      </c>
      <c r="J3" s="35" t="s">
        <v>1101</v>
      </c>
      <c r="K3" s="35" t="s">
        <v>1102</v>
      </c>
      <c r="L3" s="35" t="s">
        <v>45</v>
      </c>
      <c r="M3" s="40" t="s">
        <v>46</v>
      </c>
      <c r="N3" s="35" t="s">
        <v>45</v>
      </c>
      <c r="O3" s="13" t="s">
        <v>46</v>
      </c>
      <c r="P3" s="13" t="s">
        <v>46</v>
      </c>
      <c r="Q3" s="35" t="s">
        <v>68</v>
      </c>
      <c r="R3" s="35" t="s">
        <v>67</v>
      </c>
      <c r="S3" s="35" t="s">
        <v>67</v>
      </c>
      <c r="T3" s="35" t="s">
        <v>45</v>
      </c>
      <c r="U3" s="13" t="s">
        <v>980</v>
      </c>
      <c r="V3" s="169" t="s">
        <v>1145</v>
      </c>
      <c r="W3" s="128" t="s">
        <v>1103</v>
      </c>
      <c r="X3" s="128" t="s">
        <v>1340</v>
      </c>
      <c r="Y3" s="145">
        <v>0.7</v>
      </c>
      <c r="Z3" s="144">
        <v>1</v>
      </c>
      <c r="AA3" s="144">
        <v>0.44</v>
      </c>
      <c r="AB3" s="144">
        <v>0.6</v>
      </c>
      <c r="AC3" s="144">
        <v>0.64790000000000003</v>
      </c>
      <c r="AD3" s="145">
        <f t="shared" si="0"/>
        <v>0.67758000000000007</v>
      </c>
    </row>
    <row r="4" spans="1:30" ht="18" customHeight="1" x14ac:dyDescent="0.25">
      <c r="A4" s="35" t="s">
        <v>45</v>
      </c>
      <c r="B4" s="35" t="s">
        <v>45</v>
      </c>
      <c r="C4" s="35"/>
      <c r="D4" s="172" t="s">
        <v>1017</v>
      </c>
      <c r="E4" s="35" t="s">
        <v>1139</v>
      </c>
      <c r="F4" s="35" t="s">
        <v>1018</v>
      </c>
      <c r="G4" s="35" t="s">
        <v>81</v>
      </c>
      <c r="H4" s="35" t="s">
        <v>79</v>
      </c>
      <c r="I4" s="35" t="s">
        <v>1019</v>
      </c>
      <c r="J4" s="35" t="s">
        <v>1020</v>
      </c>
      <c r="K4" s="35" t="s">
        <v>1021</v>
      </c>
      <c r="L4" s="35" t="s">
        <v>45</v>
      </c>
      <c r="M4" s="40" t="s">
        <v>979</v>
      </c>
      <c r="N4" s="35" t="s">
        <v>45</v>
      </c>
      <c r="O4" s="13" t="s">
        <v>979</v>
      </c>
      <c r="P4" s="13" t="s">
        <v>222</v>
      </c>
      <c r="Q4" s="35" t="s">
        <v>222</v>
      </c>
      <c r="R4" s="35" t="s">
        <v>222</v>
      </c>
      <c r="S4" s="35" t="s">
        <v>222</v>
      </c>
      <c r="T4" s="35" t="s">
        <v>222</v>
      </c>
      <c r="U4" s="13" t="s">
        <v>222</v>
      </c>
      <c r="V4" s="36" t="s">
        <v>1143</v>
      </c>
      <c r="W4" s="128" t="s">
        <v>1022</v>
      </c>
      <c r="X4" s="128"/>
      <c r="Y4" s="145">
        <v>0.65</v>
      </c>
      <c r="Z4" s="144">
        <v>1</v>
      </c>
      <c r="AA4" s="144">
        <v>0.38</v>
      </c>
      <c r="AB4" s="144">
        <v>0.7</v>
      </c>
      <c r="AC4" s="144">
        <v>0.54600000000000004</v>
      </c>
      <c r="AD4" s="145">
        <f t="shared" si="0"/>
        <v>0.6552</v>
      </c>
    </row>
    <row r="5" spans="1:30" ht="18" customHeight="1" x14ac:dyDescent="0.25">
      <c r="A5" s="35" t="s">
        <v>45</v>
      </c>
      <c r="B5" s="35" t="s">
        <v>45</v>
      </c>
      <c r="C5" s="35" t="s">
        <v>1638</v>
      </c>
      <c r="D5" s="173" t="s">
        <v>610</v>
      </c>
      <c r="E5" s="35" t="s">
        <v>611</v>
      </c>
      <c r="F5" s="35" t="s">
        <v>2108</v>
      </c>
      <c r="G5" s="35" t="s">
        <v>81</v>
      </c>
      <c r="H5" s="35" t="s">
        <v>79</v>
      </c>
      <c r="I5" s="35" t="s">
        <v>612</v>
      </c>
      <c r="J5" s="35" t="s">
        <v>613</v>
      </c>
      <c r="K5" s="35" t="s">
        <v>614</v>
      </c>
      <c r="L5" s="35" t="s">
        <v>45</v>
      </c>
      <c r="M5" s="13" t="s">
        <v>615</v>
      </c>
      <c r="N5" s="35" t="s">
        <v>53</v>
      </c>
      <c r="O5" s="13" t="s">
        <v>53</v>
      </c>
      <c r="P5" s="13" t="s">
        <v>60</v>
      </c>
      <c r="Q5" s="35" t="s">
        <v>47</v>
      </c>
      <c r="R5" s="35" t="s">
        <v>48</v>
      </c>
      <c r="S5" s="35" t="s">
        <v>74</v>
      </c>
      <c r="T5" s="35" t="s">
        <v>53</v>
      </c>
      <c r="U5" s="13" t="s">
        <v>616</v>
      </c>
      <c r="V5" s="169" t="s">
        <v>805</v>
      </c>
      <c r="W5" s="35" t="s">
        <v>222</v>
      </c>
      <c r="X5" s="35" t="s">
        <v>1338</v>
      </c>
      <c r="Y5" s="145">
        <v>0.65</v>
      </c>
      <c r="Z5" s="144">
        <v>0.9</v>
      </c>
      <c r="AA5" s="144">
        <v>0.56000000000000005</v>
      </c>
      <c r="AB5" s="144">
        <v>0.55000000000000004</v>
      </c>
      <c r="AC5" s="144">
        <v>0.61</v>
      </c>
      <c r="AD5" s="145">
        <f t="shared" si="0"/>
        <v>0.65400000000000003</v>
      </c>
    </row>
    <row r="6" spans="1:30" ht="18" customHeight="1" x14ac:dyDescent="0.25">
      <c r="A6" s="35" t="s">
        <v>45</v>
      </c>
      <c r="B6" s="35" t="s">
        <v>45</v>
      </c>
      <c r="C6" s="35"/>
      <c r="D6" s="172" t="s">
        <v>349</v>
      </c>
      <c r="E6" s="35" t="s">
        <v>350</v>
      </c>
      <c r="F6" s="35" t="s">
        <v>350</v>
      </c>
      <c r="G6" s="35" t="s">
        <v>85</v>
      </c>
      <c r="H6" s="35" t="s">
        <v>82</v>
      </c>
      <c r="I6" s="35" t="s">
        <v>351</v>
      </c>
      <c r="J6" s="35" t="s">
        <v>352</v>
      </c>
      <c r="K6" s="35" t="s">
        <v>353</v>
      </c>
      <c r="L6" s="35" t="s">
        <v>45</v>
      </c>
      <c r="M6" s="40" t="s">
        <v>354</v>
      </c>
      <c r="N6" s="35" t="s">
        <v>45</v>
      </c>
      <c r="O6" s="13" t="s">
        <v>355</v>
      </c>
      <c r="P6" s="13" t="s">
        <v>356</v>
      </c>
      <c r="Q6" s="35" t="s">
        <v>47</v>
      </c>
      <c r="R6" s="35" t="s">
        <v>67</v>
      </c>
      <c r="S6" s="35" t="s">
        <v>49</v>
      </c>
      <c r="T6" s="35" t="s">
        <v>45</v>
      </c>
      <c r="U6" s="13" t="s">
        <v>357</v>
      </c>
      <c r="V6" s="36" t="s">
        <v>806</v>
      </c>
      <c r="W6" s="35" t="s">
        <v>222</v>
      </c>
      <c r="X6" s="35"/>
      <c r="Y6" s="145">
        <v>1</v>
      </c>
      <c r="Z6" s="144">
        <v>0.96</v>
      </c>
      <c r="AA6" s="144">
        <v>0.19</v>
      </c>
      <c r="AB6" s="144">
        <v>0.44</v>
      </c>
      <c r="AC6" s="144">
        <v>0.63</v>
      </c>
      <c r="AD6" s="145">
        <f t="shared" si="0"/>
        <v>0.64399999999999991</v>
      </c>
    </row>
    <row r="7" spans="1:30" ht="18" customHeight="1" x14ac:dyDescent="0.25">
      <c r="A7" s="35" t="s">
        <v>45</v>
      </c>
      <c r="B7" s="35" t="s">
        <v>53</v>
      </c>
      <c r="C7" s="35"/>
      <c r="D7" s="89" t="s">
        <v>2028</v>
      </c>
      <c r="E7" s="35" t="s">
        <v>1139</v>
      </c>
      <c r="F7" s="35" t="s">
        <v>975</v>
      </c>
      <c r="G7" s="35" t="s">
        <v>85</v>
      </c>
      <c r="H7" s="35" t="s">
        <v>82</v>
      </c>
      <c r="I7" s="35" t="s">
        <v>2023</v>
      </c>
      <c r="J7" s="35" t="s">
        <v>2024</v>
      </c>
      <c r="K7" s="35"/>
      <c r="L7" s="35" t="s">
        <v>45</v>
      </c>
      <c r="M7" s="35" t="s">
        <v>2025</v>
      </c>
      <c r="N7" s="92" t="s">
        <v>45</v>
      </c>
      <c r="O7" s="35" t="s">
        <v>2026</v>
      </c>
      <c r="P7" s="35" t="s">
        <v>60</v>
      </c>
      <c r="Q7" s="35" t="s">
        <v>61</v>
      </c>
      <c r="R7" s="35" t="s">
        <v>222</v>
      </c>
      <c r="S7" s="35" t="s">
        <v>222</v>
      </c>
      <c r="T7" s="35" t="s">
        <v>2027</v>
      </c>
      <c r="U7" s="35" t="s">
        <v>222</v>
      </c>
      <c r="V7" s="36" t="s">
        <v>2118</v>
      </c>
      <c r="W7" s="35" t="s">
        <v>2057</v>
      </c>
      <c r="X7" s="128"/>
      <c r="Y7" s="145">
        <v>1</v>
      </c>
      <c r="Z7" s="144">
        <v>0.78</v>
      </c>
      <c r="AA7" s="144">
        <v>0.28000000000000003</v>
      </c>
      <c r="AB7" s="144">
        <v>0.56999999999999995</v>
      </c>
      <c r="AC7" s="144">
        <v>0.58699999999999997</v>
      </c>
      <c r="AD7" s="145">
        <f t="shared" si="0"/>
        <v>0.64339999999999997</v>
      </c>
    </row>
    <row r="8" spans="1:30" ht="18" customHeight="1" x14ac:dyDescent="0.25">
      <c r="A8" s="35" t="s">
        <v>45</v>
      </c>
      <c r="B8" s="35" t="s">
        <v>53</v>
      </c>
      <c r="C8" s="35"/>
      <c r="D8" s="89" t="s">
        <v>1285</v>
      </c>
      <c r="E8" s="35" t="s">
        <v>1139</v>
      </c>
      <c r="F8" s="35" t="s">
        <v>1018</v>
      </c>
      <c r="G8" s="35" t="s">
        <v>81</v>
      </c>
      <c r="H8" s="35" t="s">
        <v>82</v>
      </c>
      <c r="I8" s="35" t="s">
        <v>1286</v>
      </c>
      <c r="J8" s="35" t="s">
        <v>1287</v>
      </c>
      <c r="K8" s="35" t="s">
        <v>1288</v>
      </c>
      <c r="L8" s="92" t="s">
        <v>53</v>
      </c>
      <c r="M8" s="35" t="s">
        <v>552</v>
      </c>
      <c r="N8" s="35" t="s">
        <v>53</v>
      </c>
      <c r="O8" s="35" t="s">
        <v>552</v>
      </c>
      <c r="P8" s="35" t="s">
        <v>46</v>
      </c>
      <c r="Q8" s="35" t="s">
        <v>67</v>
      </c>
      <c r="R8" s="35" t="s">
        <v>67</v>
      </c>
      <c r="S8" s="35" t="s">
        <v>67</v>
      </c>
      <c r="T8" s="35" t="s">
        <v>222</v>
      </c>
      <c r="U8" s="35" t="s">
        <v>1289</v>
      </c>
      <c r="V8" s="36" t="s">
        <v>1341</v>
      </c>
      <c r="W8" s="128" t="s">
        <v>1290</v>
      </c>
      <c r="X8" s="128"/>
      <c r="Y8" s="145">
        <v>0.9</v>
      </c>
      <c r="Z8" s="144">
        <v>0.46</v>
      </c>
      <c r="AA8" s="144">
        <v>0.57999999999999996</v>
      </c>
      <c r="AB8" s="144">
        <v>0.6</v>
      </c>
      <c r="AC8" s="144">
        <v>0.61950000000000005</v>
      </c>
      <c r="AD8" s="145">
        <f t="shared" si="0"/>
        <v>0.63190000000000002</v>
      </c>
    </row>
    <row r="9" spans="1:30" ht="18" customHeight="1" x14ac:dyDescent="0.25">
      <c r="A9" s="35" t="s">
        <v>53</v>
      </c>
      <c r="B9" s="35" t="s">
        <v>45</v>
      </c>
      <c r="C9" s="35"/>
      <c r="D9" s="172" t="s">
        <v>240</v>
      </c>
      <c r="E9" s="35" t="s">
        <v>943</v>
      </c>
      <c r="F9" s="35" t="s">
        <v>241</v>
      </c>
      <c r="G9" s="35" t="s">
        <v>85</v>
      </c>
      <c r="H9" s="35" t="s">
        <v>82</v>
      </c>
      <c r="I9" s="35" t="s">
        <v>242</v>
      </c>
      <c r="J9" s="35" t="s">
        <v>243</v>
      </c>
      <c r="K9" s="35" t="s">
        <v>244</v>
      </c>
      <c r="L9" s="35" t="s">
        <v>53</v>
      </c>
      <c r="M9" s="35" t="s">
        <v>53</v>
      </c>
      <c r="N9" s="35" t="s">
        <v>53</v>
      </c>
      <c r="O9" s="35" t="s">
        <v>53</v>
      </c>
      <c r="P9" s="35" t="s">
        <v>245</v>
      </c>
      <c r="Q9" s="35" t="s">
        <v>47</v>
      </c>
      <c r="R9" s="35" t="s">
        <v>222</v>
      </c>
      <c r="S9" s="35" t="s">
        <v>222</v>
      </c>
      <c r="T9" s="35" t="s">
        <v>222</v>
      </c>
      <c r="U9" s="35" t="s">
        <v>246</v>
      </c>
      <c r="V9" s="36" t="s">
        <v>793</v>
      </c>
      <c r="W9" s="35" t="s">
        <v>292</v>
      </c>
      <c r="X9" s="35" t="s">
        <v>1334</v>
      </c>
      <c r="Y9" s="144">
        <v>1</v>
      </c>
      <c r="Z9" s="144">
        <v>0.34</v>
      </c>
      <c r="AA9" s="144">
        <v>0.42</v>
      </c>
      <c r="AB9" s="144">
        <v>0.73</v>
      </c>
      <c r="AC9" s="144">
        <v>0.6</v>
      </c>
      <c r="AD9" s="145">
        <f t="shared" si="0"/>
        <v>0.6180000000000001</v>
      </c>
    </row>
    <row r="10" spans="1:30" ht="18" customHeight="1" x14ac:dyDescent="0.25">
      <c r="A10" s="35" t="s">
        <v>45</v>
      </c>
      <c r="B10" s="35" t="s">
        <v>45</v>
      </c>
      <c r="C10" s="35"/>
      <c r="D10" s="172" t="s">
        <v>974</v>
      </c>
      <c r="E10" s="35" t="s">
        <v>1139</v>
      </c>
      <c r="F10" s="35" t="s">
        <v>975</v>
      </c>
      <c r="G10" s="35" t="s">
        <v>81</v>
      </c>
      <c r="H10" s="35" t="s">
        <v>73</v>
      </c>
      <c r="I10" s="35" t="s">
        <v>976</v>
      </c>
      <c r="J10" s="35" t="s">
        <v>977</v>
      </c>
      <c r="K10" s="35" t="s">
        <v>978</v>
      </c>
      <c r="L10" s="35" t="s">
        <v>45</v>
      </c>
      <c r="M10" s="92" t="s">
        <v>979</v>
      </c>
      <c r="N10" s="35" t="s">
        <v>45</v>
      </c>
      <c r="O10" s="35" t="s">
        <v>979</v>
      </c>
      <c r="P10" s="35" t="s">
        <v>67</v>
      </c>
      <c r="Q10" s="35" t="s">
        <v>67</v>
      </c>
      <c r="R10" s="35" t="s">
        <v>67</v>
      </c>
      <c r="S10" s="35" t="s">
        <v>67</v>
      </c>
      <c r="T10" s="35" t="s">
        <v>53</v>
      </c>
      <c r="U10" s="35" t="s">
        <v>980</v>
      </c>
      <c r="V10" s="36" t="s">
        <v>1142</v>
      </c>
      <c r="W10" s="128" t="s">
        <v>981</v>
      </c>
      <c r="X10" s="128"/>
      <c r="Y10" s="145">
        <v>0.5</v>
      </c>
      <c r="Z10" s="144">
        <v>0.68</v>
      </c>
      <c r="AA10" s="144">
        <v>0.35</v>
      </c>
      <c r="AB10" s="144">
        <v>0.8</v>
      </c>
      <c r="AC10" s="144">
        <v>0.65</v>
      </c>
      <c r="AD10" s="145">
        <f t="shared" si="0"/>
        <v>0.59599999999999997</v>
      </c>
    </row>
    <row r="11" spans="1:30" ht="18" customHeight="1" x14ac:dyDescent="0.25">
      <c r="A11" s="35" t="s">
        <v>45</v>
      </c>
      <c r="B11" s="35" t="s">
        <v>53</v>
      </c>
      <c r="C11" s="35"/>
      <c r="D11" s="178" t="s">
        <v>1490</v>
      </c>
      <c r="E11" s="35" t="s">
        <v>1543</v>
      </c>
      <c r="F11" s="35" t="s">
        <v>1491</v>
      </c>
      <c r="G11" s="35" t="s">
        <v>85</v>
      </c>
      <c r="H11" s="35" t="s">
        <v>82</v>
      </c>
      <c r="I11" s="35" t="s">
        <v>148</v>
      </c>
      <c r="J11" s="35" t="s">
        <v>1492</v>
      </c>
      <c r="K11" s="35" t="s">
        <v>1493</v>
      </c>
      <c r="L11" s="92" t="s">
        <v>45</v>
      </c>
      <c r="M11" s="35" t="s">
        <v>1494</v>
      </c>
      <c r="N11" s="35" t="s">
        <v>53</v>
      </c>
      <c r="O11" s="35" t="s">
        <v>53</v>
      </c>
      <c r="P11" s="35" t="s">
        <v>60</v>
      </c>
      <c r="Q11" s="35" t="s">
        <v>61</v>
      </c>
      <c r="R11" s="35" t="s">
        <v>222</v>
      </c>
      <c r="S11" s="35" t="s">
        <v>222</v>
      </c>
      <c r="T11" s="35" t="s">
        <v>45</v>
      </c>
      <c r="U11" s="35" t="s">
        <v>222</v>
      </c>
      <c r="V11" s="36" t="s">
        <v>1544</v>
      </c>
      <c r="W11" s="159" t="s">
        <v>1495</v>
      </c>
      <c r="X11" s="128"/>
      <c r="Y11" s="145">
        <v>1</v>
      </c>
      <c r="Z11" s="144">
        <v>0.56000000000000005</v>
      </c>
      <c r="AA11" s="144">
        <v>0.31</v>
      </c>
      <c r="AB11" s="144">
        <v>0.55000000000000004</v>
      </c>
      <c r="AC11" s="144">
        <v>0.53490000000000004</v>
      </c>
      <c r="AD11" s="145">
        <f t="shared" si="0"/>
        <v>0.59097999999999995</v>
      </c>
    </row>
    <row r="12" spans="1:30" ht="18" customHeight="1" x14ac:dyDescent="0.25">
      <c r="A12" s="35" t="s">
        <v>45</v>
      </c>
      <c r="B12" s="35" t="s">
        <v>45</v>
      </c>
      <c r="C12" s="35"/>
      <c r="D12" s="172" t="s">
        <v>1055</v>
      </c>
      <c r="E12" s="35" t="s">
        <v>1139</v>
      </c>
      <c r="F12" s="35" t="s">
        <v>975</v>
      </c>
      <c r="G12" s="35" t="s">
        <v>78</v>
      </c>
      <c r="H12" s="35" t="s">
        <v>73</v>
      </c>
      <c r="I12" s="35" t="s">
        <v>148</v>
      </c>
      <c r="J12" s="35" t="s">
        <v>1057</v>
      </c>
      <c r="K12" s="35" t="s">
        <v>1058</v>
      </c>
      <c r="L12" s="35" t="s">
        <v>45</v>
      </c>
      <c r="M12" s="92" t="s">
        <v>46</v>
      </c>
      <c r="N12" s="35" t="s">
        <v>45</v>
      </c>
      <c r="O12" s="35" t="s">
        <v>46</v>
      </c>
      <c r="P12" s="35" t="s">
        <v>46</v>
      </c>
      <c r="Q12" s="35" t="s">
        <v>74</v>
      </c>
      <c r="R12" s="35" t="s">
        <v>74</v>
      </c>
      <c r="S12" s="35" t="s">
        <v>74</v>
      </c>
      <c r="T12" s="35" t="s">
        <v>53</v>
      </c>
      <c r="U12" s="35" t="s">
        <v>1059</v>
      </c>
      <c r="V12" s="36" t="s">
        <v>1144</v>
      </c>
      <c r="W12" s="128" t="s">
        <v>1060</v>
      </c>
      <c r="X12" s="128" t="s">
        <v>1339</v>
      </c>
      <c r="Y12" s="145">
        <v>0.45</v>
      </c>
      <c r="Z12" s="144">
        <v>1</v>
      </c>
      <c r="AA12" s="144">
        <v>0.43</v>
      </c>
      <c r="AB12" s="144">
        <v>0.49</v>
      </c>
      <c r="AC12" s="144">
        <v>0.55200000000000005</v>
      </c>
      <c r="AD12" s="145">
        <f t="shared" si="0"/>
        <v>0.58440000000000003</v>
      </c>
    </row>
    <row r="13" spans="1:30" ht="18" customHeight="1" x14ac:dyDescent="0.25">
      <c r="A13" s="35" t="s">
        <v>45</v>
      </c>
      <c r="B13" s="35" t="s">
        <v>45</v>
      </c>
      <c r="C13" s="35" t="s">
        <v>1638</v>
      </c>
      <c r="D13" s="174" t="s">
        <v>930</v>
      </c>
      <c r="E13" s="35" t="s">
        <v>947</v>
      </c>
      <c r="F13" s="35" t="s">
        <v>975</v>
      </c>
      <c r="G13" s="35" t="s">
        <v>81</v>
      </c>
      <c r="H13" s="35" t="s">
        <v>79</v>
      </c>
      <c r="I13" s="35" t="s">
        <v>598</v>
      </c>
      <c r="J13" s="35" t="s">
        <v>599</v>
      </c>
      <c r="K13" s="35" t="s">
        <v>600</v>
      </c>
      <c r="L13" s="35" t="s">
        <v>45</v>
      </c>
      <c r="M13" s="35" t="s">
        <v>98</v>
      </c>
      <c r="N13" s="35" t="s">
        <v>53</v>
      </c>
      <c r="O13" s="35" t="s">
        <v>53</v>
      </c>
      <c r="P13" s="35" t="s">
        <v>46</v>
      </c>
      <c r="Q13" s="35" t="s">
        <v>222</v>
      </c>
      <c r="R13" s="35" t="s">
        <v>48</v>
      </c>
      <c r="S13" s="35" t="s">
        <v>222</v>
      </c>
      <c r="T13" s="35" t="s">
        <v>222</v>
      </c>
      <c r="U13" s="35" t="s">
        <v>222</v>
      </c>
      <c r="V13" s="36" t="s">
        <v>804</v>
      </c>
      <c r="W13" s="35" t="s">
        <v>222</v>
      </c>
      <c r="X13" s="35"/>
      <c r="Y13" s="145">
        <v>0.65</v>
      </c>
      <c r="Z13" s="144">
        <v>0.9</v>
      </c>
      <c r="AA13" s="144">
        <v>0.25</v>
      </c>
      <c r="AB13" s="144">
        <v>0.6</v>
      </c>
      <c r="AC13" s="144">
        <v>0.5</v>
      </c>
      <c r="AD13" s="145">
        <f t="shared" si="0"/>
        <v>0.57999999999999996</v>
      </c>
    </row>
    <row r="14" spans="1:30" ht="18" customHeight="1" x14ac:dyDescent="0.25">
      <c r="A14" s="35" t="s">
        <v>45</v>
      </c>
      <c r="B14" s="35" t="s">
        <v>45</v>
      </c>
      <c r="C14" s="35"/>
      <c r="D14" s="89" t="s">
        <v>1376</v>
      </c>
      <c r="E14" s="35" t="s">
        <v>549</v>
      </c>
      <c r="F14" s="35" t="s">
        <v>549</v>
      </c>
      <c r="G14" s="35" t="s">
        <v>81</v>
      </c>
      <c r="H14" s="35" t="s">
        <v>73</v>
      </c>
      <c r="I14" s="35" t="s">
        <v>148</v>
      </c>
      <c r="J14" s="35" t="s">
        <v>1377</v>
      </c>
      <c r="K14" s="35" t="s">
        <v>1378</v>
      </c>
      <c r="L14" s="92" t="s">
        <v>45</v>
      </c>
      <c r="M14" s="35" t="s">
        <v>1379</v>
      </c>
      <c r="N14" s="35" t="s">
        <v>45</v>
      </c>
      <c r="O14" s="35" t="s">
        <v>510</v>
      </c>
      <c r="P14" s="35" t="s">
        <v>46</v>
      </c>
      <c r="Q14" s="35" t="s">
        <v>47</v>
      </c>
      <c r="R14" s="35" t="s">
        <v>222</v>
      </c>
      <c r="S14" s="35" t="s">
        <v>222</v>
      </c>
      <c r="T14" s="35" t="s">
        <v>53</v>
      </c>
      <c r="U14" s="35" t="s">
        <v>1380</v>
      </c>
      <c r="V14" s="36" t="s">
        <v>1409</v>
      </c>
      <c r="W14" s="128" t="s">
        <v>1381</v>
      </c>
      <c r="X14" s="128"/>
      <c r="Y14" s="145">
        <v>0.5</v>
      </c>
      <c r="Z14" s="144">
        <v>1</v>
      </c>
      <c r="AA14" s="144">
        <v>0.21</v>
      </c>
      <c r="AB14" s="144">
        <v>0.56000000000000005</v>
      </c>
      <c r="AC14" s="144">
        <v>0.55000000000000004</v>
      </c>
      <c r="AD14" s="145">
        <f t="shared" si="0"/>
        <v>0.56400000000000006</v>
      </c>
    </row>
    <row r="15" spans="1:30" ht="18" customHeight="1" x14ac:dyDescent="0.25">
      <c r="A15" s="35" t="s">
        <v>45</v>
      </c>
      <c r="B15" s="35" t="s">
        <v>45</v>
      </c>
      <c r="C15" s="91"/>
      <c r="D15" s="175" t="s">
        <v>721</v>
      </c>
      <c r="E15" s="35" t="s">
        <v>946</v>
      </c>
      <c r="F15" s="35" t="s">
        <v>722</v>
      </c>
      <c r="G15" s="35" t="s">
        <v>81</v>
      </c>
      <c r="H15" s="35" t="s">
        <v>82</v>
      </c>
      <c r="I15" s="35" t="s">
        <v>723</v>
      </c>
      <c r="J15" s="35" t="s">
        <v>724</v>
      </c>
      <c r="K15" s="35" t="s">
        <v>725</v>
      </c>
      <c r="L15" s="35" t="s">
        <v>45</v>
      </c>
      <c r="M15" s="35" t="s">
        <v>726</v>
      </c>
      <c r="N15" s="35" t="s">
        <v>53</v>
      </c>
      <c r="O15" s="35" t="s">
        <v>53</v>
      </c>
      <c r="P15" s="35" t="s">
        <v>46</v>
      </c>
      <c r="Q15" s="35" t="s">
        <v>74</v>
      </c>
      <c r="R15" s="35" t="s">
        <v>74</v>
      </c>
      <c r="S15" s="35" t="s">
        <v>74</v>
      </c>
      <c r="T15" s="35" t="s">
        <v>53</v>
      </c>
      <c r="U15" s="35" t="s">
        <v>181</v>
      </c>
      <c r="V15" s="36" t="s">
        <v>800</v>
      </c>
      <c r="W15" s="35" t="s">
        <v>222</v>
      </c>
      <c r="X15" s="35" t="s">
        <v>1338</v>
      </c>
      <c r="Y15" s="145">
        <v>0.9</v>
      </c>
      <c r="Z15" s="144">
        <v>0.36</v>
      </c>
      <c r="AA15" s="144">
        <v>0.28999999999999998</v>
      </c>
      <c r="AB15" s="144">
        <v>0.66</v>
      </c>
      <c r="AC15" s="144">
        <v>0.52</v>
      </c>
      <c r="AD15" s="145">
        <f t="shared" si="0"/>
        <v>0.54600000000000004</v>
      </c>
    </row>
    <row r="16" spans="1:30" ht="18" customHeight="1" x14ac:dyDescent="0.25">
      <c r="A16" s="35" t="s">
        <v>45</v>
      </c>
      <c r="B16" s="35" t="s">
        <v>45</v>
      </c>
      <c r="C16" s="35"/>
      <c r="D16" s="89" t="s">
        <v>1960</v>
      </c>
      <c r="E16" s="35" t="s">
        <v>688</v>
      </c>
      <c r="F16" s="35" t="s">
        <v>2107</v>
      </c>
      <c r="G16" s="35" t="s">
        <v>84</v>
      </c>
      <c r="H16" s="35" t="s">
        <v>79</v>
      </c>
      <c r="I16" s="35" t="s">
        <v>148</v>
      </c>
      <c r="J16" s="35" t="s">
        <v>1962</v>
      </c>
      <c r="K16" s="35" t="s">
        <v>1963</v>
      </c>
      <c r="L16" s="35" t="s">
        <v>45</v>
      </c>
      <c r="M16" s="35" t="s">
        <v>1964</v>
      </c>
      <c r="N16" s="92" t="s">
        <v>53</v>
      </c>
      <c r="O16" s="35" t="s">
        <v>552</v>
      </c>
      <c r="P16" s="35" t="s">
        <v>46</v>
      </c>
      <c r="Q16" s="35" t="s">
        <v>61</v>
      </c>
      <c r="R16" s="35" t="s">
        <v>74</v>
      </c>
      <c r="S16" s="35" t="s">
        <v>222</v>
      </c>
      <c r="T16" s="35" t="s">
        <v>45</v>
      </c>
      <c r="U16" s="35" t="s">
        <v>1965</v>
      </c>
      <c r="V16" s="36" t="s">
        <v>2296</v>
      </c>
      <c r="W16" s="35" t="s">
        <v>1966</v>
      </c>
      <c r="X16" s="128"/>
      <c r="Y16" s="145">
        <v>0.7</v>
      </c>
      <c r="Z16" s="144">
        <v>0.76</v>
      </c>
      <c r="AA16" s="144">
        <v>0.27</v>
      </c>
      <c r="AB16" s="144">
        <v>0.48</v>
      </c>
      <c r="AC16" s="144">
        <v>0.51600000000000001</v>
      </c>
      <c r="AD16" s="145">
        <f t="shared" si="0"/>
        <v>0.54520000000000002</v>
      </c>
    </row>
    <row r="17" spans="1:30" ht="18" customHeight="1" x14ac:dyDescent="0.25">
      <c r="A17" s="35" t="s">
        <v>45</v>
      </c>
      <c r="B17" s="35" t="s">
        <v>45</v>
      </c>
      <c r="C17" s="35"/>
      <c r="D17" s="172" t="s">
        <v>959</v>
      </c>
      <c r="E17" s="35" t="s">
        <v>1138</v>
      </c>
      <c r="F17" s="35" t="s">
        <v>960</v>
      </c>
      <c r="G17" s="35" t="s">
        <v>81</v>
      </c>
      <c r="H17" s="35" t="s">
        <v>52</v>
      </c>
      <c r="I17" s="35" t="s">
        <v>961</v>
      </c>
      <c r="J17" s="35" t="s">
        <v>962</v>
      </c>
      <c r="K17" s="35" t="s">
        <v>963</v>
      </c>
      <c r="L17" s="35" t="s">
        <v>53</v>
      </c>
      <c r="M17" s="92" t="s">
        <v>53</v>
      </c>
      <c r="N17" s="35" t="s">
        <v>53</v>
      </c>
      <c r="O17" s="35" t="s">
        <v>53</v>
      </c>
      <c r="P17" s="13" t="s">
        <v>46</v>
      </c>
      <c r="Q17" s="35" t="s">
        <v>68</v>
      </c>
      <c r="R17" s="35" t="s">
        <v>222</v>
      </c>
      <c r="S17" s="35" t="s">
        <v>222</v>
      </c>
      <c r="T17" s="35" t="s">
        <v>222</v>
      </c>
      <c r="U17" s="13" t="s">
        <v>616</v>
      </c>
      <c r="V17" s="36" t="s">
        <v>1141</v>
      </c>
      <c r="W17" s="128" t="s">
        <v>964</v>
      </c>
      <c r="X17" s="35" t="s">
        <v>1338</v>
      </c>
      <c r="Y17" s="145">
        <v>0.41</v>
      </c>
      <c r="Z17" s="144">
        <v>0.84</v>
      </c>
      <c r="AA17" s="144">
        <v>0.18</v>
      </c>
      <c r="AB17" s="144">
        <v>0.76</v>
      </c>
      <c r="AC17" s="144">
        <v>0.48399999999999999</v>
      </c>
      <c r="AD17" s="145">
        <f t="shared" si="0"/>
        <v>0.53479999999999994</v>
      </c>
    </row>
    <row r="18" spans="1:30" ht="18" customHeight="1" x14ac:dyDescent="0.25">
      <c r="A18" s="35" t="s">
        <v>53</v>
      </c>
      <c r="B18" s="35" t="s">
        <v>53</v>
      </c>
      <c r="C18" s="35"/>
      <c r="D18" s="172" t="s">
        <v>146</v>
      </c>
      <c r="E18" s="35" t="s">
        <v>944</v>
      </c>
      <c r="F18" s="35" t="s">
        <v>147</v>
      </c>
      <c r="G18" s="35" t="s">
        <v>78</v>
      </c>
      <c r="H18" s="35" t="s">
        <v>66</v>
      </c>
      <c r="I18" s="35" t="s">
        <v>148</v>
      </c>
      <c r="J18" s="35" t="s">
        <v>149</v>
      </c>
      <c r="K18" s="35" t="s">
        <v>150</v>
      </c>
      <c r="L18" s="35" t="s">
        <v>45</v>
      </c>
      <c r="M18" s="92" t="s">
        <v>151</v>
      </c>
      <c r="N18" s="35" t="s">
        <v>45</v>
      </c>
      <c r="O18" s="92" t="s">
        <v>151</v>
      </c>
      <c r="P18" s="13" t="s">
        <v>152</v>
      </c>
      <c r="Q18" s="35" t="s">
        <v>222</v>
      </c>
      <c r="R18" s="35" t="s">
        <v>222</v>
      </c>
      <c r="S18" s="35" t="s">
        <v>222</v>
      </c>
      <c r="T18" s="35" t="s">
        <v>222</v>
      </c>
      <c r="U18" s="25" t="s">
        <v>655</v>
      </c>
      <c r="V18" s="36" t="s">
        <v>796</v>
      </c>
      <c r="W18" s="35" t="s">
        <v>172</v>
      </c>
      <c r="X18" s="35"/>
      <c r="Y18" s="144">
        <v>0.4</v>
      </c>
      <c r="Z18" s="144">
        <v>0.48</v>
      </c>
      <c r="AA18" s="144">
        <v>0.23</v>
      </c>
      <c r="AB18" s="144">
        <v>1</v>
      </c>
      <c r="AC18" s="144">
        <v>0.5</v>
      </c>
      <c r="AD18" s="145">
        <f t="shared" si="0"/>
        <v>0.52200000000000002</v>
      </c>
    </row>
    <row r="19" spans="1:30" ht="18" customHeight="1" x14ac:dyDescent="0.25">
      <c r="A19" s="35" t="s">
        <v>45</v>
      </c>
      <c r="B19" s="35" t="s">
        <v>53</v>
      </c>
      <c r="C19" s="35"/>
      <c r="D19" s="172" t="s">
        <v>288</v>
      </c>
      <c r="E19" s="35" t="s">
        <v>943</v>
      </c>
      <c r="F19" s="35" t="s">
        <v>289</v>
      </c>
      <c r="G19" s="35" t="s">
        <v>85</v>
      </c>
      <c r="H19" s="35" t="s">
        <v>82</v>
      </c>
      <c r="I19" s="35" t="s">
        <v>148</v>
      </c>
      <c r="J19" s="35" t="s">
        <v>290</v>
      </c>
      <c r="K19" s="35" t="s">
        <v>291</v>
      </c>
      <c r="L19" s="35" t="s">
        <v>53</v>
      </c>
      <c r="M19" s="35" t="s">
        <v>53</v>
      </c>
      <c r="N19" s="35" t="s">
        <v>53</v>
      </c>
      <c r="O19" s="35" t="s">
        <v>53</v>
      </c>
      <c r="P19" s="13" t="s">
        <v>46</v>
      </c>
      <c r="Q19" s="35" t="s">
        <v>61</v>
      </c>
      <c r="R19" s="35" t="s">
        <v>222</v>
      </c>
      <c r="S19" s="35" t="s">
        <v>222</v>
      </c>
      <c r="T19" s="35" t="s">
        <v>222</v>
      </c>
      <c r="U19" s="13" t="s">
        <v>222</v>
      </c>
      <c r="V19" s="168" t="s">
        <v>794</v>
      </c>
      <c r="W19" s="35" t="s">
        <v>293</v>
      </c>
      <c r="X19" s="35" t="s">
        <v>1336</v>
      </c>
      <c r="Y19" s="144">
        <v>1</v>
      </c>
      <c r="Z19" s="144">
        <v>0.46</v>
      </c>
      <c r="AA19" s="144">
        <v>0.08</v>
      </c>
      <c r="AB19" s="144">
        <v>0.52</v>
      </c>
      <c r="AC19" s="144">
        <v>0.47</v>
      </c>
      <c r="AD19" s="145">
        <f t="shared" si="0"/>
        <v>0.50600000000000001</v>
      </c>
    </row>
    <row r="20" spans="1:30" ht="18" customHeight="1" x14ac:dyDescent="0.25">
      <c r="A20" s="35" t="s">
        <v>53</v>
      </c>
      <c r="B20" s="35" t="s">
        <v>45</v>
      </c>
      <c r="C20" s="35"/>
      <c r="D20" s="89" t="s">
        <v>2058</v>
      </c>
      <c r="E20" s="35" t="s">
        <v>1139</v>
      </c>
      <c r="F20" s="35" t="s">
        <v>2059</v>
      </c>
      <c r="G20" s="35" t="s">
        <v>72</v>
      </c>
      <c r="H20" s="35" t="s">
        <v>79</v>
      </c>
      <c r="I20" s="35" t="s">
        <v>2060</v>
      </c>
      <c r="J20" s="35" t="s">
        <v>2061</v>
      </c>
      <c r="K20" s="35" t="s">
        <v>2062</v>
      </c>
      <c r="L20" s="35" t="s">
        <v>45</v>
      </c>
      <c r="M20" s="35" t="s">
        <v>2063</v>
      </c>
      <c r="N20" s="92" t="s">
        <v>53</v>
      </c>
      <c r="O20" s="35" t="s">
        <v>53</v>
      </c>
      <c r="P20" s="13" t="s">
        <v>46</v>
      </c>
      <c r="Q20" s="35" t="s">
        <v>61</v>
      </c>
      <c r="R20" s="35" t="s">
        <v>222</v>
      </c>
      <c r="S20" s="35" t="s">
        <v>74</v>
      </c>
      <c r="T20" s="35" t="s">
        <v>45</v>
      </c>
      <c r="U20" s="13" t="s">
        <v>68</v>
      </c>
      <c r="V20" s="36" t="s">
        <v>2537</v>
      </c>
      <c r="W20" s="35" t="s">
        <v>2064</v>
      </c>
      <c r="X20" s="128"/>
      <c r="Y20" s="145">
        <v>0.55000000000000004</v>
      </c>
      <c r="Z20" s="144">
        <v>0.57999999999999996</v>
      </c>
      <c r="AA20" s="144">
        <v>0.18</v>
      </c>
      <c r="AB20" s="144">
        <v>0.71</v>
      </c>
      <c r="AC20" s="144">
        <v>0.49</v>
      </c>
      <c r="AD20" s="145">
        <f t="shared" si="0"/>
        <v>0.502</v>
      </c>
    </row>
    <row r="21" spans="1:30" ht="18" customHeight="1" x14ac:dyDescent="0.25">
      <c r="A21" s="35" t="s">
        <v>53</v>
      </c>
      <c r="B21" s="35" t="s">
        <v>45</v>
      </c>
      <c r="C21" s="35"/>
      <c r="D21" s="172" t="s">
        <v>576</v>
      </c>
      <c r="E21" s="35" t="s">
        <v>549</v>
      </c>
      <c r="F21" s="35" t="s">
        <v>549</v>
      </c>
      <c r="G21" s="35" t="s">
        <v>81</v>
      </c>
      <c r="H21" s="35" t="s">
        <v>79</v>
      </c>
      <c r="I21" s="35" t="s">
        <v>148</v>
      </c>
      <c r="J21" s="35" t="s">
        <v>577</v>
      </c>
      <c r="K21" s="35" t="s">
        <v>578</v>
      </c>
      <c r="L21" s="35" t="s">
        <v>45</v>
      </c>
      <c r="M21" s="35" t="s">
        <v>579</v>
      </c>
      <c r="N21" s="35" t="s">
        <v>53</v>
      </c>
      <c r="O21" s="35" t="s">
        <v>53</v>
      </c>
      <c r="P21" s="13" t="s">
        <v>60</v>
      </c>
      <c r="Q21" s="35" t="s">
        <v>47</v>
      </c>
      <c r="R21" s="35" t="s">
        <v>69</v>
      </c>
      <c r="S21" s="35" t="s">
        <v>222</v>
      </c>
      <c r="T21" s="35" t="s">
        <v>222</v>
      </c>
      <c r="U21" s="13" t="s">
        <v>222</v>
      </c>
      <c r="V21" s="36" t="s">
        <v>803</v>
      </c>
      <c r="W21" s="35" t="s">
        <v>222</v>
      </c>
      <c r="X21" s="35" t="s">
        <v>1338</v>
      </c>
      <c r="Y21" s="145">
        <v>0.65</v>
      </c>
      <c r="Z21" s="144">
        <v>0.57999999999999996</v>
      </c>
      <c r="AA21" s="144">
        <v>0.32</v>
      </c>
      <c r="AB21" s="144">
        <v>0.48</v>
      </c>
      <c r="AC21" s="144">
        <v>0.42</v>
      </c>
      <c r="AD21" s="145">
        <f t="shared" si="0"/>
        <v>0.49000000000000005</v>
      </c>
    </row>
    <row r="22" spans="1:30" ht="18" customHeight="1" x14ac:dyDescent="0.25">
      <c r="A22" s="35" t="s">
        <v>45</v>
      </c>
      <c r="B22" s="35" t="s">
        <v>45</v>
      </c>
      <c r="C22" s="35"/>
      <c r="D22" s="89" t="s">
        <v>1390</v>
      </c>
      <c r="E22" s="35" t="s">
        <v>611</v>
      </c>
      <c r="F22" s="35" t="s">
        <v>611</v>
      </c>
      <c r="G22" s="35" t="s">
        <v>81</v>
      </c>
      <c r="H22" s="35" t="s">
        <v>66</v>
      </c>
      <c r="I22" s="35" t="s">
        <v>148</v>
      </c>
      <c r="J22" s="35" t="s">
        <v>1392</v>
      </c>
      <c r="K22" s="35" t="s">
        <v>1393</v>
      </c>
      <c r="L22" s="92" t="s">
        <v>53</v>
      </c>
      <c r="M22" s="35" t="s">
        <v>552</v>
      </c>
      <c r="N22" s="35" t="s">
        <v>53</v>
      </c>
      <c r="O22" s="35" t="s">
        <v>552</v>
      </c>
      <c r="P22" s="13" t="s">
        <v>54</v>
      </c>
      <c r="Q22" s="35" t="s">
        <v>47</v>
      </c>
      <c r="R22" s="35" t="s">
        <v>222</v>
      </c>
      <c r="S22" s="35" t="s">
        <v>105</v>
      </c>
      <c r="T22" s="35" t="s">
        <v>53</v>
      </c>
      <c r="U22" s="13" t="s">
        <v>1394</v>
      </c>
      <c r="V22" s="36" t="s">
        <v>1410</v>
      </c>
      <c r="W22" s="128" t="s">
        <v>1395</v>
      </c>
      <c r="X22" s="128"/>
      <c r="Y22" s="145">
        <v>0.45</v>
      </c>
      <c r="Z22" s="144">
        <v>0.66</v>
      </c>
      <c r="AA22" s="144">
        <v>0.24</v>
      </c>
      <c r="AB22" s="144">
        <v>0.6</v>
      </c>
      <c r="AC22" s="144">
        <v>0.46</v>
      </c>
      <c r="AD22" s="145">
        <f t="shared" si="0"/>
        <v>0.48200000000000004</v>
      </c>
    </row>
    <row r="23" spans="1:30" ht="18" customHeight="1" x14ac:dyDescent="0.25">
      <c r="A23" s="35" t="s">
        <v>45</v>
      </c>
      <c r="B23" s="35" t="s">
        <v>45</v>
      </c>
      <c r="C23" s="90"/>
      <c r="D23" s="89" t="s">
        <v>2601</v>
      </c>
      <c r="E23" s="35" t="s">
        <v>1840</v>
      </c>
      <c r="F23" s="35" t="s">
        <v>2104</v>
      </c>
      <c r="G23" s="35" t="s">
        <v>78</v>
      </c>
      <c r="H23" s="35" t="s">
        <v>59</v>
      </c>
      <c r="I23" s="35" t="s">
        <v>2598</v>
      </c>
      <c r="J23" s="35" t="s">
        <v>2599</v>
      </c>
      <c r="K23" s="35" t="s">
        <v>2600</v>
      </c>
      <c r="L23" s="35" t="s">
        <v>53</v>
      </c>
      <c r="M23" s="35" t="s">
        <v>552</v>
      </c>
      <c r="N23" s="35" t="s">
        <v>53</v>
      </c>
      <c r="O23" s="13" t="s">
        <v>552</v>
      </c>
      <c r="P23" s="35" t="s">
        <v>46</v>
      </c>
      <c r="Q23" s="35" t="s">
        <v>74</v>
      </c>
      <c r="R23" s="35" t="s">
        <v>48</v>
      </c>
      <c r="S23" s="35" t="s">
        <v>74</v>
      </c>
      <c r="T23" s="13" t="s">
        <v>53</v>
      </c>
      <c r="U23" s="35" t="s">
        <v>2602</v>
      </c>
      <c r="V23" s="36" t="s">
        <v>2613</v>
      </c>
      <c r="W23" s="35"/>
      <c r="X23" s="128"/>
      <c r="Y23" s="145">
        <v>0.38</v>
      </c>
      <c r="Z23" s="144">
        <v>0.66</v>
      </c>
      <c r="AA23" s="144">
        <v>0.05</v>
      </c>
      <c r="AB23" s="144">
        <v>0.84</v>
      </c>
      <c r="AC23" s="144">
        <v>0.46800000000000003</v>
      </c>
      <c r="AD23" s="145">
        <f t="shared" si="0"/>
        <v>0.47960000000000003</v>
      </c>
    </row>
    <row r="24" spans="1:30" ht="18" customHeight="1" x14ac:dyDescent="0.25">
      <c r="A24" s="35" t="s">
        <v>45</v>
      </c>
      <c r="B24" s="35" t="s">
        <v>53</v>
      </c>
      <c r="C24" s="35"/>
      <c r="D24" s="172" t="s">
        <v>174</v>
      </c>
      <c r="E24" s="35" t="s">
        <v>1139</v>
      </c>
      <c r="F24" s="35" t="s">
        <v>975</v>
      </c>
      <c r="G24" s="35" t="s">
        <v>81</v>
      </c>
      <c r="H24" s="35" t="s">
        <v>79</v>
      </c>
      <c r="I24" s="35" t="s">
        <v>176</v>
      </c>
      <c r="J24" s="35" t="s">
        <v>177</v>
      </c>
      <c r="K24" s="35" t="s">
        <v>178</v>
      </c>
      <c r="L24" s="35" t="s">
        <v>45</v>
      </c>
      <c r="M24" s="35" t="s">
        <v>179</v>
      </c>
      <c r="N24" s="35" t="s">
        <v>53</v>
      </c>
      <c r="O24" s="13" t="s">
        <v>53</v>
      </c>
      <c r="P24" s="35" t="s">
        <v>46</v>
      </c>
      <c r="Q24" s="35" t="s">
        <v>222</v>
      </c>
      <c r="R24" s="35" t="s">
        <v>222</v>
      </c>
      <c r="S24" s="35" t="s">
        <v>222</v>
      </c>
      <c r="T24" s="13" t="s">
        <v>222</v>
      </c>
      <c r="U24" s="35" t="s">
        <v>181</v>
      </c>
      <c r="V24" s="36" t="s">
        <v>797</v>
      </c>
      <c r="W24" s="35" t="s">
        <v>223</v>
      </c>
      <c r="X24" s="35" t="s">
        <v>1337</v>
      </c>
      <c r="Y24" s="144">
        <v>0.65</v>
      </c>
      <c r="Z24" s="144">
        <v>0.9</v>
      </c>
      <c r="AA24" s="144">
        <v>0.33</v>
      </c>
      <c r="AB24" s="144">
        <v>0</v>
      </c>
      <c r="AC24" s="144">
        <v>0.46</v>
      </c>
      <c r="AD24" s="145">
        <f t="shared" si="0"/>
        <v>0.46800000000000008</v>
      </c>
    </row>
    <row r="25" spans="1:30" ht="18" customHeight="1" x14ac:dyDescent="0.25">
      <c r="A25" s="35" t="s">
        <v>45</v>
      </c>
      <c r="B25" s="35" t="s">
        <v>45</v>
      </c>
      <c r="C25" s="35"/>
      <c r="D25" s="172" t="s">
        <v>309</v>
      </c>
      <c r="E25" s="35" t="s">
        <v>944</v>
      </c>
      <c r="F25" s="35" t="s">
        <v>310</v>
      </c>
      <c r="G25" s="35" t="s">
        <v>72</v>
      </c>
      <c r="H25" s="35" t="s">
        <v>52</v>
      </c>
      <c r="I25" s="35" t="s">
        <v>311</v>
      </c>
      <c r="J25" s="35" t="s">
        <v>312</v>
      </c>
      <c r="K25" s="35" t="s">
        <v>313</v>
      </c>
      <c r="L25" s="35" t="s">
        <v>53</v>
      </c>
      <c r="M25" s="35" t="s">
        <v>53</v>
      </c>
      <c r="N25" s="35" t="s">
        <v>53</v>
      </c>
      <c r="O25" s="13" t="s">
        <v>53</v>
      </c>
      <c r="P25" s="35" t="s">
        <v>46</v>
      </c>
      <c r="Q25" s="35" t="s">
        <v>314</v>
      </c>
      <c r="R25" s="35" t="s">
        <v>74</v>
      </c>
      <c r="S25" s="35" t="s">
        <v>74</v>
      </c>
      <c r="T25" s="13" t="s">
        <v>74</v>
      </c>
      <c r="U25" s="89" t="s">
        <v>315</v>
      </c>
      <c r="V25" s="36" t="s">
        <v>795</v>
      </c>
      <c r="W25" s="35" t="s">
        <v>316</v>
      </c>
      <c r="X25" s="35"/>
      <c r="Y25" s="144">
        <v>0.31</v>
      </c>
      <c r="Z25" s="144">
        <v>0.66</v>
      </c>
      <c r="AA25" s="144">
        <v>0.14000000000000001</v>
      </c>
      <c r="AB25" s="144">
        <v>0.73</v>
      </c>
      <c r="AC25" s="144">
        <v>0.47</v>
      </c>
      <c r="AD25" s="145">
        <f t="shared" si="0"/>
        <v>0.46199999999999991</v>
      </c>
    </row>
    <row r="26" spans="1:30" ht="18" customHeight="1" x14ac:dyDescent="0.25">
      <c r="A26" s="35" t="s">
        <v>53</v>
      </c>
      <c r="B26" s="35" t="s">
        <v>45</v>
      </c>
      <c r="C26" s="35"/>
      <c r="D26" s="89" t="s">
        <v>1744</v>
      </c>
      <c r="E26" s="35" t="s">
        <v>945</v>
      </c>
      <c r="F26" s="35" t="s">
        <v>945</v>
      </c>
      <c r="G26" s="35" t="s">
        <v>81</v>
      </c>
      <c r="H26" s="35" t="s">
        <v>73</v>
      </c>
      <c r="I26" s="35" t="s">
        <v>148</v>
      </c>
      <c r="J26" s="35" t="s">
        <v>1745</v>
      </c>
      <c r="K26" s="35" t="s">
        <v>1746</v>
      </c>
      <c r="L26" s="35" t="s">
        <v>45</v>
      </c>
      <c r="M26" s="35" t="s">
        <v>1747</v>
      </c>
      <c r="N26" s="92" t="s">
        <v>53</v>
      </c>
      <c r="O26" s="13" t="s">
        <v>552</v>
      </c>
      <c r="P26" s="35" t="s">
        <v>46</v>
      </c>
      <c r="Q26" s="35" t="s">
        <v>74</v>
      </c>
      <c r="R26" s="35" t="s">
        <v>74</v>
      </c>
      <c r="S26" s="35" t="s">
        <v>74</v>
      </c>
      <c r="T26" s="13" t="s">
        <v>53</v>
      </c>
      <c r="U26" s="35" t="s">
        <v>1748</v>
      </c>
      <c r="V26" s="36" t="s">
        <v>2109</v>
      </c>
      <c r="W26" s="35" t="s">
        <v>1749</v>
      </c>
      <c r="X26" s="128"/>
      <c r="Y26" s="145">
        <v>0.5</v>
      </c>
      <c r="Z26" s="144">
        <v>0.38</v>
      </c>
      <c r="AA26" s="144">
        <v>0.36</v>
      </c>
      <c r="AB26" s="144">
        <v>0.6</v>
      </c>
      <c r="AC26" s="144">
        <v>0.44600000000000001</v>
      </c>
      <c r="AD26" s="145">
        <f t="shared" si="0"/>
        <v>0.4572</v>
      </c>
    </row>
    <row r="27" spans="1:30" ht="18" customHeight="1" x14ac:dyDescent="0.25">
      <c r="A27" s="35" t="s">
        <v>45</v>
      </c>
      <c r="B27" s="35" t="s">
        <v>45</v>
      </c>
      <c r="C27" s="35"/>
      <c r="D27" s="89" t="s">
        <v>2540</v>
      </c>
      <c r="E27" s="35" t="s">
        <v>947</v>
      </c>
      <c r="F27" s="35" t="s">
        <v>975</v>
      </c>
      <c r="G27" s="35" t="s">
        <v>84</v>
      </c>
      <c r="H27" s="35" t="s">
        <v>82</v>
      </c>
      <c r="I27" s="35" t="s">
        <v>2552</v>
      </c>
      <c r="J27" s="35" t="s">
        <v>2542</v>
      </c>
      <c r="K27" s="35" t="s">
        <v>2543</v>
      </c>
      <c r="L27" s="35" t="s">
        <v>53</v>
      </c>
      <c r="M27" s="35" t="s">
        <v>552</v>
      </c>
      <c r="N27" s="92" t="s">
        <v>45</v>
      </c>
      <c r="O27" s="13" t="s">
        <v>552</v>
      </c>
      <c r="P27" s="35" t="s">
        <v>46</v>
      </c>
      <c r="Q27" s="35" t="s">
        <v>1793</v>
      </c>
      <c r="R27" s="35" t="s">
        <v>69</v>
      </c>
      <c r="S27" s="35" t="s">
        <v>74</v>
      </c>
      <c r="T27" s="13" t="s">
        <v>2544</v>
      </c>
      <c r="U27" s="35" t="s">
        <v>2545</v>
      </c>
      <c r="V27" s="170" t="s">
        <v>2553</v>
      </c>
      <c r="W27" s="35"/>
      <c r="X27" s="128"/>
      <c r="Y27" s="145">
        <v>0.95</v>
      </c>
      <c r="Z27" s="144">
        <v>0.72</v>
      </c>
      <c r="AA27" s="144">
        <v>0.12</v>
      </c>
      <c r="AB27" s="144">
        <v>0</v>
      </c>
      <c r="AC27" s="144">
        <v>0.495</v>
      </c>
      <c r="AD27" s="145">
        <f t="shared" si="0"/>
        <v>0.45700000000000002</v>
      </c>
    </row>
    <row r="28" spans="1:30" ht="18" customHeight="1" x14ac:dyDescent="0.25">
      <c r="A28" s="35" t="s">
        <v>53</v>
      </c>
      <c r="B28" s="35" t="s">
        <v>45</v>
      </c>
      <c r="C28" s="35"/>
      <c r="D28" s="172" t="s">
        <v>548</v>
      </c>
      <c r="E28" s="35" t="s">
        <v>549</v>
      </c>
      <c r="F28" s="162" t="s">
        <v>549</v>
      </c>
      <c r="G28" s="35" t="s">
        <v>81</v>
      </c>
      <c r="H28" s="35" t="s">
        <v>79</v>
      </c>
      <c r="I28" s="35" t="s">
        <v>148</v>
      </c>
      <c r="J28" s="35" t="s">
        <v>550</v>
      </c>
      <c r="K28" s="35" t="s">
        <v>551</v>
      </c>
      <c r="L28" s="35" t="s">
        <v>53</v>
      </c>
      <c r="M28" s="35" t="s">
        <v>552</v>
      </c>
      <c r="N28" s="35" t="s">
        <v>53</v>
      </c>
      <c r="O28" s="35" t="s">
        <v>53</v>
      </c>
      <c r="P28" s="35" t="s">
        <v>60</v>
      </c>
      <c r="Q28" s="13" t="s">
        <v>47</v>
      </c>
      <c r="R28" s="35" t="s">
        <v>69</v>
      </c>
      <c r="S28" s="35" t="s">
        <v>49</v>
      </c>
      <c r="T28" s="35" t="s">
        <v>222</v>
      </c>
      <c r="U28" s="35" t="s">
        <v>222</v>
      </c>
      <c r="V28" s="37" t="s">
        <v>802</v>
      </c>
      <c r="W28" s="35" t="s">
        <v>222</v>
      </c>
      <c r="X28" s="35"/>
      <c r="Y28" s="145">
        <v>0.65</v>
      </c>
      <c r="Z28" s="144">
        <v>0.34</v>
      </c>
      <c r="AA28" s="144">
        <v>0.4</v>
      </c>
      <c r="AB28" s="144">
        <v>0.48</v>
      </c>
      <c r="AC28" s="144">
        <v>0.4</v>
      </c>
      <c r="AD28" s="145">
        <f t="shared" si="0"/>
        <v>0.45400000000000001</v>
      </c>
    </row>
    <row r="29" spans="1:30" ht="18" customHeight="1" x14ac:dyDescent="0.25">
      <c r="A29" s="35" t="s">
        <v>45</v>
      </c>
      <c r="B29" s="35" t="s">
        <v>53</v>
      </c>
      <c r="C29" s="35"/>
      <c r="D29" s="89" t="s">
        <v>1788</v>
      </c>
      <c r="E29" s="35" t="s">
        <v>252</v>
      </c>
      <c r="F29" s="162" t="s">
        <v>2103</v>
      </c>
      <c r="G29" s="35" t="s">
        <v>65</v>
      </c>
      <c r="H29" s="35" t="s">
        <v>79</v>
      </c>
      <c r="I29" s="35" t="s">
        <v>1789</v>
      </c>
      <c r="J29" s="35" t="s">
        <v>1790</v>
      </c>
      <c r="K29" s="35" t="s">
        <v>1791</v>
      </c>
      <c r="L29" s="35" t="s">
        <v>45</v>
      </c>
      <c r="M29" s="35" t="s">
        <v>1792</v>
      </c>
      <c r="N29" s="92" t="s">
        <v>53</v>
      </c>
      <c r="O29" s="35" t="s">
        <v>552</v>
      </c>
      <c r="P29" s="35" t="s">
        <v>54</v>
      </c>
      <c r="Q29" s="13" t="s">
        <v>47</v>
      </c>
      <c r="R29" s="35" t="s">
        <v>74</v>
      </c>
      <c r="S29" s="35" t="s">
        <v>74</v>
      </c>
      <c r="T29" s="35" t="s">
        <v>45</v>
      </c>
      <c r="U29" s="35" t="s">
        <v>1793</v>
      </c>
      <c r="V29" s="37" t="s">
        <v>2110</v>
      </c>
      <c r="W29" s="35" t="s">
        <v>1794</v>
      </c>
      <c r="X29" s="128"/>
      <c r="Y29" s="145">
        <v>0.38</v>
      </c>
      <c r="Z29" s="144">
        <v>0.68</v>
      </c>
      <c r="AA29" s="144">
        <v>0.23</v>
      </c>
      <c r="AB29" s="144">
        <v>0.48</v>
      </c>
      <c r="AC29" s="144">
        <v>0.439</v>
      </c>
      <c r="AD29" s="145">
        <f t="shared" si="0"/>
        <v>0.44180000000000003</v>
      </c>
    </row>
    <row r="30" spans="1:30" ht="18" customHeight="1" x14ac:dyDescent="0.25">
      <c r="A30" s="35" t="s">
        <v>45</v>
      </c>
      <c r="B30" s="35" t="s">
        <v>53</v>
      </c>
      <c r="C30" s="35"/>
      <c r="D30" s="89" t="s">
        <v>1634</v>
      </c>
      <c r="E30" s="35" t="s">
        <v>688</v>
      </c>
      <c r="F30" s="162" t="s">
        <v>2101</v>
      </c>
      <c r="G30" s="35" t="s">
        <v>84</v>
      </c>
      <c r="H30" s="35" t="s">
        <v>79</v>
      </c>
      <c r="I30" s="35" t="s">
        <v>148</v>
      </c>
      <c r="J30" s="35" t="s">
        <v>1635</v>
      </c>
      <c r="K30" s="35" t="s">
        <v>1636</v>
      </c>
      <c r="L30" s="92" t="s">
        <v>45</v>
      </c>
      <c r="M30" s="35" t="s">
        <v>552</v>
      </c>
      <c r="N30" s="35" t="s">
        <v>45</v>
      </c>
      <c r="O30" s="35" t="s">
        <v>552</v>
      </c>
      <c r="P30" s="35" t="s">
        <v>60</v>
      </c>
      <c r="Q30" s="13" t="s">
        <v>47</v>
      </c>
      <c r="R30" s="35" t="s">
        <v>69</v>
      </c>
      <c r="S30" s="35" t="s">
        <v>74</v>
      </c>
      <c r="T30" s="35" t="s">
        <v>53</v>
      </c>
      <c r="U30" s="35" t="s">
        <v>1640</v>
      </c>
      <c r="V30" s="37" t="s">
        <v>1655</v>
      </c>
      <c r="W30" s="159" t="s">
        <v>1656</v>
      </c>
      <c r="X30" s="128" t="s">
        <v>2538</v>
      </c>
      <c r="Y30" s="145">
        <v>0.7</v>
      </c>
      <c r="Z30" s="144">
        <v>0.62</v>
      </c>
      <c r="AA30" s="144">
        <v>0.13</v>
      </c>
      <c r="AB30" s="144">
        <v>0.28000000000000003</v>
      </c>
      <c r="AC30" s="144">
        <v>0.45750000000000002</v>
      </c>
      <c r="AD30" s="145">
        <f t="shared" si="0"/>
        <v>0.4375</v>
      </c>
    </row>
    <row r="31" spans="1:30" ht="18" customHeight="1" x14ac:dyDescent="0.25">
      <c r="A31" s="35" t="s">
        <v>45</v>
      </c>
      <c r="B31" s="35" t="s">
        <v>53</v>
      </c>
      <c r="C31" s="35"/>
      <c r="D31" s="172" t="s">
        <v>687</v>
      </c>
      <c r="E31" s="35" t="s">
        <v>688</v>
      </c>
      <c r="F31" s="162" t="s">
        <v>2106</v>
      </c>
      <c r="G31" s="35" t="s">
        <v>78</v>
      </c>
      <c r="H31" s="35" t="s">
        <v>66</v>
      </c>
      <c r="I31" s="35" t="s">
        <v>148</v>
      </c>
      <c r="J31" s="35" t="s">
        <v>689</v>
      </c>
      <c r="K31" s="35" t="s">
        <v>690</v>
      </c>
      <c r="L31" s="35" t="s">
        <v>53</v>
      </c>
      <c r="M31" s="35" t="s">
        <v>53</v>
      </c>
      <c r="N31" s="35" t="s">
        <v>53</v>
      </c>
      <c r="O31" s="35" t="s">
        <v>53</v>
      </c>
      <c r="P31" s="35" t="s">
        <v>691</v>
      </c>
      <c r="Q31" s="13" t="s">
        <v>61</v>
      </c>
      <c r="R31" s="35" t="s">
        <v>74</v>
      </c>
      <c r="S31" s="35" t="s">
        <v>692</v>
      </c>
      <c r="T31" s="35" t="s">
        <v>693</v>
      </c>
      <c r="U31" s="35" t="s">
        <v>694</v>
      </c>
      <c r="V31" s="37" t="s">
        <v>799</v>
      </c>
      <c r="W31" s="35" t="s">
        <v>695</v>
      </c>
      <c r="X31" s="35"/>
      <c r="Y31" s="144">
        <v>0.4</v>
      </c>
      <c r="Z31" s="144">
        <v>0.46</v>
      </c>
      <c r="AA31" s="144">
        <v>0.33</v>
      </c>
      <c r="AB31" s="144">
        <v>0.52</v>
      </c>
      <c r="AC31" s="144">
        <v>0.44</v>
      </c>
      <c r="AD31" s="145">
        <f t="shared" si="0"/>
        <v>0.43000000000000005</v>
      </c>
    </row>
    <row r="32" spans="1:30" ht="18" customHeight="1" x14ac:dyDescent="0.25">
      <c r="A32" s="35" t="s">
        <v>45</v>
      </c>
      <c r="B32" s="35" t="s">
        <v>45</v>
      </c>
      <c r="C32" s="35"/>
      <c r="D32" s="172" t="s">
        <v>755</v>
      </c>
      <c r="E32" s="35" t="s">
        <v>1139</v>
      </c>
      <c r="F32" s="162" t="s">
        <v>197</v>
      </c>
      <c r="G32" s="35" t="s">
        <v>72</v>
      </c>
      <c r="H32" s="35" t="s">
        <v>66</v>
      </c>
      <c r="I32" s="35" t="s">
        <v>756</v>
      </c>
      <c r="J32" s="35" t="s">
        <v>757</v>
      </c>
      <c r="K32" s="35" t="s">
        <v>758</v>
      </c>
      <c r="L32" s="35" t="s">
        <v>45</v>
      </c>
      <c r="M32" s="35" t="s">
        <v>252</v>
      </c>
      <c r="N32" s="35" t="s">
        <v>53</v>
      </c>
      <c r="O32" s="35" t="s">
        <v>53</v>
      </c>
      <c r="P32" s="35" t="s">
        <v>46</v>
      </c>
      <c r="Q32" s="13" t="s">
        <v>74</v>
      </c>
      <c r="R32" s="35" t="s">
        <v>74</v>
      </c>
      <c r="S32" s="35" t="s">
        <v>74</v>
      </c>
      <c r="T32" s="35" t="s">
        <v>53</v>
      </c>
      <c r="U32" s="35" t="s">
        <v>759</v>
      </c>
      <c r="V32" s="37" t="s">
        <v>801</v>
      </c>
      <c r="W32" s="128" t="s">
        <v>760</v>
      </c>
      <c r="X32" s="128"/>
      <c r="Y32" s="145">
        <v>0.35</v>
      </c>
      <c r="Z32" s="144">
        <v>0.38</v>
      </c>
      <c r="AA32" s="144">
        <v>0.36</v>
      </c>
      <c r="AB32" s="144">
        <v>0.64</v>
      </c>
      <c r="AC32" s="144">
        <v>0.42</v>
      </c>
      <c r="AD32" s="145">
        <f t="shared" si="0"/>
        <v>0.43</v>
      </c>
    </row>
    <row r="33" spans="1:30" ht="18" customHeight="1" x14ac:dyDescent="0.25">
      <c r="A33" s="35" t="s">
        <v>53</v>
      </c>
      <c r="B33" s="35" t="s">
        <v>45</v>
      </c>
      <c r="C33" s="35"/>
      <c r="D33" s="89" t="s">
        <v>1839</v>
      </c>
      <c r="E33" s="35" t="s">
        <v>1840</v>
      </c>
      <c r="F33" s="162" t="s">
        <v>2104</v>
      </c>
      <c r="G33" s="35" t="s">
        <v>81</v>
      </c>
      <c r="H33" s="35" t="s">
        <v>79</v>
      </c>
      <c r="I33" s="35" t="s">
        <v>148</v>
      </c>
      <c r="J33" s="35" t="s">
        <v>1841</v>
      </c>
      <c r="K33" s="35" t="s">
        <v>1842</v>
      </c>
      <c r="L33" s="35" t="s">
        <v>53</v>
      </c>
      <c r="M33" s="35" t="s">
        <v>552</v>
      </c>
      <c r="N33" s="92" t="s">
        <v>53</v>
      </c>
      <c r="O33" s="35" t="s">
        <v>552</v>
      </c>
      <c r="P33" s="35" t="s">
        <v>46</v>
      </c>
      <c r="Q33" s="13" t="s">
        <v>61</v>
      </c>
      <c r="R33" s="35" t="s">
        <v>69</v>
      </c>
      <c r="S33" s="35" t="s">
        <v>74</v>
      </c>
      <c r="T33" s="35" t="s">
        <v>53</v>
      </c>
      <c r="U33" s="35" t="s">
        <v>1843</v>
      </c>
      <c r="V33" s="37" t="s">
        <v>2112</v>
      </c>
      <c r="W33" s="35" t="s">
        <v>1844</v>
      </c>
      <c r="X33" s="128"/>
      <c r="Y33" s="145">
        <v>0.65</v>
      </c>
      <c r="Z33" s="144">
        <v>0.14000000000000001</v>
      </c>
      <c r="AA33" s="144">
        <v>0.17</v>
      </c>
      <c r="AB33" s="144">
        <v>0.6</v>
      </c>
      <c r="AC33" s="144">
        <v>0.39900000000000002</v>
      </c>
      <c r="AD33" s="145">
        <f t="shared" si="0"/>
        <v>0.39180000000000004</v>
      </c>
    </row>
    <row r="34" spans="1:30" ht="18" customHeight="1" x14ac:dyDescent="0.25">
      <c r="A34" s="35" t="s">
        <v>53</v>
      </c>
      <c r="B34" s="35" t="s">
        <v>45</v>
      </c>
      <c r="C34" s="35"/>
      <c r="D34" s="89" t="s">
        <v>1916</v>
      </c>
      <c r="E34" s="35" t="s">
        <v>1917</v>
      </c>
      <c r="F34" s="35" t="s">
        <v>1917</v>
      </c>
      <c r="G34" s="35" t="s">
        <v>72</v>
      </c>
      <c r="H34" s="35" t="s">
        <v>73</v>
      </c>
      <c r="I34" s="35" t="s">
        <v>148</v>
      </c>
      <c r="J34" s="35" t="s">
        <v>1918</v>
      </c>
      <c r="K34" s="35" t="s">
        <v>1919</v>
      </c>
      <c r="L34" s="35" t="s">
        <v>53</v>
      </c>
      <c r="M34" s="35" t="s">
        <v>552</v>
      </c>
      <c r="N34" s="92" t="s">
        <v>53</v>
      </c>
      <c r="O34" s="35" t="s">
        <v>552</v>
      </c>
      <c r="P34" s="35" t="s">
        <v>46</v>
      </c>
      <c r="Q34" s="13" t="s">
        <v>67</v>
      </c>
      <c r="R34" s="35" t="s">
        <v>67</v>
      </c>
      <c r="S34" s="35" t="s">
        <v>67</v>
      </c>
      <c r="T34" s="35" t="s">
        <v>53</v>
      </c>
      <c r="U34" s="35" t="s">
        <v>222</v>
      </c>
      <c r="V34" s="37" t="s">
        <v>2116</v>
      </c>
      <c r="W34" s="35" t="s">
        <v>1920</v>
      </c>
      <c r="X34" s="128"/>
      <c r="Y34" s="145">
        <v>0.4</v>
      </c>
      <c r="Z34" s="144">
        <v>0.34</v>
      </c>
      <c r="AA34" s="144">
        <v>0.32</v>
      </c>
      <c r="AB34" s="144">
        <v>0.48</v>
      </c>
      <c r="AC34" s="144">
        <v>0.37</v>
      </c>
      <c r="AD34" s="145">
        <f t="shared" si="0"/>
        <v>0.38200000000000001</v>
      </c>
    </row>
    <row r="35" spans="1:30" ht="18" customHeight="1" x14ac:dyDescent="0.25">
      <c r="A35" s="35" t="s">
        <v>53</v>
      </c>
      <c r="B35" s="35" t="s">
        <v>45</v>
      </c>
      <c r="C35" s="35"/>
      <c r="D35" s="89" t="s">
        <v>2572</v>
      </c>
      <c r="E35" s="35" t="s">
        <v>611</v>
      </c>
      <c r="F35" s="162" t="s">
        <v>611</v>
      </c>
      <c r="G35" s="35" t="s">
        <v>72</v>
      </c>
      <c r="H35" s="35" t="s">
        <v>59</v>
      </c>
      <c r="I35" s="35" t="s">
        <v>2569</v>
      </c>
      <c r="J35" s="35" t="s">
        <v>2570</v>
      </c>
      <c r="K35" s="35" t="s">
        <v>2571</v>
      </c>
      <c r="L35" s="35" t="s">
        <v>53</v>
      </c>
      <c r="M35" s="35" t="s">
        <v>552</v>
      </c>
      <c r="N35" s="35" t="s">
        <v>53</v>
      </c>
      <c r="O35" s="92" t="s">
        <v>552</v>
      </c>
      <c r="P35" s="35" t="s">
        <v>46</v>
      </c>
      <c r="Q35" s="13" t="s">
        <v>61</v>
      </c>
      <c r="R35" s="35" t="s">
        <v>2574</v>
      </c>
      <c r="S35" s="35" t="s">
        <v>74</v>
      </c>
      <c r="T35" s="35" t="s">
        <v>2575</v>
      </c>
      <c r="U35" s="35" t="s">
        <v>2573</v>
      </c>
      <c r="V35" s="37" t="s">
        <v>2596</v>
      </c>
      <c r="W35" s="35"/>
      <c r="X35" s="128"/>
      <c r="Y35" s="145">
        <v>0.33</v>
      </c>
      <c r="Z35" s="144">
        <v>0.34</v>
      </c>
      <c r="AA35" s="144">
        <v>0.05</v>
      </c>
      <c r="AB35" s="144">
        <v>0.59</v>
      </c>
      <c r="AC35" s="144">
        <v>0.34370000000000001</v>
      </c>
      <c r="AD35" s="145">
        <f t="shared" si="0"/>
        <v>0.33074000000000003</v>
      </c>
    </row>
    <row r="36" spans="1:30" ht="18" customHeight="1" x14ac:dyDescent="0.25">
      <c r="A36" s="35" t="s">
        <v>53</v>
      </c>
      <c r="B36" s="35" t="s">
        <v>45</v>
      </c>
      <c r="C36" s="35"/>
      <c r="D36" s="172" t="s">
        <v>196</v>
      </c>
      <c r="E36" s="35" t="s">
        <v>404</v>
      </c>
      <c r="F36" s="162" t="s">
        <v>197</v>
      </c>
      <c r="G36" s="35" t="s">
        <v>72</v>
      </c>
      <c r="H36" s="35" t="s">
        <v>52</v>
      </c>
      <c r="I36" s="35" t="s">
        <v>148</v>
      </c>
      <c r="J36" s="35" t="s">
        <v>198</v>
      </c>
      <c r="K36" s="35" t="s">
        <v>199</v>
      </c>
      <c r="L36" s="35" t="s">
        <v>53</v>
      </c>
      <c r="M36" s="35" t="s">
        <v>53</v>
      </c>
      <c r="N36" s="35" t="s">
        <v>53</v>
      </c>
      <c r="O36" s="35" t="s">
        <v>53</v>
      </c>
      <c r="P36" s="35" t="s">
        <v>46</v>
      </c>
      <c r="Q36" s="13" t="s">
        <v>61</v>
      </c>
      <c r="R36" s="35" t="s">
        <v>222</v>
      </c>
      <c r="S36" s="35" t="s">
        <v>222</v>
      </c>
      <c r="T36" s="35" t="s">
        <v>222</v>
      </c>
      <c r="U36" s="35" t="s">
        <v>222</v>
      </c>
      <c r="V36" s="37" t="s">
        <v>791</v>
      </c>
      <c r="W36" s="35" t="s">
        <v>222</v>
      </c>
      <c r="X36" s="35"/>
      <c r="Y36" s="144">
        <v>0.31</v>
      </c>
      <c r="Z36" s="144">
        <v>0.34</v>
      </c>
      <c r="AA36" s="144">
        <v>0</v>
      </c>
      <c r="AB36" s="144">
        <v>0.66</v>
      </c>
      <c r="AC36" s="144">
        <v>0.32</v>
      </c>
      <c r="AD36" s="145">
        <f t="shared" si="0"/>
        <v>0.32600000000000001</v>
      </c>
    </row>
    <row r="37" spans="1:30" ht="18" customHeight="1" x14ac:dyDescent="0.25">
      <c r="A37" s="35" t="s">
        <v>53</v>
      </c>
      <c r="B37" s="35" t="s">
        <v>45</v>
      </c>
      <c r="C37" s="35"/>
      <c r="D37" s="89" t="s">
        <v>1892</v>
      </c>
      <c r="E37" s="35" t="s">
        <v>688</v>
      </c>
      <c r="F37" s="35" t="s">
        <v>2114</v>
      </c>
      <c r="G37" s="35" t="s">
        <v>81</v>
      </c>
      <c r="H37" s="35" t="s">
        <v>79</v>
      </c>
      <c r="I37" s="35" t="s">
        <v>1893</v>
      </c>
      <c r="J37" s="35" t="s">
        <v>1894</v>
      </c>
      <c r="K37" s="35" t="s">
        <v>1895</v>
      </c>
      <c r="L37" s="35" t="s">
        <v>53</v>
      </c>
      <c r="M37" s="35" t="s">
        <v>552</v>
      </c>
      <c r="N37" s="92" t="s">
        <v>53</v>
      </c>
      <c r="O37" s="35" t="s">
        <v>552</v>
      </c>
      <c r="P37" s="35" t="s">
        <v>60</v>
      </c>
      <c r="Q37" s="13" t="s">
        <v>55</v>
      </c>
      <c r="R37" s="35" t="s">
        <v>1898</v>
      </c>
      <c r="S37" s="35" t="s">
        <v>1897</v>
      </c>
      <c r="T37" s="35" t="s">
        <v>1896</v>
      </c>
      <c r="U37" s="35" t="s">
        <v>655</v>
      </c>
      <c r="V37" s="37" t="s">
        <v>2115</v>
      </c>
      <c r="W37" s="35" t="s">
        <v>1899</v>
      </c>
      <c r="X37" s="128"/>
      <c r="Y37" s="145">
        <v>0.65</v>
      </c>
      <c r="Z37" s="144">
        <v>0.34</v>
      </c>
      <c r="AA37" s="144">
        <v>0.28999999999999998</v>
      </c>
      <c r="AB37" s="144">
        <v>0</v>
      </c>
      <c r="AC37" s="144">
        <v>0.34799999999999998</v>
      </c>
      <c r="AD37" s="145">
        <f t="shared" si="0"/>
        <v>0.3256</v>
      </c>
    </row>
    <row r="38" spans="1:30" ht="18" customHeight="1" x14ac:dyDescent="0.25">
      <c r="A38" s="35" t="s">
        <v>53</v>
      </c>
      <c r="B38" s="35" t="s">
        <v>45</v>
      </c>
      <c r="C38" s="35"/>
      <c r="D38" s="89" t="s">
        <v>1857</v>
      </c>
      <c r="E38" s="35" t="s">
        <v>404</v>
      </c>
      <c r="F38" s="35" t="s">
        <v>2105</v>
      </c>
      <c r="G38" s="35" t="s">
        <v>72</v>
      </c>
      <c r="H38" s="35" t="s">
        <v>79</v>
      </c>
      <c r="I38" s="35" t="s">
        <v>1859</v>
      </c>
      <c r="J38" s="35" t="s">
        <v>1860</v>
      </c>
      <c r="K38" s="35" t="s">
        <v>1861</v>
      </c>
      <c r="L38" s="35" t="s">
        <v>53</v>
      </c>
      <c r="M38" s="35" t="s">
        <v>552</v>
      </c>
      <c r="N38" s="92" t="s">
        <v>53</v>
      </c>
      <c r="O38" s="35" t="s">
        <v>552</v>
      </c>
      <c r="P38" s="35" t="s">
        <v>60</v>
      </c>
      <c r="Q38" s="13" t="s">
        <v>47</v>
      </c>
      <c r="R38" s="35" t="s">
        <v>74</v>
      </c>
      <c r="S38" s="35" t="s">
        <v>1863</v>
      </c>
      <c r="T38" s="35" t="s">
        <v>45</v>
      </c>
      <c r="U38" s="35" t="s">
        <v>1862</v>
      </c>
      <c r="V38" s="37" t="s">
        <v>2113</v>
      </c>
      <c r="W38" s="35" t="s">
        <v>97</v>
      </c>
      <c r="X38" s="128"/>
      <c r="Y38" s="145">
        <v>0</v>
      </c>
      <c r="Z38" s="144">
        <v>0.32</v>
      </c>
      <c r="AA38" s="144">
        <v>0.38</v>
      </c>
      <c r="AB38" s="144">
        <v>0.52</v>
      </c>
      <c r="AC38" s="144">
        <v>0.34300000000000003</v>
      </c>
      <c r="AD38" s="145">
        <f t="shared" si="0"/>
        <v>0.31259999999999999</v>
      </c>
    </row>
    <row r="39" spans="1:30" ht="18" customHeight="1" x14ac:dyDescent="0.25">
      <c r="A39" s="35" t="s">
        <v>45</v>
      </c>
      <c r="B39" s="35" t="s">
        <v>53</v>
      </c>
      <c r="C39" s="35"/>
      <c r="D39" s="137" t="s">
        <v>807</v>
      </c>
      <c r="E39" s="35" t="s">
        <v>945</v>
      </c>
      <c r="F39" s="35" t="s">
        <v>660</v>
      </c>
      <c r="G39" s="35" t="s">
        <v>84</v>
      </c>
      <c r="H39" s="35" t="s">
        <v>73</v>
      </c>
      <c r="I39" s="35" t="s">
        <v>148</v>
      </c>
      <c r="J39" s="35" t="s">
        <v>661</v>
      </c>
      <c r="K39" s="35" t="s">
        <v>662</v>
      </c>
      <c r="L39" s="35" t="s">
        <v>45</v>
      </c>
      <c r="M39" s="35" t="s">
        <v>663</v>
      </c>
      <c r="N39" s="35" t="s">
        <v>53</v>
      </c>
      <c r="O39" s="35" t="s">
        <v>53</v>
      </c>
      <c r="P39" s="35" t="s">
        <v>60</v>
      </c>
      <c r="Q39" s="13" t="s">
        <v>664</v>
      </c>
      <c r="R39" s="35" t="s">
        <v>69</v>
      </c>
      <c r="S39" s="35" t="s">
        <v>74</v>
      </c>
      <c r="T39" s="35" t="s">
        <v>45</v>
      </c>
      <c r="U39" s="35" t="s">
        <v>655</v>
      </c>
      <c r="V39" s="37" t="s">
        <v>798</v>
      </c>
      <c r="W39" s="128" t="s">
        <v>686</v>
      </c>
      <c r="X39" s="128"/>
      <c r="Y39" s="145">
        <v>0.55000000000000004</v>
      </c>
      <c r="Z39" s="144">
        <v>0.38</v>
      </c>
      <c r="AA39" s="144">
        <v>0.28999999999999998</v>
      </c>
      <c r="AB39" s="144">
        <v>0</v>
      </c>
      <c r="AC39" s="144">
        <v>0.32</v>
      </c>
      <c r="AD39" s="145">
        <f t="shared" si="0"/>
        <v>0.308</v>
      </c>
    </row>
    <row r="40" spans="1:30" ht="18" customHeight="1" x14ac:dyDescent="0.25">
      <c r="A40" s="35" t="s">
        <v>45</v>
      </c>
      <c r="B40" s="35" t="s">
        <v>53</v>
      </c>
      <c r="C40" s="91"/>
      <c r="D40" s="89" t="s">
        <v>1824</v>
      </c>
      <c r="E40" s="35" t="s">
        <v>252</v>
      </c>
      <c r="F40" s="35" t="s">
        <v>2102</v>
      </c>
      <c r="G40" s="35" t="s">
        <v>81</v>
      </c>
      <c r="H40" s="35" t="s">
        <v>73</v>
      </c>
      <c r="I40" s="35" t="s">
        <v>756</v>
      </c>
      <c r="J40" s="35" t="s">
        <v>1825</v>
      </c>
      <c r="K40" s="35" t="s">
        <v>1826</v>
      </c>
      <c r="L40" s="35" t="s">
        <v>45</v>
      </c>
      <c r="M40" s="35" t="s">
        <v>1827</v>
      </c>
      <c r="N40" s="92" t="s">
        <v>53</v>
      </c>
      <c r="O40" s="35" t="s">
        <v>552</v>
      </c>
      <c r="P40" s="35" t="s">
        <v>60</v>
      </c>
      <c r="Q40" s="35" t="s">
        <v>74</v>
      </c>
      <c r="R40" s="35" t="s">
        <v>48</v>
      </c>
      <c r="S40" s="13" t="s">
        <v>74</v>
      </c>
      <c r="T40" s="35" t="s">
        <v>53</v>
      </c>
      <c r="U40" s="35" t="s">
        <v>1828</v>
      </c>
      <c r="V40" s="36" t="s">
        <v>2111</v>
      </c>
      <c r="W40" s="35" t="s">
        <v>1829</v>
      </c>
      <c r="X40" s="128"/>
      <c r="Y40" s="145">
        <v>0.5</v>
      </c>
      <c r="Z40" s="144">
        <v>0.57999999999999996</v>
      </c>
      <c r="AA40" s="144">
        <v>0</v>
      </c>
      <c r="AB40" s="144">
        <v>0</v>
      </c>
      <c r="AC40" s="144">
        <v>0.29899999999999999</v>
      </c>
      <c r="AD40" s="145">
        <f t="shared" si="0"/>
        <v>0.27579999999999999</v>
      </c>
    </row>
    <row r="41" spans="1:30" ht="18" customHeight="1" x14ac:dyDescent="0.25">
      <c r="A41" s="35" t="s">
        <v>53</v>
      </c>
      <c r="B41" s="35" t="s">
        <v>45</v>
      </c>
      <c r="C41" s="90"/>
      <c r="D41" s="89" t="s">
        <v>2554</v>
      </c>
      <c r="E41" s="35" t="s">
        <v>611</v>
      </c>
      <c r="F41" s="35" t="s">
        <v>611</v>
      </c>
      <c r="G41" s="35" t="s">
        <v>78</v>
      </c>
      <c r="H41" s="35" t="s">
        <v>66</v>
      </c>
      <c r="I41" s="35" t="s">
        <v>2555</v>
      </c>
      <c r="J41" s="35" t="s">
        <v>2556</v>
      </c>
      <c r="K41" s="35" t="s">
        <v>2557</v>
      </c>
      <c r="L41" s="35" t="s">
        <v>53</v>
      </c>
      <c r="M41" s="35" t="s">
        <v>552</v>
      </c>
      <c r="N41" s="35" t="s">
        <v>45</v>
      </c>
      <c r="O41" s="35" t="s">
        <v>2558</v>
      </c>
      <c r="P41" s="92" t="s">
        <v>54</v>
      </c>
      <c r="Q41" s="35" t="s">
        <v>67</v>
      </c>
      <c r="R41" s="13" t="s">
        <v>2560</v>
      </c>
      <c r="S41" s="35" t="s">
        <v>74</v>
      </c>
      <c r="T41" s="35" t="s">
        <v>53</v>
      </c>
      <c r="U41" s="35" t="s">
        <v>1793</v>
      </c>
      <c r="V41" s="37" t="s">
        <v>2568</v>
      </c>
      <c r="W41" s="35" t="s">
        <v>2559</v>
      </c>
      <c r="X41" s="128"/>
      <c r="Y41" s="145">
        <v>0.4</v>
      </c>
      <c r="Z41" s="144">
        <v>0.48</v>
      </c>
      <c r="AA41" s="144">
        <v>0.13</v>
      </c>
      <c r="AB41" s="144">
        <v>0</v>
      </c>
      <c r="AC41" s="144">
        <v>0.318</v>
      </c>
      <c r="AD41" s="145">
        <f t="shared" si="0"/>
        <v>0.2656</v>
      </c>
    </row>
    <row r="42" spans="1:30" ht="18" customHeight="1" x14ac:dyDescent="0.25">
      <c r="A42" s="35" t="s">
        <v>53</v>
      </c>
      <c r="B42" s="35" t="s">
        <v>45</v>
      </c>
      <c r="C42" s="91"/>
      <c r="D42" s="172" t="s">
        <v>468</v>
      </c>
      <c r="E42" s="35" t="s">
        <v>549</v>
      </c>
      <c r="F42" s="162" t="s">
        <v>226</v>
      </c>
      <c r="G42" s="35" t="s">
        <v>58</v>
      </c>
      <c r="H42" s="35" t="s">
        <v>52</v>
      </c>
      <c r="I42" s="35" t="s">
        <v>148</v>
      </c>
      <c r="J42" s="35" t="s">
        <v>224</v>
      </c>
      <c r="K42" s="35" t="s">
        <v>225</v>
      </c>
      <c r="L42" s="35" t="s">
        <v>53</v>
      </c>
      <c r="M42" s="35" t="s">
        <v>53</v>
      </c>
      <c r="N42" s="35" t="s">
        <v>53</v>
      </c>
      <c r="O42" s="35" t="s">
        <v>53</v>
      </c>
      <c r="P42" s="35" t="s">
        <v>46</v>
      </c>
      <c r="Q42" s="35" t="s">
        <v>222</v>
      </c>
      <c r="R42" s="35" t="s">
        <v>222</v>
      </c>
      <c r="S42" s="35" t="s">
        <v>222</v>
      </c>
      <c r="T42" s="35" t="s">
        <v>222</v>
      </c>
      <c r="U42" s="35" t="s">
        <v>222</v>
      </c>
      <c r="V42" s="171" t="s">
        <v>792</v>
      </c>
      <c r="W42" s="35" t="s">
        <v>227</v>
      </c>
      <c r="X42" s="35"/>
      <c r="Y42" s="144">
        <v>0.06</v>
      </c>
      <c r="Z42" s="144">
        <v>0.12</v>
      </c>
      <c r="AA42" s="144">
        <v>0.19</v>
      </c>
      <c r="AB42" s="144">
        <v>0</v>
      </c>
      <c r="AC42" s="144">
        <v>0.09</v>
      </c>
      <c r="AD42" s="145">
        <f t="shared" si="0"/>
        <v>9.1999999999999998E-2</v>
      </c>
    </row>
    <row r="43" spans="1:30" ht="18" customHeight="1" x14ac:dyDescent="0.25">
      <c r="A43" s="35"/>
      <c r="B43" s="35"/>
      <c r="C43" s="35"/>
      <c r="D43" s="35"/>
      <c r="E43" s="35"/>
      <c r="F43" s="35"/>
      <c r="G43" s="35"/>
      <c r="H43" s="35"/>
      <c r="I43" s="35"/>
      <c r="J43" s="35"/>
      <c r="K43" s="35"/>
      <c r="L43" s="35"/>
      <c r="M43" s="35"/>
      <c r="N43" s="92"/>
      <c r="O43" s="35"/>
      <c r="P43" s="35"/>
      <c r="Q43" s="13"/>
      <c r="R43" s="35"/>
      <c r="S43" s="35"/>
      <c r="T43" s="35"/>
      <c r="U43" s="35"/>
      <c r="V43" s="37"/>
      <c r="W43" s="35"/>
      <c r="X43" s="128"/>
      <c r="Y43" s="145"/>
      <c r="Z43" s="145"/>
      <c r="AA43" s="145"/>
      <c r="AB43" s="144"/>
      <c r="AC43" s="145"/>
    </row>
    <row r="44" spans="1:30" ht="18" customHeight="1" x14ac:dyDescent="0.25">
      <c r="A44" s="35"/>
      <c r="B44" s="35"/>
      <c r="C44" s="35"/>
      <c r="D44" s="35"/>
      <c r="E44" s="35"/>
      <c r="F44" s="35"/>
      <c r="G44" s="35"/>
      <c r="H44" s="35"/>
      <c r="I44" s="35"/>
      <c r="J44" s="35"/>
      <c r="K44" s="35"/>
      <c r="L44" s="35"/>
      <c r="M44" s="35"/>
      <c r="N44" s="92"/>
      <c r="O44" s="35"/>
      <c r="P44" s="35"/>
      <c r="Q44" s="13"/>
      <c r="R44" s="35"/>
      <c r="S44" s="35"/>
      <c r="T44" s="35"/>
      <c r="U44" s="35"/>
      <c r="V44" s="37"/>
      <c r="W44" s="35"/>
      <c r="X44" s="128"/>
      <c r="Y44" s="145"/>
      <c r="Z44" s="145"/>
      <c r="AA44" s="145"/>
      <c r="AB44" s="145"/>
      <c r="AC44" s="145"/>
    </row>
    <row r="45" spans="1:30" ht="18" customHeight="1" x14ac:dyDescent="0.25">
      <c r="A45" s="35"/>
      <c r="B45" s="35"/>
      <c r="C45" s="35"/>
      <c r="D45" s="35"/>
      <c r="E45" s="35"/>
      <c r="F45" s="35"/>
      <c r="G45" s="35"/>
      <c r="H45" s="35"/>
      <c r="I45" s="35"/>
      <c r="J45" s="35"/>
      <c r="K45" s="35"/>
      <c r="L45" s="35"/>
      <c r="M45" s="35"/>
      <c r="N45" s="92"/>
      <c r="O45" s="35"/>
      <c r="P45" s="35"/>
      <c r="Q45" s="13"/>
      <c r="R45" s="35"/>
      <c r="S45" s="35"/>
      <c r="T45" s="35"/>
      <c r="U45" s="35"/>
      <c r="V45" s="37"/>
      <c r="W45" s="35"/>
      <c r="X45" s="128"/>
      <c r="Y45" s="145"/>
      <c r="Z45" s="145"/>
      <c r="AA45" s="145"/>
      <c r="AB45" s="145"/>
      <c r="AC45" s="145"/>
    </row>
    <row r="46" spans="1:30" ht="18" customHeight="1" x14ac:dyDescent="0.25">
      <c r="A46" s="35"/>
      <c r="B46" s="35"/>
      <c r="C46" s="35"/>
      <c r="D46" s="35"/>
      <c r="E46" s="35"/>
      <c r="F46" s="35"/>
      <c r="G46" s="35"/>
      <c r="H46" s="35"/>
      <c r="I46" s="35"/>
      <c r="J46" s="35"/>
      <c r="K46" s="35"/>
      <c r="L46" s="35"/>
      <c r="M46" s="35"/>
      <c r="N46" s="92"/>
      <c r="O46" s="35"/>
      <c r="P46" s="35"/>
      <c r="Q46" s="13"/>
      <c r="R46" s="35"/>
      <c r="S46" s="35"/>
      <c r="T46" s="35"/>
      <c r="U46" s="35"/>
      <c r="V46" s="37"/>
      <c r="W46" s="35"/>
      <c r="X46" s="128"/>
      <c r="Y46" s="145"/>
      <c r="Z46" s="145"/>
      <c r="AA46" s="145"/>
      <c r="AB46" s="145"/>
      <c r="AC46" s="145"/>
    </row>
    <row r="47" spans="1:30" ht="18" customHeight="1" x14ac:dyDescent="0.25">
      <c r="A47" s="35"/>
      <c r="B47" s="35"/>
      <c r="C47" s="35"/>
      <c r="D47" s="35"/>
      <c r="E47" s="35"/>
      <c r="F47" s="35"/>
      <c r="G47" s="35"/>
      <c r="H47" s="35"/>
      <c r="I47" s="35"/>
      <c r="J47" s="35"/>
      <c r="K47" s="35"/>
      <c r="L47" s="35"/>
      <c r="M47" s="35"/>
      <c r="N47" s="92"/>
      <c r="O47" s="35"/>
      <c r="P47" s="35"/>
      <c r="Q47" s="13"/>
      <c r="R47" s="35"/>
      <c r="S47" s="35"/>
      <c r="T47" s="35"/>
      <c r="U47" s="35"/>
      <c r="V47" s="37"/>
      <c r="W47" s="35"/>
      <c r="X47" s="128"/>
      <c r="Y47" s="145"/>
      <c r="Z47" s="145"/>
      <c r="AA47" s="145"/>
      <c r="AB47" s="145"/>
      <c r="AC47" s="145"/>
    </row>
    <row r="48" spans="1:30" ht="18" customHeight="1" x14ac:dyDescent="0.25">
      <c r="A48" s="35"/>
      <c r="B48" s="35"/>
      <c r="C48" s="35"/>
      <c r="D48" s="35"/>
      <c r="E48" s="35"/>
      <c r="F48" s="35"/>
      <c r="G48" s="35"/>
      <c r="H48" s="35"/>
      <c r="I48" s="35"/>
      <c r="J48" s="35"/>
      <c r="K48" s="35"/>
      <c r="L48" s="35"/>
      <c r="M48" s="35"/>
      <c r="N48" s="92"/>
      <c r="O48" s="35"/>
      <c r="P48" s="35"/>
      <c r="Q48" s="13"/>
      <c r="R48" s="35"/>
      <c r="S48" s="35"/>
      <c r="T48" s="35"/>
      <c r="U48" s="35"/>
      <c r="V48" s="37"/>
      <c r="W48" s="35"/>
      <c r="X48" s="128"/>
      <c r="Y48" s="145"/>
      <c r="Z48" s="145"/>
      <c r="AA48" s="145"/>
      <c r="AB48" s="145"/>
      <c r="AC48" s="145"/>
    </row>
    <row r="49" spans="1:29" ht="18" customHeight="1" x14ac:dyDescent="0.25">
      <c r="A49" s="35"/>
      <c r="B49" s="35"/>
      <c r="C49" s="35"/>
      <c r="D49" s="35"/>
      <c r="E49" s="35"/>
      <c r="F49" s="35"/>
      <c r="G49" s="35"/>
      <c r="H49" s="35"/>
      <c r="I49" s="35"/>
      <c r="J49" s="35"/>
      <c r="K49" s="35"/>
      <c r="L49" s="35"/>
      <c r="M49" s="35"/>
      <c r="N49" s="92"/>
      <c r="O49" s="35"/>
      <c r="P49" s="35"/>
      <c r="Q49" s="13"/>
      <c r="R49" s="35"/>
      <c r="S49" s="35"/>
      <c r="T49" s="35"/>
      <c r="U49" s="35"/>
      <c r="V49" s="37"/>
      <c r="W49" s="35"/>
      <c r="X49" s="128"/>
      <c r="Y49" s="145"/>
      <c r="Z49" s="145"/>
      <c r="AA49" s="145"/>
      <c r="AB49" s="145"/>
      <c r="AC49" s="145"/>
    </row>
    <row r="50" spans="1:29" ht="18" customHeight="1" x14ac:dyDescent="0.25">
      <c r="A50" s="35"/>
      <c r="B50" s="35"/>
      <c r="C50" s="35"/>
      <c r="D50" s="35"/>
      <c r="E50" s="35"/>
      <c r="F50" s="35"/>
      <c r="G50" s="35"/>
      <c r="H50" s="35"/>
      <c r="I50" s="35"/>
      <c r="J50" s="35"/>
      <c r="K50" s="35"/>
      <c r="L50" s="35"/>
      <c r="M50" s="35"/>
      <c r="N50" s="92"/>
      <c r="O50" s="35"/>
      <c r="P50" s="35"/>
      <c r="Q50" s="13"/>
      <c r="R50" s="35"/>
      <c r="S50" s="35"/>
      <c r="T50" s="35"/>
      <c r="U50" s="35"/>
      <c r="V50" s="37"/>
      <c r="W50" s="35"/>
      <c r="X50" s="128"/>
      <c r="Y50" s="145"/>
      <c r="Z50" s="145"/>
      <c r="AA50" s="145"/>
      <c r="AB50" s="145"/>
      <c r="AC50" s="145"/>
    </row>
  </sheetData>
  <autoFilter ref="A1:AD42" xr:uid="{140B79CB-79E0-4B28-8A5E-020A0B77E35E}">
    <sortState xmlns:xlrd2="http://schemas.microsoft.com/office/spreadsheetml/2017/richdata2" ref="A2:AD42">
      <sortCondition descending="1" ref="AD1:AD42"/>
    </sortState>
  </autoFilter>
  <conditionalFormatting sqref="Y24">
    <cfRule type="colorScale" priority="8">
      <colorScale>
        <cfvo type="min"/>
        <cfvo type="percentile" val="50"/>
        <cfvo type="max"/>
        <color rgb="FF63BE7B"/>
        <color rgb="FFFFEB84"/>
        <color rgb="FFF8696B"/>
      </colorScale>
    </cfRule>
  </conditionalFormatting>
  <conditionalFormatting sqref="Y25">
    <cfRule type="colorScale" priority="7">
      <colorScale>
        <cfvo type="min"/>
        <cfvo type="percentile" val="50"/>
        <cfvo type="max"/>
        <color rgb="FF63BE7B"/>
        <color rgb="FFFFEB84"/>
        <color rgb="FFF8696B"/>
      </colorScale>
    </cfRule>
  </conditionalFormatting>
  <conditionalFormatting sqref="Y26">
    <cfRule type="colorScale" priority="6">
      <colorScale>
        <cfvo type="min"/>
        <cfvo type="percentile" val="50"/>
        <cfvo type="max"/>
        <color rgb="FF63BE7B"/>
        <color rgb="FFFFEB84"/>
        <color rgb="FFF8696B"/>
      </colorScale>
    </cfRule>
  </conditionalFormatting>
  <conditionalFormatting sqref="Y27">
    <cfRule type="colorScale" priority="5">
      <colorScale>
        <cfvo type="min"/>
        <cfvo type="percentile" val="50"/>
        <cfvo type="max"/>
        <color rgb="FF63BE7B"/>
        <color rgb="FFFFEB84"/>
        <color rgb="FFF8696B"/>
      </colorScale>
    </cfRule>
  </conditionalFormatting>
  <conditionalFormatting sqref="Y28:Y38">
    <cfRule type="colorScale" priority="20">
      <colorScale>
        <cfvo type="min"/>
        <cfvo type="percentile" val="50"/>
        <cfvo type="max"/>
        <color rgb="FF63BE7B"/>
        <color rgb="FFFFEB84"/>
        <color rgb="FFF8696B"/>
      </colorScale>
    </cfRule>
  </conditionalFormatting>
  <conditionalFormatting sqref="Y2:AC2 Y3:Y23 Z3:AC42">
    <cfRule type="colorScale" priority="10">
      <colorScale>
        <cfvo type="min"/>
        <cfvo type="percentile" val="50"/>
        <cfvo type="max"/>
        <color rgb="FF63BE7B"/>
        <color rgb="FFFFEB84"/>
        <color rgb="FFF8696B"/>
      </colorScale>
    </cfRule>
  </conditionalFormatting>
  <conditionalFormatting sqref="Y44:AC50 Y43:AA43 AC43 Y39:Y42">
    <cfRule type="colorScale" priority="3">
      <colorScale>
        <cfvo type="min"/>
        <cfvo type="percentile" val="50"/>
        <cfvo type="max"/>
        <color rgb="FF63BE7B"/>
        <color rgb="FFFFEB84"/>
        <color rgb="FFF8696B"/>
      </colorScale>
    </cfRule>
  </conditionalFormatting>
  <conditionalFormatting sqref="AB43">
    <cfRule type="colorScale" priority="1">
      <colorScale>
        <cfvo type="min"/>
        <cfvo type="percentile" val="50"/>
        <cfvo type="max"/>
        <color rgb="FF63BE7B"/>
        <color rgb="FFFFEB84"/>
        <color rgb="FFF8696B"/>
      </colorScale>
    </cfRule>
  </conditionalFormatting>
  <conditionalFormatting sqref="AD2:AD42">
    <cfRule type="colorScale" priority="2">
      <colorScale>
        <cfvo type="min"/>
        <cfvo type="percentile" val="50"/>
        <cfvo type="max"/>
        <color rgb="FF63BE7B"/>
        <color rgb="FFFFEB84"/>
        <color rgb="FFF8696B"/>
      </colorScale>
    </cfRule>
  </conditionalFormatting>
  <hyperlinks>
    <hyperlink ref="V36" r:id="rId1" location="Accounts/143ad234-59ee-11ed-966a-02ae981fbade" xr:uid="{2A19D0EB-8A81-4201-91FA-3748AD412E65}"/>
    <hyperlink ref="V42" r:id="rId2" location="Accounts/156c9408-cabc-11ea-bd4e-022c40d974e6" xr:uid="{8B52756A-B552-4D2E-A046-FE7588C44364}"/>
    <hyperlink ref="V9" r:id="rId3" location="Accounts/790f7276-d525-11ec-82d9-0630baf9dcb8" xr:uid="{F042631D-B7D9-4944-BFEF-DF40EB4FAF98}"/>
    <hyperlink ref="V19" r:id="rId4" location="Accounts/40f92a0e-dacd-11ed-a4b5-02b0ee514bc7" xr:uid="{BA6A9179-32E8-43D2-A992-A85871CD7958}"/>
    <hyperlink ref="V25" r:id="rId5" location="Accounts/68d368fe-fd33-11e8-bfe1-069e4f790264" xr:uid="{7CA5D68A-D835-4CAC-AA78-CB1144D8050B}"/>
    <hyperlink ref="V18" r:id="rId6" location="Accounts/78e76ff4-ec36-11e9-83a8-02ae981fbade" xr:uid="{79A93D37-5578-4F87-AFD3-A3C1320A4154}"/>
    <hyperlink ref="V24" r:id="rId7" location="Accounts/609cf0e2-fd33-11e8-8df8-069e4f790264" xr:uid="{D9B76230-EB0D-455B-9DAD-20831A85FB0B}"/>
    <hyperlink ref="V39" r:id="rId8" location="Accounts/6e2ff948-fd33-11e8-8fe4-069e4f790264" xr:uid="{26DFE8DC-4D70-44DA-A27E-6529E7A23D7A}"/>
    <hyperlink ref="V31" r:id="rId9" location="Accounts/f152ba68-7090-11eb-85fa-02ae981fbade" xr:uid="{56A8A419-3B50-4432-9CEB-F010487A6881}"/>
    <hyperlink ref="V15" r:id="rId10" location="Accounts/6b04d572-fd33-11e8-9d19-069e4f790264" xr:uid="{DEDAD461-7B83-46DC-9710-B85AA38A4E50}"/>
    <hyperlink ref="V32" r:id="rId11" location="Accounts/b814ffd0-d4c0-11e9-9851-02ae981fbade" xr:uid="{490DACF2-57C8-4392-AE56-F4A0F064E91D}"/>
    <hyperlink ref="V28" r:id="rId12" location="Accounts/22c8b196-e969-11eb-b7a5-02ae981fbade" xr:uid="{83324F88-DE62-405A-8B79-62907C51BF66}"/>
    <hyperlink ref="V21" r:id="rId13" location="Accounts/4ac1e826-0318-11eb-a187-0630baf9dcb8" xr:uid="{148A00D6-E621-4BC7-AF66-3B33496C946C}"/>
    <hyperlink ref="V13" r:id="rId14" location="Accounts/4d9673d4-7f18-11ea-b667-0630baf9dcb8" xr:uid="{FF537AF6-AB93-4A48-90F4-EF99ED56BF36}"/>
    <hyperlink ref="V5" r:id="rId15" location="Accounts/9ab870fc-1092-11eb-a5c1-0630baf9dcb8" xr:uid="{63DF864C-42A1-47B9-BCAE-513702BAD663}"/>
    <hyperlink ref="V6" r:id="rId16" location="Accounts/8814a070-fd33-11e8-be2d-069e4f790264" xr:uid="{99C67E9B-3CE5-42AF-9129-9227ACD3CE22}"/>
    <hyperlink ref="V17" r:id="rId17" location="Accounts/611d3ffe-fd33-11e8-85d7-069e4f790264" xr:uid="{491E1C5F-AC4A-4931-B9A0-4301A23A78BA}"/>
    <hyperlink ref="V10" r:id="rId18" location="Accounts/cf46047a-3916-11ed-ac68-069e4f790264" xr:uid="{A67DB8EC-A64C-4112-806C-26C1F3F6D274}"/>
    <hyperlink ref="V4" r:id="rId19" location="Accounts/a7ef451a-1fff-11ed-88c9-069e4f790264" xr:uid="{AE71D703-5FBB-48A1-9926-5FF456BC82A5}"/>
    <hyperlink ref="V12" r:id="rId20" location="Accounts/ab2af882-1f45-11e9-b319-022c40d974e6" xr:uid="{885C5C5E-1629-4A5D-A7B3-FBE1AC375B1C}"/>
    <hyperlink ref="V3" r:id="rId21" location="Accounts/744fdb72-fd33-11e8-b594-069e4f790264" xr:uid="{1FA8B733-E1F4-4A44-9595-AAF4E754DDE5}"/>
    <hyperlink ref="V8" r:id="rId22" location="Accounts/88bd2230-ec3c-11ec-854a-022c40d974e6" xr:uid="{B4CE2B52-4E80-4E59-8233-E9CD1030344F}"/>
    <hyperlink ref="V14" r:id="rId23" location="Accounts/8375b0ea-fd33-11e8-aecf-069e4f790264" xr:uid="{F6139A5F-543E-4684-8464-DB753FD40BA2}"/>
    <hyperlink ref="V22" r:id="rId24" location="Accounts/5c0f3896-cef8-11ed-bab6-02ae981fbade" xr:uid="{8B5C01E0-92DF-476E-B3B8-99C62AF43BC3}"/>
    <hyperlink ref="V11" r:id="rId25" location="Accounts/9338871e-fd33-11e8-848c-069e4f790264" xr:uid="{316F0777-CC0C-40DE-9315-D54811392EF0}"/>
    <hyperlink ref="V26" r:id="rId26" location="Accounts/a92208be-c99f-11e9-aba9-02ae981fbade" xr:uid="{A707BE8C-0A72-4820-B07E-5DF5DB8EEEBE}"/>
    <hyperlink ref="V29" r:id="rId27" location="Accounts/760fad84-fd33-11e8-a58a-069e4f790264" xr:uid="{5EA3E30B-5C6A-43DA-B1E1-D156069A080C}"/>
    <hyperlink ref="V40" r:id="rId28" location="Accounts/6af1426e-fd33-11e8-a380-069e4f790264" xr:uid="{D74DFDD8-2296-4023-A148-E3E2036DE411}"/>
    <hyperlink ref="V33" r:id="rId29" location="Accounts/5d9128c8-fd33-11e8-9ced-069e4f790264" xr:uid="{AC7AF9B9-BE14-4716-AD2C-A94A60E1298B}"/>
    <hyperlink ref="V38" r:id="rId30" location="Accounts/dbfe325a-1a5d-11ed-8d81-02b0ee514bc7" xr:uid="{4A387673-9A9F-4CBC-B854-440353D25941}"/>
    <hyperlink ref="V37" r:id="rId31" location="Accounts/9d779a5a-bf61-11ec-9be4-022c40d974e6" xr:uid="{1CA52327-9376-443E-822A-D2B7B0F6571A}"/>
    <hyperlink ref="V34" r:id="rId32" location="Accounts/832df78c-fd33-11e8-987d-069e4f790264" xr:uid="{9FD83995-E7B2-4DC9-8827-6F2ED97923D0}"/>
    <hyperlink ref="V2" r:id="rId33" location="Accounts/8bb0fbde-fd33-11e8-b77b-069e4f790264" xr:uid="{0C20E676-408E-47EF-AE10-CC20D6296E10}"/>
    <hyperlink ref="V7" r:id="rId34" location="Accounts/c479eda2-464b-11e9-9c4b-02ae981fbade" xr:uid="{63740FDD-3687-4BF2-9C8A-CE209954E812}"/>
    <hyperlink ref="V30" r:id="rId35" location="Accounts/34a3f15a-387c-11ee-ba6d-02b0ee514bc7" xr:uid="{B20F8873-0768-43A2-B3C2-E9CBB23372AD}"/>
    <hyperlink ref="V16" r:id="rId36" location="Accounts/8c0315fe-fd33-11e8-a047-069e4f790264" xr:uid="{65FE5E72-EDAB-4AE5-BA6E-FA202980E2CD}"/>
    <hyperlink ref="V20" r:id="rId37" location="Accounts/686cb46a-fd33-11e8-89b2-069e4f790264" xr:uid="{969BB4EC-C41F-4D15-829D-4170A584F598}"/>
    <hyperlink ref="V27" r:id="rId38" location="Accounts/846e4fb6-fd33-11e8-80a6-069e4f790264" xr:uid="{CF6922C8-F881-4945-BA51-BF00D8843100}"/>
    <hyperlink ref="V41" r:id="rId39" location="Accounts/019b1506-a4d0-11ea-b4f8-022c40d974e6" xr:uid="{CE7C5762-BEA3-4162-9AAE-C12F5BFB10D9}"/>
    <hyperlink ref="V35" r:id="rId40" location="Accounts/5efbe3a6-fd33-11e8-92f2-069e4f790264" xr:uid="{497A15B8-C788-4BC8-B241-DC329208B3B9}"/>
    <hyperlink ref="V23" r:id="rId41" location="Accounts/72423802-fd33-11e8-85d6-069e4f790264" xr:uid="{27AE2E5B-E51A-4842-8144-173B70D3A07F}"/>
  </hyperlinks>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C8786-8E03-484D-A277-9E602F2C1F94}">
  <dimension ref="A2:AU1032"/>
  <sheetViews>
    <sheetView showGridLines="0" topLeftCell="A558" zoomScale="85" zoomScaleNormal="85" workbookViewId="0">
      <selection activeCell="D625" sqref="D625"/>
    </sheetView>
  </sheetViews>
  <sheetFormatPr defaultRowHeight="15" x14ac:dyDescent="0.25"/>
  <cols>
    <col min="1" max="1" width="26.28515625" style="117" customWidth="1"/>
    <col min="2" max="2" width="18.42578125" style="96" customWidth="1"/>
    <col min="3" max="3" width="16.42578125" style="96" customWidth="1"/>
    <col min="4" max="4" width="62.42578125" style="96" customWidth="1"/>
    <col min="5" max="5" width="18.5703125" style="96" customWidth="1"/>
    <col min="6" max="6" width="13.85546875" style="96" customWidth="1"/>
    <col min="7" max="7" width="21.85546875" style="96" customWidth="1"/>
    <col min="8" max="8" width="20.85546875" style="96" customWidth="1"/>
    <col min="9" max="9" width="23.5703125" style="96" customWidth="1"/>
    <col min="10" max="10" width="19.85546875" style="96" customWidth="1"/>
    <col min="11" max="11" width="15.7109375" style="96" customWidth="1"/>
    <col min="12" max="12" width="12.5703125" style="96" bestFit="1" customWidth="1"/>
    <col min="13" max="13" width="19.5703125" style="96" customWidth="1"/>
    <col min="14" max="14" width="15.7109375" style="96" bestFit="1" customWidth="1"/>
    <col min="15" max="15" width="15.28515625" style="96" bestFit="1" customWidth="1"/>
    <col min="16" max="16" width="4.5703125" style="96" bestFit="1" customWidth="1"/>
    <col min="17" max="17" width="43.5703125" style="96" bestFit="1" customWidth="1"/>
    <col min="18" max="18" width="15.140625" style="96" bestFit="1" customWidth="1"/>
    <col min="19" max="19" width="13.85546875" style="96" bestFit="1" customWidth="1"/>
    <col min="20" max="20" width="15" style="96" bestFit="1" customWidth="1"/>
    <col min="21" max="21" width="13.85546875" style="96" customWidth="1"/>
    <col min="22" max="22" width="15" style="96" bestFit="1" customWidth="1"/>
    <col min="23" max="24" width="16.5703125" style="96" bestFit="1" customWidth="1"/>
    <col min="25" max="25" width="13.85546875" style="96" bestFit="1" customWidth="1"/>
    <col min="26" max="26" width="19.28515625" style="96" bestFit="1" customWidth="1"/>
    <col min="27" max="27" width="12.85546875" style="96" bestFit="1" customWidth="1"/>
    <col min="28" max="28" width="13.85546875" style="96" bestFit="1" customWidth="1"/>
    <col min="29" max="29" width="21.42578125" style="96" bestFit="1" customWidth="1"/>
    <col min="30" max="30" width="12.85546875" style="96" bestFit="1" customWidth="1"/>
    <col min="31" max="31" width="12.85546875" style="96" customWidth="1"/>
    <col min="32" max="32" width="11.5703125" style="96" bestFit="1" customWidth="1"/>
    <col min="33" max="33" width="19.85546875" style="96" bestFit="1" customWidth="1"/>
    <col min="34" max="34" width="15.28515625" style="96" bestFit="1" customWidth="1"/>
    <col min="35" max="35" width="11.28515625" style="96" customWidth="1"/>
    <col min="36" max="36" width="4.7109375" style="96" customWidth="1"/>
    <col min="37" max="37" width="18.5703125" style="96" bestFit="1" customWidth="1"/>
    <col min="38" max="38" width="11.85546875" style="96" bestFit="1" customWidth="1"/>
    <col min="39" max="39" width="9.140625" style="96"/>
    <col min="40" max="40" width="3.42578125" style="96" customWidth="1"/>
    <col min="41" max="41" width="30.140625" customWidth="1"/>
    <col min="42" max="42" width="6.140625" bestFit="1" customWidth="1"/>
    <col min="43" max="43" width="9.28515625" bestFit="1" customWidth="1"/>
    <col min="44" max="44" width="3" customWidth="1"/>
    <col min="45" max="45" width="24.140625" customWidth="1"/>
    <col min="46" max="16384" width="9.140625" style="96"/>
  </cols>
  <sheetData>
    <row r="2" spans="1:47" ht="25.5" x14ac:dyDescent="0.25">
      <c r="A2" s="113" t="s">
        <v>488</v>
      </c>
      <c r="B2" s="111" t="s">
        <v>949</v>
      </c>
      <c r="C2" s="100" t="s">
        <v>402</v>
      </c>
      <c r="D2" s="100" t="s">
        <v>403</v>
      </c>
      <c r="E2" s="100" t="s">
        <v>404</v>
      </c>
      <c r="F2" s="100" t="s">
        <v>405</v>
      </c>
      <c r="G2" s="100" t="s">
        <v>406</v>
      </c>
      <c r="H2" s="100" t="s">
        <v>407</v>
      </c>
      <c r="I2" s="100" t="s">
        <v>408</v>
      </c>
      <c r="J2" s="100" t="s">
        <v>409</v>
      </c>
      <c r="K2" s="100" t="s">
        <v>410</v>
      </c>
      <c r="M2" s="100" t="s">
        <v>405</v>
      </c>
      <c r="N2" s="100" t="s">
        <v>1347</v>
      </c>
      <c r="O2" s="100" t="s">
        <v>957</v>
      </c>
      <c r="Q2" s="100" t="s">
        <v>949</v>
      </c>
      <c r="R2" s="103" t="s">
        <v>412</v>
      </c>
      <c r="S2" s="103" t="s">
        <v>401</v>
      </c>
      <c r="T2" s="103" t="s">
        <v>397</v>
      </c>
      <c r="U2" s="103" t="s">
        <v>440</v>
      </c>
      <c r="V2" s="103" t="s">
        <v>398</v>
      </c>
      <c r="W2" s="103" t="s">
        <v>446</v>
      </c>
      <c r="X2" s="103" t="s">
        <v>400</v>
      </c>
      <c r="Y2" s="103" t="s">
        <v>485</v>
      </c>
      <c r="Z2" s="103" t="s">
        <v>942</v>
      </c>
      <c r="AC2" s="100" t="s">
        <v>406</v>
      </c>
      <c r="AD2" s="100" t="s">
        <v>956</v>
      </c>
      <c r="AE2" s="100" t="s">
        <v>957</v>
      </c>
      <c r="AF2"/>
      <c r="AG2" s="100" t="s">
        <v>407</v>
      </c>
      <c r="AH2" s="100" t="s">
        <v>956</v>
      </c>
      <c r="AI2" s="100" t="s">
        <v>957</v>
      </c>
      <c r="AK2" s="100" t="s">
        <v>404</v>
      </c>
      <c r="AL2" s="100" t="s">
        <v>956</v>
      </c>
      <c r="AM2" s="100" t="s">
        <v>957</v>
      </c>
      <c r="AO2" s="43" t="s">
        <v>3</v>
      </c>
      <c r="AP2" s="100" t="s">
        <v>956</v>
      </c>
      <c r="AQ2" s="100" t="s">
        <v>957</v>
      </c>
      <c r="AS2" s="43" t="s">
        <v>4</v>
      </c>
      <c r="AT2" s="100" t="s">
        <v>956</v>
      </c>
      <c r="AU2" s="100" t="s">
        <v>957</v>
      </c>
    </row>
    <row r="3" spans="1:47" x14ac:dyDescent="0.25">
      <c r="A3" s="114" t="s">
        <v>174</v>
      </c>
      <c r="B3" s="112" t="s">
        <v>1139</v>
      </c>
      <c r="C3" s="101">
        <v>51188</v>
      </c>
      <c r="D3" s="102" t="s">
        <v>411</v>
      </c>
      <c r="E3" s="103" t="s">
        <v>46</v>
      </c>
      <c r="F3" s="103" t="s">
        <v>412</v>
      </c>
      <c r="G3" s="103" t="s">
        <v>413</v>
      </c>
      <c r="H3" s="103" t="s">
        <v>414</v>
      </c>
      <c r="I3" s="104">
        <v>43102</v>
      </c>
      <c r="J3" s="104">
        <v>43102</v>
      </c>
      <c r="K3" s="105">
        <v>109470.95</v>
      </c>
      <c r="M3" s="103" t="s">
        <v>412</v>
      </c>
      <c r="N3" s="110">
        <f t="shared" ref="N3:N10" si="0">SUMIF($F:$F,M3,$K:$K)</f>
        <v>106010405.55999991</v>
      </c>
      <c r="O3" s="109">
        <f t="shared" ref="O3:O10" si="1">N3/$N$12</f>
        <v>0.62533829097864124</v>
      </c>
      <c r="Q3" s="112" t="s">
        <v>946</v>
      </c>
      <c r="R3" s="121">
        <f t="shared" ref="R3:Y12" si="2">SUMIFS($K:$K,$F:$F,R$2,$B:$B,$Q3)</f>
        <v>2257089.1299999994</v>
      </c>
      <c r="S3" s="121">
        <f t="shared" si="2"/>
        <v>502378.99</v>
      </c>
      <c r="T3" s="121">
        <f t="shared" si="2"/>
        <v>362370.56</v>
      </c>
      <c r="U3" s="121">
        <f t="shared" si="2"/>
        <v>661563.1</v>
      </c>
      <c r="V3" s="121">
        <f t="shared" si="2"/>
        <v>0</v>
      </c>
      <c r="W3" s="121">
        <f t="shared" si="2"/>
        <v>0</v>
      </c>
      <c r="X3" s="121">
        <f t="shared" si="2"/>
        <v>49050</v>
      </c>
      <c r="Y3" s="121">
        <f t="shared" si="2"/>
        <v>0</v>
      </c>
      <c r="AC3" s="103" t="s">
        <v>425</v>
      </c>
      <c r="AD3" s="103">
        <f t="shared" ref="AD3:AD11" si="3">COUNTIF(G:G,AC3)</f>
        <v>134</v>
      </c>
      <c r="AE3" s="108">
        <f t="shared" ref="AE3:AE11" si="4">AD3/$AD$13</f>
        <v>0.21102362204724409</v>
      </c>
      <c r="AF3"/>
      <c r="AG3" s="103" t="s">
        <v>437</v>
      </c>
      <c r="AH3" s="103">
        <f t="shared" ref="AH3:AH9" si="5">COUNTIF(H:H,AG3)</f>
        <v>588</v>
      </c>
      <c r="AI3" s="142">
        <f t="shared" ref="AI3:AI9" si="6">AH3/$AH$11</f>
        <v>0.5714285714285714</v>
      </c>
      <c r="AK3" s="103" t="s">
        <v>46</v>
      </c>
      <c r="AL3" s="103">
        <f t="shared" ref="AL3:AL19" si="7">COUNTIF(E:E,AK3)</f>
        <v>670</v>
      </c>
      <c r="AM3" s="133">
        <f t="shared" ref="AM3:AM19" si="8">AL3/$AL$21</f>
        <v>0.69574247144340606</v>
      </c>
      <c r="AO3" s="35" t="s">
        <v>81</v>
      </c>
      <c r="AP3" s="140">
        <v>16</v>
      </c>
      <c r="AQ3" s="133">
        <f t="shared" ref="AQ3:AQ9" si="9">AP3/$AP$11</f>
        <v>0.3902439024390244</v>
      </c>
      <c r="AS3" s="35" t="s">
        <v>79</v>
      </c>
      <c r="AT3" s="140">
        <v>14</v>
      </c>
      <c r="AU3" s="133">
        <f t="shared" ref="AU3:AU8" si="10">AT3/$AT$10</f>
        <v>0.34146341463414637</v>
      </c>
    </row>
    <row r="4" spans="1:47" x14ac:dyDescent="0.25">
      <c r="A4" s="114" t="s">
        <v>174</v>
      </c>
      <c r="B4" s="112" t="s">
        <v>1139</v>
      </c>
      <c r="C4" s="101">
        <v>51187</v>
      </c>
      <c r="D4" s="102" t="s">
        <v>415</v>
      </c>
      <c r="E4" s="103" t="s">
        <v>46</v>
      </c>
      <c r="F4" s="103" t="s">
        <v>412</v>
      </c>
      <c r="G4" s="103" t="s">
        <v>413</v>
      </c>
      <c r="H4" s="103" t="s">
        <v>414</v>
      </c>
      <c r="I4" s="104">
        <v>42740</v>
      </c>
      <c r="J4" s="104">
        <v>42740</v>
      </c>
      <c r="K4" s="105">
        <v>17071.689999999999</v>
      </c>
      <c r="M4" s="103" t="s">
        <v>401</v>
      </c>
      <c r="N4" s="110">
        <f t="shared" si="0"/>
        <v>9510425.0500000007</v>
      </c>
      <c r="O4" s="109">
        <f t="shared" si="1"/>
        <v>5.6100464061345716E-2</v>
      </c>
      <c r="Q4" s="112" t="s">
        <v>350</v>
      </c>
      <c r="R4" s="121">
        <f t="shared" si="2"/>
        <v>3402430.7600000007</v>
      </c>
      <c r="S4" s="121">
        <f t="shared" si="2"/>
        <v>825372.16000000003</v>
      </c>
      <c r="T4" s="121">
        <f t="shared" si="2"/>
        <v>14598431.01</v>
      </c>
      <c r="U4" s="121">
        <f t="shared" si="2"/>
        <v>0</v>
      </c>
      <c r="V4" s="121">
        <f t="shared" si="2"/>
        <v>0</v>
      </c>
      <c r="W4" s="121">
        <f t="shared" si="2"/>
        <v>0</v>
      </c>
      <c r="X4" s="121">
        <f t="shared" si="2"/>
        <v>0</v>
      </c>
      <c r="Y4" s="121">
        <f t="shared" si="2"/>
        <v>0</v>
      </c>
      <c r="AC4" s="103" t="s">
        <v>413</v>
      </c>
      <c r="AD4" s="103">
        <f t="shared" si="3"/>
        <v>126</v>
      </c>
      <c r="AE4" s="108">
        <f t="shared" si="4"/>
        <v>0.1984251968503937</v>
      </c>
      <c r="AF4"/>
      <c r="AG4" s="103" t="s">
        <v>423</v>
      </c>
      <c r="AH4" s="103">
        <f t="shared" si="5"/>
        <v>216</v>
      </c>
      <c r="AI4" s="142">
        <f t="shared" si="6"/>
        <v>0.2099125364431487</v>
      </c>
      <c r="AK4" s="103" t="s">
        <v>67</v>
      </c>
      <c r="AL4" s="103">
        <f t="shared" si="7"/>
        <v>51</v>
      </c>
      <c r="AM4" s="133">
        <f t="shared" si="8"/>
        <v>5.2959501557632398E-2</v>
      </c>
      <c r="AO4" s="35" t="s">
        <v>72</v>
      </c>
      <c r="AP4" s="140">
        <v>7</v>
      </c>
      <c r="AQ4" s="141">
        <f t="shared" si="9"/>
        <v>0.17073170731707318</v>
      </c>
      <c r="AS4" s="35" t="s">
        <v>82</v>
      </c>
      <c r="AT4" s="140">
        <v>9</v>
      </c>
      <c r="AU4" s="133">
        <f t="shared" si="10"/>
        <v>0.21951219512195122</v>
      </c>
    </row>
    <row r="5" spans="1:47" ht="15" customHeight="1" x14ac:dyDescent="0.25">
      <c r="A5" s="114" t="s">
        <v>174</v>
      </c>
      <c r="B5" s="112" t="s">
        <v>1139</v>
      </c>
      <c r="C5" s="101">
        <v>62740</v>
      </c>
      <c r="D5" s="102" t="s">
        <v>416</v>
      </c>
      <c r="E5" s="103" t="s">
        <v>46</v>
      </c>
      <c r="F5" s="103" t="s">
        <v>412</v>
      </c>
      <c r="G5" s="103" t="s">
        <v>417</v>
      </c>
      <c r="H5" s="103" t="s">
        <v>414</v>
      </c>
      <c r="I5" s="104">
        <v>44804</v>
      </c>
      <c r="J5" s="104">
        <v>44804</v>
      </c>
      <c r="K5" s="105">
        <v>190000.05</v>
      </c>
      <c r="M5" s="103" t="s">
        <v>397</v>
      </c>
      <c r="N5" s="110">
        <f t="shared" si="0"/>
        <v>45017641.899999999</v>
      </c>
      <c r="O5" s="109">
        <f t="shared" si="1"/>
        <v>0.26555181164457847</v>
      </c>
      <c r="Q5" s="112" t="s">
        <v>1138</v>
      </c>
      <c r="R5" s="121">
        <f t="shared" si="2"/>
        <v>3979871.6199999996</v>
      </c>
      <c r="S5" s="121">
        <f t="shared" si="2"/>
        <v>397827.29</v>
      </c>
      <c r="T5" s="121">
        <f t="shared" si="2"/>
        <v>1631159.63</v>
      </c>
      <c r="U5" s="121">
        <f t="shared" si="2"/>
        <v>144674.09</v>
      </c>
      <c r="V5" s="121">
        <f t="shared" si="2"/>
        <v>396413.98</v>
      </c>
      <c r="W5" s="121">
        <f t="shared" si="2"/>
        <v>0</v>
      </c>
      <c r="X5" s="121">
        <f t="shared" si="2"/>
        <v>0</v>
      </c>
      <c r="Y5" s="121">
        <f t="shared" si="2"/>
        <v>0</v>
      </c>
      <c r="AC5" s="103" t="s">
        <v>422</v>
      </c>
      <c r="AD5" s="103">
        <f t="shared" si="3"/>
        <v>90</v>
      </c>
      <c r="AE5" s="108">
        <f t="shared" si="4"/>
        <v>0.14173228346456693</v>
      </c>
      <c r="AF5"/>
      <c r="AG5" s="103" t="s">
        <v>414</v>
      </c>
      <c r="AH5" s="103">
        <f t="shared" si="5"/>
        <v>166</v>
      </c>
      <c r="AI5" s="142">
        <f t="shared" si="6"/>
        <v>0.16132167152575316</v>
      </c>
      <c r="AK5" s="103" t="s">
        <v>484</v>
      </c>
      <c r="AL5" s="103">
        <f t="shared" si="7"/>
        <v>45</v>
      </c>
      <c r="AM5" s="133">
        <f t="shared" si="8"/>
        <v>4.6728971962616821E-2</v>
      </c>
      <c r="AO5" s="35" t="s">
        <v>85</v>
      </c>
      <c r="AP5" s="140">
        <v>6</v>
      </c>
      <c r="AQ5" s="133">
        <f t="shared" si="9"/>
        <v>0.14634146341463414</v>
      </c>
      <c r="AS5" s="35" t="s">
        <v>73</v>
      </c>
      <c r="AT5" s="140">
        <v>7</v>
      </c>
      <c r="AU5" s="133">
        <f t="shared" si="10"/>
        <v>0.17073170731707318</v>
      </c>
    </row>
    <row r="6" spans="1:47" ht="15" customHeight="1" x14ac:dyDescent="0.25">
      <c r="A6" s="114" t="s">
        <v>174</v>
      </c>
      <c r="B6" s="112" t="s">
        <v>1139</v>
      </c>
      <c r="C6" s="101">
        <v>63009</v>
      </c>
      <c r="D6" s="102" t="s">
        <v>418</v>
      </c>
      <c r="E6" s="103" t="s">
        <v>46</v>
      </c>
      <c r="F6" s="103" t="s">
        <v>401</v>
      </c>
      <c r="G6" s="103" t="s">
        <v>417</v>
      </c>
      <c r="H6" s="103" t="s">
        <v>414</v>
      </c>
      <c r="I6" s="104">
        <v>45899</v>
      </c>
      <c r="J6" s="103"/>
      <c r="K6" s="105">
        <v>213047</v>
      </c>
      <c r="M6" s="103" t="s">
        <v>440</v>
      </c>
      <c r="N6" s="110">
        <f t="shared" si="0"/>
        <v>6076118.9700000007</v>
      </c>
      <c r="O6" s="109">
        <f t="shared" si="1"/>
        <v>3.5842046187929945E-2</v>
      </c>
      <c r="Q6" s="112" t="s">
        <v>1543</v>
      </c>
      <c r="R6" s="121">
        <f t="shared" si="2"/>
        <v>9974958.4400000013</v>
      </c>
      <c r="S6" s="121">
        <f t="shared" si="2"/>
        <v>0</v>
      </c>
      <c r="T6" s="121">
        <f t="shared" si="2"/>
        <v>3311005.55</v>
      </c>
      <c r="U6" s="121">
        <f t="shared" si="2"/>
        <v>0</v>
      </c>
      <c r="V6" s="121">
        <f t="shared" si="2"/>
        <v>0</v>
      </c>
      <c r="W6" s="121">
        <f t="shared" si="2"/>
        <v>0</v>
      </c>
      <c r="X6" s="121">
        <f t="shared" si="2"/>
        <v>0</v>
      </c>
      <c r="Y6" s="121">
        <f t="shared" si="2"/>
        <v>0</v>
      </c>
      <c r="AC6" s="103" t="s">
        <v>427</v>
      </c>
      <c r="AD6" s="103">
        <f t="shared" si="3"/>
        <v>79</v>
      </c>
      <c r="AE6" s="108">
        <f t="shared" si="4"/>
        <v>0.12440944881889764</v>
      </c>
      <c r="AF6"/>
      <c r="AG6" s="103" t="s">
        <v>433</v>
      </c>
      <c r="AH6" s="103">
        <f t="shared" si="5"/>
        <v>35</v>
      </c>
      <c r="AI6" s="142">
        <f t="shared" si="6"/>
        <v>3.4013605442176874E-2</v>
      </c>
      <c r="AK6" s="103" t="s">
        <v>579</v>
      </c>
      <c r="AL6" s="103">
        <f t="shared" si="7"/>
        <v>43</v>
      </c>
      <c r="AM6" s="133">
        <f t="shared" si="8"/>
        <v>4.46521287642783E-2</v>
      </c>
      <c r="AO6" s="35" t="s">
        <v>84</v>
      </c>
      <c r="AP6" s="140">
        <v>5</v>
      </c>
      <c r="AQ6" s="133">
        <f t="shared" si="9"/>
        <v>0.12195121951219512</v>
      </c>
      <c r="AS6" s="35" t="s">
        <v>66</v>
      </c>
      <c r="AT6" s="140">
        <v>5</v>
      </c>
      <c r="AU6" s="133">
        <f t="shared" si="10"/>
        <v>0.12195121951219512</v>
      </c>
    </row>
    <row r="7" spans="1:47" ht="15" customHeight="1" x14ac:dyDescent="0.25">
      <c r="A7" s="114" t="s">
        <v>174</v>
      </c>
      <c r="B7" s="112" t="s">
        <v>1139</v>
      </c>
      <c r="C7" s="101">
        <v>58970</v>
      </c>
      <c r="D7" s="102" t="s">
        <v>419</v>
      </c>
      <c r="E7" s="103" t="s">
        <v>46</v>
      </c>
      <c r="F7" s="103" t="s">
        <v>412</v>
      </c>
      <c r="G7" s="103" t="s">
        <v>413</v>
      </c>
      <c r="H7" s="103" t="s">
        <v>414</v>
      </c>
      <c r="I7" s="103"/>
      <c r="J7" s="104">
        <v>44165</v>
      </c>
      <c r="K7" s="105">
        <v>56000.01</v>
      </c>
      <c r="M7" s="103" t="s">
        <v>398</v>
      </c>
      <c r="N7" s="110">
        <f t="shared" si="0"/>
        <v>956925.98</v>
      </c>
      <c r="O7" s="109">
        <f t="shared" si="1"/>
        <v>5.6447520766022986E-3</v>
      </c>
      <c r="Q7" s="112" t="s">
        <v>1840</v>
      </c>
      <c r="R7" s="121">
        <f t="shared" si="2"/>
        <v>1550698.8399999996</v>
      </c>
      <c r="S7" s="121">
        <f t="shared" si="2"/>
        <v>422492.4</v>
      </c>
      <c r="T7" s="121">
        <f t="shared" si="2"/>
        <v>888235.08</v>
      </c>
      <c r="U7" s="121">
        <f t="shared" si="2"/>
        <v>486186.4</v>
      </c>
      <c r="V7" s="121">
        <f t="shared" si="2"/>
        <v>0</v>
      </c>
      <c r="W7" s="121">
        <f t="shared" si="2"/>
        <v>0</v>
      </c>
      <c r="X7" s="121">
        <f t="shared" si="2"/>
        <v>33600</v>
      </c>
      <c r="Y7" s="121">
        <f t="shared" si="2"/>
        <v>0</v>
      </c>
      <c r="AC7" s="103" t="s">
        <v>954</v>
      </c>
      <c r="AD7" s="103">
        <f t="shared" si="3"/>
        <v>69</v>
      </c>
      <c r="AE7" s="108">
        <f t="shared" si="4"/>
        <v>0.10866141732283464</v>
      </c>
      <c r="AF7"/>
      <c r="AG7" s="103" t="s">
        <v>459</v>
      </c>
      <c r="AH7" s="103">
        <f t="shared" si="5"/>
        <v>11</v>
      </c>
      <c r="AI7" s="142">
        <f t="shared" si="6"/>
        <v>1.0689990281827016E-2</v>
      </c>
      <c r="AK7" s="103" t="s">
        <v>821</v>
      </c>
      <c r="AL7" s="103">
        <f t="shared" si="7"/>
        <v>39</v>
      </c>
      <c r="AM7" s="133">
        <f t="shared" si="8"/>
        <v>4.0498442367601244E-2</v>
      </c>
      <c r="AO7" s="35" t="s">
        <v>78</v>
      </c>
      <c r="AP7" s="140">
        <v>5</v>
      </c>
      <c r="AQ7" s="133">
        <f t="shared" si="9"/>
        <v>0.12195121951219512</v>
      </c>
      <c r="AS7" s="35" t="s">
        <v>52</v>
      </c>
      <c r="AT7" s="140">
        <v>4</v>
      </c>
      <c r="AU7" s="133">
        <f t="shared" si="10"/>
        <v>9.7560975609756101E-2</v>
      </c>
    </row>
    <row r="8" spans="1:47" ht="15" customHeight="1" x14ac:dyDescent="0.25">
      <c r="A8" s="114" t="s">
        <v>174</v>
      </c>
      <c r="B8" s="112" t="s">
        <v>1139</v>
      </c>
      <c r="C8" s="101">
        <v>56515</v>
      </c>
      <c r="D8" s="102" t="s">
        <v>420</v>
      </c>
      <c r="E8" s="103" t="s">
        <v>46</v>
      </c>
      <c r="F8" s="103" t="s">
        <v>412</v>
      </c>
      <c r="G8" s="103" t="s">
        <v>413</v>
      </c>
      <c r="H8" s="103" t="s">
        <v>414</v>
      </c>
      <c r="I8" s="104">
        <v>43531</v>
      </c>
      <c r="J8" s="104">
        <v>43538</v>
      </c>
      <c r="K8" s="105">
        <v>30000</v>
      </c>
      <c r="M8" s="103" t="s">
        <v>446</v>
      </c>
      <c r="N8" s="110">
        <f t="shared" si="0"/>
        <v>69216</v>
      </c>
      <c r="O8" s="109">
        <f t="shared" si="1"/>
        <v>4.0829402472080935E-4</v>
      </c>
      <c r="Q8" s="112" t="s">
        <v>1917</v>
      </c>
      <c r="R8" s="121">
        <f t="shared" si="2"/>
        <v>511423.87999999989</v>
      </c>
      <c r="S8" s="121">
        <f t="shared" si="2"/>
        <v>0</v>
      </c>
      <c r="T8" s="121">
        <f t="shared" si="2"/>
        <v>59331.240000000005</v>
      </c>
      <c r="U8" s="121">
        <f t="shared" si="2"/>
        <v>0</v>
      </c>
      <c r="V8" s="121">
        <f t="shared" si="2"/>
        <v>0</v>
      </c>
      <c r="W8" s="121">
        <f t="shared" si="2"/>
        <v>0</v>
      </c>
      <c r="X8" s="121">
        <f t="shared" si="2"/>
        <v>0</v>
      </c>
      <c r="Y8" s="121">
        <f t="shared" si="2"/>
        <v>0</v>
      </c>
      <c r="AC8" s="103" t="s">
        <v>447</v>
      </c>
      <c r="AD8" s="103">
        <f t="shared" si="3"/>
        <v>72</v>
      </c>
      <c r="AE8" s="108">
        <f t="shared" si="4"/>
        <v>0.11338582677165354</v>
      </c>
      <c r="AF8"/>
      <c r="AG8" s="107" t="s">
        <v>481</v>
      </c>
      <c r="AH8" s="103">
        <f t="shared" si="5"/>
        <v>11</v>
      </c>
      <c r="AI8" s="142">
        <f t="shared" si="6"/>
        <v>1.0689990281827016E-2</v>
      </c>
      <c r="AK8" s="107" t="s">
        <v>48</v>
      </c>
      <c r="AL8" s="103">
        <f t="shared" si="7"/>
        <v>32</v>
      </c>
      <c r="AM8" s="133">
        <f t="shared" si="8"/>
        <v>3.3229491173416406E-2</v>
      </c>
      <c r="AO8" s="35" t="s">
        <v>65</v>
      </c>
      <c r="AP8" s="140">
        <v>1</v>
      </c>
      <c r="AQ8" s="133">
        <f t="shared" si="9"/>
        <v>2.4390243902439025E-2</v>
      </c>
      <c r="AS8" s="35" t="s">
        <v>59</v>
      </c>
      <c r="AT8" s="140">
        <v>2</v>
      </c>
      <c r="AU8" s="133">
        <f t="shared" si="10"/>
        <v>4.878048780487805E-2</v>
      </c>
    </row>
    <row r="9" spans="1:47" ht="15" customHeight="1" x14ac:dyDescent="0.25">
      <c r="A9" s="114" t="s">
        <v>174</v>
      </c>
      <c r="B9" s="112" t="s">
        <v>1139</v>
      </c>
      <c r="C9" s="101">
        <v>62878</v>
      </c>
      <c r="D9" s="102" t="s">
        <v>421</v>
      </c>
      <c r="E9" s="103" t="s">
        <v>46</v>
      </c>
      <c r="F9" s="103" t="s">
        <v>397</v>
      </c>
      <c r="G9" s="103" t="s">
        <v>422</v>
      </c>
      <c r="H9" s="103" t="s">
        <v>423</v>
      </c>
      <c r="I9" s="103"/>
      <c r="J9" s="103"/>
      <c r="K9" s="105">
        <v>8400</v>
      </c>
      <c r="M9" s="103" t="s">
        <v>400</v>
      </c>
      <c r="N9" s="110">
        <f t="shared" si="0"/>
        <v>1036774.13</v>
      </c>
      <c r="O9" s="109">
        <f t="shared" si="1"/>
        <v>6.1157634400155403E-3</v>
      </c>
      <c r="Q9" s="112" t="s">
        <v>1840</v>
      </c>
      <c r="R9" s="121">
        <f t="shared" si="2"/>
        <v>1550698.8399999996</v>
      </c>
      <c r="S9" s="121">
        <f t="shared" si="2"/>
        <v>422492.4</v>
      </c>
      <c r="T9" s="121">
        <f t="shared" si="2"/>
        <v>888235.08</v>
      </c>
      <c r="U9" s="121">
        <f t="shared" si="2"/>
        <v>486186.4</v>
      </c>
      <c r="V9" s="121">
        <f t="shared" si="2"/>
        <v>0</v>
      </c>
      <c r="W9" s="121">
        <f t="shared" si="2"/>
        <v>0</v>
      </c>
      <c r="X9" s="121">
        <f t="shared" si="2"/>
        <v>33600</v>
      </c>
      <c r="Y9" s="121">
        <f t="shared" si="2"/>
        <v>0</v>
      </c>
      <c r="AC9" s="103" t="s">
        <v>417</v>
      </c>
      <c r="AD9" s="103">
        <f t="shared" si="3"/>
        <v>46</v>
      </c>
      <c r="AE9" s="108">
        <f t="shared" si="4"/>
        <v>7.2440944881889763E-2</v>
      </c>
      <c r="AF9"/>
      <c r="AG9" s="103" t="s">
        <v>528</v>
      </c>
      <c r="AH9" s="103">
        <f t="shared" si="5"/>
        <v>2</v>
      </c>
      <c r="AI9" s="142">
        <f t="shared" si="6"/>
        <v>1.9436345966958211E-3</v>
      </c>
      <c r="AK9" s="103" t="s">
        <v>68</v>
      </c>
      <c r="AL9" s="103">
        <f t="shared" si="7"/>
        <v>25</v>
      </c>
      <c r="AM9" s="133">
        <f t="shared" si="8"/>
        <v>2.5960539979231569E-2</v>
      </c>
      <c r="AO9" s="35" t="s">
        <v>58</v>
      </c>
      <c r="AP9" s="140">
        <v>1</v>
      </c>
      <c r="AQ9" s="133">
        <f t="shared" si="9"/>
        <v>2.4390243902439025E-2</v>
      </c>
    </row>
    <row r="10" spans="1:47" ht="15" customHeight="1" x14ac:dyDescent="0.25">
      <c r="A10" s="114" t="s">
        <v>174</v>
      </c>
      <c r="B10" s="112" t="s">
        <v>1139</v>
      </c>
      <c r="C10" s="101">
        <v>54357</v>
      </c>
      <c r="D10" s="102" t="s">
        <v>424</v>
      </c>
      <c r="E10" s="103" t="s">
        <v>46</v>
      </c>
      <c r="F10" s="103" t="s">
        <v>412</v>
      </c>
      <c r="G10" s="103" t="s">
        <v>425</v>
      </c>
      <c r="H10" s="103" t="s">
        <v>423</v>
      </c>
      <c r="I10" s="104">
        <v>42268</v>
      </c>
      <c r="J10" s="104">
        <v>42268</v>
      </c>
      <c r="K10" s="105">
        <v>43283</v>
      </c>
      <c r="M10" s="103" t="s">
        <v>485</v>
      </c>
      <c r="N10" s="110">
        <f t="shared" si="0"/>
        <v>847383.32000000007</v>
      </c>
      <c r="O10" s="109">
        <f t="shared" si="1"/>
        <v>4.9985775861662264E-3</v>
      </c>
      <c r="Q10" s="112" t="s">
        <v>947</v>
      </c>
      <c r="R10" s="121">
        <f t="shared" si="2"/>
        <v>791850</v>
      </c>
      <c r="S10" s="121">
        <f t="shared" si="2"/>
        <v>0</v>
      </c>
      <c r="T10" s="121">
        <f t="shared" si="2"/>
        <v>387538.21</v>
      </c>
      <c r="U10" s="121">
        <f t="shared" si="2"/>
        <v>0</v>
      </c>
      <c r="V10" s="121">
        <f t="shared" si="2"/>
        <v>0</v>
      </c>
      <c r="W10" s="121">
        <f t="shared" si="2"/>
        <v>0</v>
      </c>
      <c r="X10" s="121">
        <f t="shared" si="2"/>
        <v>0</v>
      </c>
      <c r="Y10" s="121">
        <f t="shared" si="2"/>
        <v>310200</v>
      </c>
      <c r="AC10" s="103" t="s">
        <v>953</v>
      </c>
      <c r="AD10" s="103">
        <f t="shared" si="3"/>
        <v>17</v>
      </c>
      <c r="AE10" s="108">
        <f t="shared" si="4"/>
        <v>2.6771653543307086E-2</v>
      </c>
      <c r="AF10"/>
      <c r="AI10" s="157"/>
      <c r="AK10" s="103" t="s">
        <v>451</v>
      </c>
      <c r="AL10" s="103">
        <f t="shared" si="7"/>
        <v>24</v>
      </c>
      <c r="AM10" s="133">
        <f t="shared" si="8"/>
        <v>2.4922118380062305E-2</v>
      </c>
      <c r="AS10" s="138" t="s">
        <v>942</v>
      </c>
      <c r="AT10" s="166">
        <f>SUM(AT3:AT8)</f>
        <v>41</v>
      </c>
    </row>
    <row r="11" spans="1:47" ht="15" customHeight="1" x14ac:dyDescent="0.25">
      <c r="A11" s="114" t="s">
        <v>174</v>
      </c>
      <c r="B11" s="112" t="s">
        <v>1139</v>
      </c>
      <c r="C11" s="101">
        <v>58998</v>
      </c>
      <c r="D11" s="102" t="s">
        <v>426</v>
      </c>
      <c r="E11" s="103" t="s">
        <v>46</v>
      </c>
      <c r="F11" s="103" t="s">
        <v>397</v>
      </c>
      <c r="G11" s="103" t="s">
        <v>427</v>
      </c>
      <c r="H11" s="103" t="s">
        <v>423</v>
      </c>
      <c r="I11" s="104">
        <v>44165</v>
      </c>
      <c r="J11" s="103"/>
      <c r="K11" s="105">
        <v>220590.04</v>
      </c>
      <c r="Q11" s="120" t="s">
        <v>404</v>
      </c>
      <c r="R11" s="121">
        <f t="shared" si="2"/>
        <v>83897.15</v>
      </c>
      <c r="S11" s="121">
        <f t="shared" si="2"/>
        <v>95642.75</v>
      </c>
      <c r="T11" s="121">
        <f t="shared" si="2"/>
        <v>0</v>
      </c>
      <c r="U11" s="121">
        <f t="shared" si="2"/>
        <v>0</v>
      </c>
      <c r="V11" s="121">
        <f t="shared" si="2"/>
        <v>0</v>
      </c>
      <c r="W11" s="121">
        <f t="shared" si="2"/>
        <v>0</v>
      </c>
      <c r="X11" s="121">
        <f t="shared" si="2"/>
        <v>0</v>
      </c>
      <c r="Y11" s="121">
        <f t="shared" si="2"/>
        <v>0</v>
      </c>
      <c r="AC11" s="103" t="s">
        <v>955</v>
      </c>
      <c r="AD11" s="103">
        <f t="shared" si="3"/>
        <v>2</v>
      </c>
      <c r="AE11" s="108">
        <f t="shared" si="4"/>
        <v>3.1496062992125984E-3</v>
      </c>
      <c r="AF11"/>
      <c r="AG11" s="138" t="s">
        <v>942</v>
      </c>
      <c r="AH11" s="139">
        <f>SUM(AH3:AH9)</f>
        <v>1029</v>
      </c>
      <c r="AI11"/>
      <c r="AK11" s="103" t="s">
        <v>510</v>
      </c>
      <c r="AL11" s="103">
        <f t="shared" si="7"/>
        <v>11</v>
      </c>
      <c r="AM11" s="133">
        <f t="shared" si="8"/>
        <v>1.142263759086189E-2</v>
      </c>
      <c r="AN11"/>
      <c r="AO11" s="138" t="s">
        <v>942</v>
      </c>
      <c r="AP11" s="166">
        <f>SUM(AP3:AP9)</f>
        <v>41</v>
      </c>
    </row>
    <row r="12" spans="1:47" ht="15" customHeight="1" x14ac:dyDescent="0.25">
      <c r="A12" s="114" t="s">
        <v>174</v>
      </c>
      <c r="B12" s="112" t="s">
        <v>1139</v>
      </c>
      <c r="C12" s="101">
        <v>54222</v>
      </c>
      <c r="D12" s="102" t="s">
        <v>428</v>
      </c>
      <c r="E12" s="103" t="s">
        <v>46</v>
      </c>
      <c r="F12" s="103" t="s">
        <v>412</v>
      </c>
      <c r="G12" s="103" t="s">
        <v>425</v>
      </c>
      <c r="H12" s="103" t="s">
        <v>423</v>
      </c>
      <c r="I12" s="104">
        <v>42156</v>
      </c>
      <c r="J12" s="104">
        <v>42156</v>
      </c>
      <c r="K12" s="105">
        <v>13556.81</v>
      </c>
      <c r="M12" s="123" t="s">
        <v>942</v>
      </c>
      <c r="N12" s="126">
        <f>SUM(N3:N10)</f>
        <v>169524890.90999988</v>
      </c>
      <c r="Q12" s="112" t="s">
        <v>943</v>
      </c>
      <c r="R12" s="121">
        <f t="shared" si="2"/>
        <v>859831.29</v>
      </c>
      <c r="S12" s="121">
        <f t="shared" si="2"/>
        <v>116900.06</v>
      </c>
      <c r="T12" s="121">
        <f t="shared" si="2"/>
        <v>66270.28</v>
      </c>
      <c r="U12" s="121">
        <f t="shared" si="2"/>
        <v>958261.52</v>
      </c>
      <c r="V12" s="121">
        <f t="shared" si="2"/>
        <v>23400</v>
      </c>
      <c r="W12" s="121">
        <f t="shared" si="2"/>
        <v>0</v>
      </c>
      <c r="X12" s="121">
        <f t="shared" si="2"/>
        <v>0</v>
      </c>
      <c r="Y12" s="121">
        <f t="shared" si="2"/>
        <v>25200</v>
      </c>
      <c r="AF12"/>
      <c r="AG12"/>
      <c r="AK12" s="103" t="s">
        <v>830</v>
      </c>
      <c r="AL12" s="103">
        <f t="shared" si="7"/>
        <v>8</v>
      </c>
      <c r="AM12" s="133">
        <f t="shared" si="8"/>
        <v>8.3073727933541015E-3</v>
      </c>
      <c r="AN12"/>
    </row>
    <row r="13" spans="1:47" ht="15" customHeight="1" x14ac:dyDescent="0.25">
      <c r="A13" s="114" t="s">
        <v>174</v>
      </c>
      <c r="B13" s="112" t="s">
        <v>1139</v>
      </c>
      <c r="C13" s="101">
        <v>54049</v>
      </c>
      <c r="D13" s="102" t="s">
        <v>429</v>
      </c>
      <c r="E13" s="103" t="s">
        <v>46</v>
      </c>
      <c r="F13" s="103" t="s">
        <v>412</v>
      </c>
      <c r="G13" s="103" t="s">
        <v>427</v>
      </c>
      <c r="H13" s="103" t="s">
        <v>423</v>
      </c>
      <c r="I13" s="104">
        <v>42034</v>
      </c>
      <c r="J13" s="104">
        <v>42034</v>
      </c>
      <c r="K13" s="105">
        <v>45500.01</v>
      </c>
      <c r="M13"/>
      <c r="Q13" s="112" t="s">
        <v>944</v>
      </c>
      <c r="R13" s="121">
        <f t="shared" ref="R13:Y19" si="11">SUMIFS($K:$K,$F:$F,R$2,$B:$B,$Q13)</f>
        <v>121285.55000000002</v>
      </c>
      <c r="S13" s="121">
        <f t="shared" si="11"/>
        <v>33206.949999999997</v>
      </c>
      <c r="T13" s="121">
        <f t="shared" si="11"/>
        <v>3000</v>
      </c>
      <c r="U13" s="121">
        <f t="shared" si="11"/>
        <v>32154.09</v>
      </c>
      <c r="V13" s="121">
        <f t="shared" si="11"/>
        <v>0</v>
      </c>
      <c r="W13" s="121">
        <f t="shared" si="11"/>
        <v>0</v>
      </c>
      <c r="X13" s="121">
        <f t="shared" si="11"/>
        <v>0</v>
      </c>
      <c r="Y13" s="121">
        <f t="shared" si="11"/>
        <v>0</v>
      </c>
      <c r="AC13" s="138" t="s">
        <v>942</v>
      </c>
      <c r="AD13" s="139">
        <f>SUM(AD3:AD11)</f>
        <v>635</v>
      </c>
      <c r="AF13"/>
      <c r="AG13"/>
      <c r="AK13" s="103" t="s">
        <v>399</v>
      </c>
      <c r="AL13" s="103">
        <f t="shared" si="7"/>
        <v>5</v>
      </c>
      <c r="AM13" s="133">
        <f t="shared" si="8"/>
        <v>5.1921079958463139E-3</v>
      </c>
      <c r="AN13"/>
    </row>
    <row r="14" spans="1:47" ht="15" customHeight="1" x14ac:dyDescent="0.25">
      <c r="A14" s="114" t="s">
        <v>174</v>
      </c>
      <c r="B14" s="112" t="s">
        <v>1139</v>
      </c>
      <c r="C14" s="101">
        <v>53298</v>
      </c>
      <c r="D14" s="102" t="s">
        <v>430</v>
      </c>
      <c r="E14" s="103" t="s">
        <v>46</v>
      </c>
      <c r="F14" s="103" t="s">
        <v>412</v>
      </c>
      <c r="G14" s="103" t="s">
        <v>425</v>
      </c>
      <c r="H14" s="103" t="s">
        <v>423</v>
      </c>
      <c r="I14" s="104">
        <v>42844</v>
      </c>
      <c r="J14" s="104">
        <v>42844</v>
      </c>
      <c r="K14" s="105">
        <v>53196</v>
      </c>
      <c r="M14"/>
      <c r="Q14" s="112" t="s">
        <v>945</v>
      </c>
      <c r="R14" s="121">
        <f t="shared" si="11"/>
        <v>1252209.33</v>
      </c>
      <c r="S14" s="121">
        <f t="shared" si="11"/>
        <v>10500</v>
      </c>
      <c r="T14" s="121">
        <f t="shared" si="11"/>
        <v>442063.55000000005</v>
      </c>
      <c r="U14" s="121">
        <f t="shared" si="11"/>
        <v>55196.47</v>
      </c>
      <c r="V14" s="121">
        <f t="shared" si="11"/>
        <v>239010.04</v>
      </c>
      <c r="W14" s="121">
        <f t="shared" si="11"/>
        <v>0</v>
      </c>
      <c r="X14" s="121">
        <f t="shared" si="11"/>
        <v>0</v>
      </c>
      <c r="Y14" s="121">
        <f t="shared" si="11"/>
        <v>0</v>
      </c>
      <c r="AC14"/>
      <c r="AF14"/>
      <c r="AG14"/>
      <c r="AK14" s="103" t="s">
        <v>917</v>
      </c>
      <c r="AL14" s="103">
        <f t="shared" si="7"/>
        <v>3</v>
      </c>
      <c r="AM14" s="133">
        <f t="shared" si="8"/>
        <v>3.1152647975077881E-3</v>
      </c>
      <c r="AN14"/>
    </row>
    <row r="15" spans="1:47" ht="15" customHeight="1" x14ac:dyDescent="0.25">
      <c r="A15" s="114" t="s">
        <v>174</v>
      </c>
      <c r="B15" s="112" t="s">
        <v>1139</v>
      </c>
      <c r="C15" s="101">
        <v>60052</v>
      </c>
      <c r="D15" s="102" t="s">
        <v>431</v>
      </c>
      <c r="E15" s="103" t="s">
        <v>46</v>
      </c>
      <c r="F15" s="103" t="s">
        <v>397</v>
      </c>
      <c r="G15" s="103" t="s">
        <v>422</v>
      </c>
      <c r="H15" s="103" t="s">
        <v>423</v>
      </c>
      <c r="I15" s="104">
        <v>44651</v>
      </c>
      <c r="J15" s="103"/>
      <c r="K15" s="105">
        <v>198840</v>
      </c>
      <c r="M15"/>
      <c r="Q15" s="112" t="s">
        <v>252</v>
      </c>
      <c r="R15" s="121">
        <f t="shared" si="11"/>
        <v>14440000.170000002</v>
      </c>
      <c r="S15" s="121">
        <f t="shared" si="11"/>
        <v>448135.67999999999</v>
      </c>
      <c r="T15" s="121">
        <f t="shared" si="11"/>
        <v>2396142.2799999993</v>
      </c>
      <c r="U15" s="121">
        <f t="shared" si="11"/>
        <v>337825.67</v>
      </c>
      <c r="V15" s="121">
        <f t="shared" si="11"/>
        <v>0</v>
      </c>
      <c r="W15" s="121">
        <f t="shared" si="11"/>
        <v>0</v>
      </c>
      <c r="X15" s="121">
        <f t="shared" si="11"/>
        <v>0</v>
      </c>
      <c r="Y15" s="121">
        <f t="shared" si="11"/>
        <v>0</v>
      </c>
      <c r="AC15"/>
      <c r="AF15"/>
      <c r="AG15"/>
      <c r="AK15" s="103" t="s">
        <v>896</v>
      </c>
      <c r="AL15" s="103">
        <f t="shared" si="7"/>
        <v>2</v>
      </c>
      <c r="AM15" s="133">
        <f t="shared" si="8"/>
        <v>2.0768431983385254E-3</v>
      </c>
      <c r="AN15"/>
    </row>
    <row r="16" spans="1:47" ht="15" customHeight="1" x14ac:dyDescent="0.25">
      <c r="A16" s="114" t="s">
        <v>174</v>
      </c>
      <c r="B16" s="112" t="s">
        <v>1139</v>
      </c>
      <c r="C16" s="101">
        <v>52316</v>
      </c>
      <c r="D16" s="102" t="s">
        <v>432</v>
      </c>
      <c r="E16" s="103" t="s">
        <v>46</v>
      </c>
      <c r="F16" s="103" t="s">
        <v>412</v>
      </c>
      <c r="G16" s="103" t="s">
        <v>953</v>
      </c>
      <c r="H16" s="103" t="s">
        <v>433</v>
      </c>
      <c r="I16" s="104">
        <v>43108</v>
      </c>
      <c r="J16" s="104">
        <v>43108</v>
      </c>
      <c r="K16" s="105">
        <v>2250</v>
      </c>
      <c r="M16" s="100" t="s">
        <v>949</v>
      </c>
      <c r="N16" s="100" t="s">
        <v>1333</v>
      </c>
      <c r="O16" s="100" t="s">
        <v>957</v>
      </c>
      <c r="Q16" s="112" t="s">
        <v>549</v>
      </c>
      <c r="R16" s="121">
        <f t="shared" si="11"/>
        <v>27718681.400000013</v>
      </c>
      <c r="S16" s="121">
        <f t="shared" si="11"/>
        <v>3175622.04</v>
      </c>
      <c r="T16" s="121">
        <f t="shared" si="11"/>
        <v>1959112.4600000004</v>
      </c>
      <c r="U16" s="121">
        <f t="shared" si="11"/>
        <v>875700</v>
      </c>
      <c r="V16" s="121">
        <f t="shared" si="11"/>
        <v>0</v>
      </c>
      <c r="W16" s="121">
        <f t="shared" si="11"/>
        <v>0</v>
      </c>
      <c r="X16" s="121">
        <f t="shared" si="11"/>
        <v>277099.13</v>
      </c>
      <c r="Y16" s="121">
        <f t="shared" si="11"/>
        <v>0</v>
      </c>
      <c r="AF16"/>
      <c r="AG16"/>
      <c r="AK16" s="103" t="s">
        <v>487</v>
      </c>
      <c r="AL16" s="103">
        <f t="shared" si="7"/>
        <v>2</v>
      </c>
      <c r="AM16" s="133">
        <f t="shared" si="8"/>
        <v>2.0768431983385254E-3</v>
      </c>
      <c r="AN16"/>
    </row>
    <row r="17" spans="1:46" ht="15" customHeight="1" x14ac:dyDescent="0.25">
      <c r="A17" s="114" t="s">
        <v>174</v>
      </c>
      <c r="B17" s="112" t="s">
        <v>1139</v>
      </c>
      <c r="C17" s="101">
        <v>64611</v>
      </c>
      <c r="D17" s="102" t="s">
        <v>434</v>
      </c>
      <c r="E17" s="103" t="s">
        <v>46</v>
      </c>
      <c r="F17" s="103" t="s">
        <v>412</v>
      </c>
      <c r="G17" s="103" t="s">
        <v>953</v>
      </c>
      <c r="H17" s="103" t="s">
        <v>433</v>
      </c>
      <c r="I17" s="104">
        <v>45226</v>
      </c>
      <c r="J17" s="104">
        <v>45215</v>
      </c>
      <c r="K17" s="105">
        <v>11638</v>
      </c>
      <c r="M17" s="112" t="s">
        <v>946</v>
      </c>
      <c r="N17" s="143">
        <v>1</v>
      </c>
      <c r="O17" s="133">
        <f t="shared" ref="O17:O33" si="12">N17/$N$35</f>
        <v>2.3809523809523808E-2</v>
      </c>
      <c r="Q17" s="112" t="s">
        <v>611</v>
      </c>
      <c r="R17" s="121">
        <f t="shared" si="11"/>
        <v>2542470.42</v>
      </c>
      <c r="S17" s="121">
        <f t="shared" si="11"/>
        <v>307162.21999999997</v>
      </c>
      <c r="T17" s="121">
        <f t="shared" si="11"/>
        <v>4186685.0399999996</v>
      </c>
      <c r="U17" s="121">
        <f t="shared" si="11"/>
        <v>600513.19000000006</v>
      </c>
      <c r="V17" s="121">
        <f t="shared" si="11"/>
        <v>240</v>
      </c>
      <c r="W17" s="121">
        <f t="shared" si="11"/>
        <v>0</v>
      </c>
      <c r="X17" s="121">
        <f t="shared" si="11"/>
        <v>615000</v>
      </c>
      <c r="Y17" s="121">
        <f t="shared" si="11"/>
        <v>447983.32</v>
      </c>
      <c r="AG17"/>
      <c r="AK17" s="103" t="s">
        <v>60</v>
      </c>
      <c r="AL17" s="103">
        <f t="shared" si="7"/>
        <v>1</v>
      </c>
      <c r="AM17" s="133">
        <f t="shared" si="8"/>
        <v>1.0384215991692627E-3</v>
      </c>
      <c r="AN17"/>
    </row>
    <row r="18" spans="1:46" ht="15" customHeight="1" x14ac:dyDescent="0.25">
      <c r="A18" s="114" t="s">
        <v>174</v>
      </c>
      <c r="B18" s="112" t="s">
        <v>1139</v>
      </c>
      <c r="C18" s="101">
        <v>53349</v>
      </c>
      <c r="D18" s="102" t="s">
        <v>435</v>
      </c>
      <c r="E18" s="103" t="s">
        <v>46</v>
      </c>
      <c r="F18" s="103" t="s">
        <v>412</v>
      </c>
      <c r="G18" s="103" t="s">
        <v>953</v>
      </c>
      <c r="H18" s="103" t="s">
        <v>433</v>
      </c>
      <c r="I18" s="104">
        <v>42908</v>
      </c>
      <c r="J18" s="104">
        <v>42908</v>
      </c>
      <c r="K18" s="105">
        <v>1000</v>
      </c>
      <c r="M18" s="112" t="s">
        <v>350</v>
      </c>
      <c r="N18" s="143">
        <v>1</v>
      </c>
      <c r="O18" s="133">
        <f t="shared" si="12"/>
        <v>2.3809523809523808E-2</v>
      </c>
      <c r="Q18" s="112" t="s">
        <v>688</v>
      </c>
      <c r="R18" s="121">
        <f t="shared" si="11"/>
        <v>26915883.140000001</v>
      </c>
      <c r="S18" s="121">
        <f t="shared" si="11"/>
        <v>1808987.56</v>
      </c>
      <c r="T18" s="121">
        <f t="shared" si="11"/>
        <v>8881629.2499999981</v>
      </c>
      <c r="U18" s="121">
        <f t="shared" si="11"/>
        <v>1835602.8</v>
      </c>
      <c r="V18" s="121">
        <f t="shared" si="11"/>
        <v>166881.96</v>
      </c>
      <c r="W18" s="121">
        <f t="shared" si="11"/>
        <v>66000</v>
      </c>
      <c r="X18" s="121">
        <f t="shared" si="11"/>
        <v>31200</v>
      </c>
      <c r="Y18" s="121">
        <f t="shared" si="11"/>
        <v>64000</v>
      </c>
      <c r="AG18"/>
      <c r="AK18" s="103" t="s">
        <v>833</v>
      </c>
      <c r="AL18" s="103">
        <f t="shared" si="7"/>
        <v>1</v>
      </c>
      <c r="AM18" s="133">
        <f t="shared" si="8"/>
        <v>1.0384215991692627E-3</v>
      </c>
      <c r="AN18"/>
    </row>
    <row r="19" spans="1:46" ht="15" customHeight="1" x14ac:dyDescent="0.25">
      <c r="A19" s="114" t="s">
        <v>174</v>
      </c>
      <c r="B19" s="112" t="s">
        <v>1139</v>
      </c>
      <c r="C19" s="101">
        <v>65086</v>
      </c>
      <c r="D19" s="102" t="s">
        <v>436</v>
      </c>
      <c r="E19" s="103" t="s">
        <v>46</v>
      </c>
      <c r="F19" s="103" t="s">
        <v>397</v>
      </c>
      <c r="G19" s="103" t="s">
        <v>953</v>
      </c>
      <c r="H19" s="103" t="s">
        <v>437</v>
      </c>
      <c r="I19" s="104">
        <v>45380</v>
      </c>
      <c r="J19" s="103"/>
      <c r="K19" s="105">
        <v>4655.2</v>
      </c>
      <c r="M19" s="112" t="s">
        <v>1138</v>
      </c>
      <c r="N19" s="143">
        <v>1</v>
      </c>
      <c r="O19" s="133">
        <f t="shared" si="12"/>
        <v>2.3809523809523808E-2</v>
      </c>
      <c r="Q19" s="112" t="s">
        <v>1139</v>
      </c>
      <c r="R19" s="121">
        <f t="shared" si="11"/>
        <v>9607824.4400000013</v>
      </c>
      <c r="S19" s="121">
        <f t="shared" si="11"/>
        <v>1366196.9500000002</v>
      </c>
      <c r="T19" s="121">
        <f t="shared" si="11"/>
        <v>5844667.7599999998</v>
      </c>
      <c r="U19" s="121">
        <f t="shared" si="11"/>
        <v>88441.64</v>
      </c>
      <c r="V19" s="121">
        <f t="shared" si="11"/>
        <v>130980</v>
      </c>
      <c r="W19" s="121">
        <f t="shared" si="11"/>
        <v>3216</v>
      </c>
      <c r="X19" s="121">
        <f t="shared" si="11"/>
        <v>30825</v>
      </c>
      <c r="Y19" s="121">
        <f t="shared" si="11"/>
        <v>0</v>
      </c>
      <c r="AG19"/>
      <c r="AK19" s="103" t="s">
        <v>837</v>
      </c>
      <c r="AL19" s="103">
        <f t="shared" si="7"/>
        <v>1</v>
      </c>
      <c r="AM19" s="133">
        <f t="shared" si="8"/>
        <v>1.0384215991692627E-3</v>
      </c>
      <c r="AN19"/>
    </row>
    <row r="20" spans="1:46" ht="15" customHeight="1" x14ac:dyDescent="0.25">
      <c r="A20" s="114" t="s">
        <v>174</v>
      </c>
      <c r="B20" s="112" t="s">
        <v>1139</v>
      </c>
      <c r="C20" s="101">
        <v>51831</v>
      </c>
      <c r="D20" s="102" t="s">
        <v>438</v>
      </c>
      <c r="E20" s="103" t="s">
        <v>46</v>
      </c>
      <c r="F20" s="103" t="s">
        <v>412</v>
      </c>
      <c r="G20" s="103" t="s">
        <v>954</v>
      </c>
      <c r="H20" s="103" t="s">
        <v>437</v>
      </c>
      <c r="I20" s="104">
        <v>42277</v>
      </c>
      <c r="J20" s="104">
        <v>42277</v>
      </c>
      <c r="K20" s="105">
        <v>14959.99</v>
      </c>
      <c r="M20" s="112" t="s">
        <v>1543</v>
      </c>
      <c r="N20" s="143">
        <v>1</v>
      </c>
      <c r="O20" s="133">
        <f t="shared" si="12"/>
        <v>2.3809523809523808E-2</v>
      </c>
      <c r="AN20"/>
    </row>
    <row r="21" spans="1:46" ht="15" customHeight="1" x14ac:dyDescent="0.25">
      <c r="A21" s="114" t="s">
        <v>174</v>
      </c>
      <c r="B21" s="112" t="s">
        <v>1139</v>
      </c>
      <c r="C21" s="101">
        <v>65075</v>
      </c>
      <c r="D21" s="102" t="s">
        <v>439</v>
      </c>
      <c r="E21" s="103" t="s">
        <v>46</v>
      </c>
      <c r="F21" s="103" t="s">
        <v>440</v>
      </c>
      <c r="G21" s="103" t="s">
        <v>954</v>
      </c>
      <c r="H21" s="103" t="s">
        <v>437</v>
      </c>
      <c r="I21" s="104">
        <v>45380</v>
      </c>
      <c r="J21" s="103"/>
      <c r="K21" s="105">
        <v>82801.64</v>
      </c>
      <c r="M21" s="112" t="s">
        <v>1840</v>
      </c>
      <c r="N21" s="143">
        <v>1</v>
      </c>
      <c r="O21" s="133">
        <f t="shared" si="12"/>
        <v>2.3809523809523808E-2</v>
      </c>
      <c r="AK21" s="138" t="s">
        <v>942</v>
      </c>
      <c r="AL21" s="139">
        <f>SUM(AL3:AL19)</f>
        <v>963</v>
      </c>
      <c r="AN21"/>
    </row>
    <row r="22" spans="1:46" ht="15" customHeight="1" x14ac:dyDescent="0.25">
      <c r="A22" s="114" t="s">
        <v>174</v>
      </c>
      <c r="B22" s="112" t="s">
        <v>1139</v>
      </c>
      <c r="C22" s="101">
        <v>65160</v>
      </c>
      <c r="D22" s="102" t="s">
        <v>441</v>
      </c>
      <c r="E22" s="103" t="s">
        <v>46</v>
      </c>
      <c r="F22" s="103" t="s">
        <v>412</v>
      </c>
      <c r="G22" s="103" t="s">
        <v>954</v>
      </c>
      <c r="H22" s="103" t="s">
        <v>437</v>
      </c>
      <c r="I22" s="104">
        <v>45275</v>
      </c>
      <c r="J22" s="104">
        <v>45275</v>
      </c>
      <c r="K22" s="105">
        <v>25000</v>
      </c>
      <c r="M22" s="112" t="s">
        <v>1917</v>
      </c>
      <c r="N22" s="143">
        <v>1</v>
      </c>
      <c r="O22" s="133">
        <f t="shared" si="12"/>
        <v>2.3809523809523808E-2</v>
      </c>
      <c r="Q22" s="123" t="s">
        <v>950</v>
      </c>
      <c r="R22" s="126">
        <f t="shared" ref="R22:Y22" si="13">SUM(R3:R18)</f>
        <v>97953279.960000008</v>
      </c>
      <c r="S22" s="126">
        <f t="shared" si="13"/>
        <v>8566720.5</v>
      </c>
      <c r="T22" s="126">
        <f t="shared" si="13"/>
        <v>40061209.219999999</v>
      </c>
      <c r="U22" s="126">
        <f t="shared" si="13"/>
        <v>6473863.7299999995</v>
      </c>
      <c r="V22" s="126">
        <f t="shared" si="13"/>
        <v>825945.98</v>
      </c>
      <c r="W22" s="126">
        <f t="shared" si="13"/>
        <v>66000</v>
      </c>
      <c r="X22" s="126">
        <f t="shared" si="13"/>
        <v>1039549.13</v>
      </c>
      <c r="Y22" s="126">
        <f t="shared" si="13"/>
        <v>847383.32000000007</v>
      </c>
      <c r="AC22"/>
      <c r="AG22"/>
      <c r="AN22"/>
    </row>
    <row r="23" spans="1:46" ht="15" customHeight="1" x14ac:dyDescent="0.25">
      <c r="A23" s="114" t="s">
        <v>174</v>
      </c>
      <c r="B23" s="112" t="s">
        <v>1139</v>
      </c>
      <c r="C23" s="101">
        <v>65026</v>
      </c>
      <c r="D23" s="106" t="s">
        <v>547</v>
      </c>
      <c r="E23" s="107" t="s">
        <v>48</v>
      </c>
      <c r="F23" s="107" t="s">
        <v>440</v>
      </c>
      <c r="G23" s="103" t="s">
        <v>954</v>
      </c>
      <c r="H23" s="107" t="s">
        <v>437</v>
      </c>
      <c r="I23" s="104">
        <v>45408</v>
      </c>
      <c r="J23" s="107"/>
      <c r="K23" s="105">
        <v>5640</v>
      </c>
      <c r="M23" s="112" t="s">
        <v>1840</v>
      </c>
      <c r="N23" s="143">
        <v>2</v>
      </c>
      <c r="O23" s="133">
        <f t="shared" si="12"/>
        <v>4.7619047619047616E-2</v>
      </c>
      <c r="Q23"/>
      <c r="AC23"/>
      <c r="AG23"/>
      <c r="AK23"/>
      <c r="AN23"/>
    </row>
    <row r="24" spans="1:46" ht="15" customHeight="1" x14ac:dyDescent="0.25">
      <c r="A24" s="114" t="s">
        <v>146</v>
      </c>
      <c r="B24" s="112" t="s">
        <v>1139</v>
      </c>
      <c r="C24" s="101">
        <v>57779</v>
      </c>
      <c r="D24" s="102" t="s">
        <v>442</v>
      </c>
      <c r="E24" s="103" t="s">
        <v>67</v>
      </c>
      <c r="F24" s="103" t="s">
        <v>397</v>
      </c>
      <c r="G24" s="103" t="s">
        <v>954</v>
      </c>
      <c r="H24" s="103" t="s">
        <v>437</v>
      </c>
      <c r="I24" s="104">
        <v>44163</v>
      </c>
      <c r="J24" s="103"/>
      <c r="K24" s="105">
        <v>31777.200000000001</v>
      </c>
      <c r="M24" s="112" t="s">
        <v>947</v>
      </c>
      <c r="N24" s="143">
        <v>2</v>
      </c>
      <c r="O24" s="133">
        <f t="shared" si="12"/>
        <v>4.7619047619047616E-2</v>
      </c>
      <c r="Q24" s="100" t="s">
        <v>949</v>
      </c>
      <c r="R24" s="103" t="s">
        <v>412</v>
      </c>
      <c r="S24" s="103" t="s">
        <v>401</v>
      </c>
      <c r="T24" s="103" t="s">
        <v>397</v>
      </c>
      <c r="U24" s="103" t="s">
        <v>440</v>
      </c>
      <c r="V24" s="103" t="s">
        <v>398</v>
      </c>
      <c r="W24" s="103" t="s">
        <v>446</v>
      </c>
      <c r="X24" s="103" t="s">
        <v>400</v>
      </c>
      <c r="Y24" s="103" t="s">
        <v>485</v>
      </c>
      <c r="Z24" s="124" t="s">
        <v>951</v>
      </c>
      <c r="AC24"/>
      <c r="AG24"/>
      <c r="AK24"/>
      <c r="AN24"/>
    </row>
    <row r="25" spans="1:46" ht="15" customHeight="1" x14ac:dyDescent="0.25">
      <c r="A25" s="114" t="s">
        <v>146</v>
      </c>
      <c r="B25" s="112" t="s">
        <v>1139</v>
      </c>
      <c r="C25" s="101">
        <v>64769</v>
      </c>
      <c r="D25" s="102" t="s">
        <v>443</v>
      </c>
      <c r="E25" s="103" t="s">
        <v>68</v>
      </c>
      <c r="F25" s="103" t="s">
        <v>398</v>
      </c>
      <c r="G25" s="103" t="s">
        <v>954</v>
      </c>
      <c r="H25" s="103" t="s">
        <v>437</v>
      </c>
      <c r="I25" s="104">
        <v>45380</v>
      </c>
      <c r="J25" s="103"/>
      <c r="K25" s="105">
        <v>130500</v>
      </c>
      <c r="M25" s="120" t="s">
        <v>404</v>
      </c>
      <c r="N25" s="143">
        <v>2</v>
      </c>
      <c r="O25" s="133">
        <f t="shared" si="12"/>
        <v>4.7619047619047616E-2</v>
      </c>
      <c r="Q25" s="112" t="s">
        <v>946</v>
      </c>
      <c r="R25" s="122">
        <f t="shared" ref="R25:Y34" si="14">R3/$N$12</f>
        <v>1.3314204880971016E-2</v>
      </c>
      <c r="S25" s="122">
        <f t="shared" si="14"/>
        <v>2.9634526664683775E-3</v>
      </c>
      <c r="T25" s="122">
        <f t="shared" si="14"/>
        <v>2.137565510615082E-3</v>
      </c>
      <c r="U25" s="122">
        <f t="shared" si="14"/>
        <v>3.9024540670621714E-3</v>
      </c>
      <c r="V25" s="122">
        <f t="shared" si="14"/>
        <v>0</v>
      </c>
      <c r="W25" s="122">
        <f t="shared" si="14"/>
        <v>0</v>
      </c>
      <c r="X25" s="122">
        <f t="shared" si="14"/>
        <v>2.8933804196364565E-4</v>
      </c>
      <c r="Y25" s="122">
        <f t="shared" si="14"/>
        <v>0</v>
      </c>
      <c r="Z25" s="125">
        <f>SUM(R25:Y25)</f>
        <v>2.2607015167080292E-2</v>
      </c>
      <c r="AC25"/>
      <c r="AG25"/>
      <c r="AK25"/>
      <c r="AN25"/>
    </row>
    <row r="26" spans="1:46" ht="15" customHeight="1" x14ac:dyDescent="0.25">
      <c r="A26" s="114" t="s">
        <v>146</v>
      </c>
      <c r="B26" s="112" t="s">
        <v>1139</v>
      </c>
      <c r="C26" s="101">
        <v>65429</v>
      </c>
      <c r="D26" s="102" t="s">
        <v>444</v>
      </c>
      <c r="E26" s="103" t="s">
        <v>46</v>
      </c>
      <c r="F26" s="103" t="s">
        <v>397</v>
      </c>
      <c r="G26" s="103" t="s">
        <v>954</v>
      </c>
      <c r="H26" s="103" t="s">
        <v>437</v>
      </c>
      <c r="I26" s="104">
        <v>45471</v>
      </c>
      <c r="J26" s="103"/>
      <c r="K26" s="105">
        <v>49050</v>
      </c>
      <c r="M26" s="112" t="s">
        <v>943</v>
      </c>
      <c r="N26" s="143">
        <v>2</v>
      </c>
      <c r="O26" s="133">
        <f t="shared" si="12"/>
        <v>4.7619047619047616E-2</v>
      </c>
      <c r="Q26" s="112" t="s">
        <v>350</v>
      </c>
      <c r="R26" s="122">
        <f t="shared" si="14"/>
        <v>2.0070390499801815E-2</v>
      </c>
      <c r="S26" s="122">
        <f t="shared" si="14"/>
        <v>4.8687373020531071E-3</v>
      </c>
      <c r="T26" s="122">
        <f t="shared" si="14"/>
        <v>8.6113790910800542E-2</v>
      </c>
      <c r="U26" s="122">
        <f t="shared" si="14"/>
        <v>0</v>
      </c>
      <c r="V26" s="122">
        <f t="shared" si="14"/>
        <v>0</v>
      </c>
      <c r="W26" s="122">
        <f t="shared" si="14"/>
        <v>0</v>
      </c>
      <c r="X26" s="122">
        <f t="shared" si="14"/>
        <v>0</v>
      </c>
      <c r="Y26" s="122">
        <f t="shared" si="14"/>
        <v>0</v>
      </c>
      <c r="Z26" s="125">
        <f t="shared" ref="Z26:Z40" si="15">SUM(R26:Y26)</f>
        <v>0.11105291871265546</v>
      </c>
      <c r="AC26"/>
      <c r="AG26"/>
      <c r="AK26"/>
      <c r="AN26"/>
    </row>
    <row r="27" spans="1:46" ht="15" customHeight="1" x14ac:dyDescent="0.25">
      <c r="A27" s="114" t="s">
        <v>146</v>
      </c>
      <c r="B27" s="112" t="s">
        <v>1139</v>
      </c>
      <c r="C27" s="101">
        <v>63692</v>
      </c>
      <c r="D27" s="102" t="s">
        <v>445</v>
      </c>
      <c r="E27" s="103" t="s">
        <v>48</v>
      </c>
      <c r="F27" s="103" t="s">
        <v>446</v>
      </c>
      <c r="G27" s="103" t="s">
        <v>447</v>
      </c>
      <c r="H27" s="103" t="s">
        <v>437</v>
      </c>
      <c r="I27" s="104">
        <v>45107</v>
      </c>
      <c r="J27" s="103"/>
      <c r="K27" s="105">
        <v>2736</v>
      </c>
      <c r="M27" s="112" t="s">
        <v>944</v>
      </c>
      <c r="N27" s="143">
        <v>2</v>
      </c>
      <c r="O27" s="133">
        <f t="shared" si="12"/>
        <v>4.7619047619047616E-2</v>
      </c>
      <c r="Q27" s="112" t="s">
        <v>1138</v>
      </c>
      <c r="R27" s="122">
        <f t="shared" si="14"/>
        <v>2.3476621035626553E-2</v>
      </c>
      <c r="S27" s="122">
        <f t="shared" si="14"/>
        <v>2.3467190444098557E-3</v>
      </c>
      <c r="T27" s="122">
        <f t="shared" si="14"/>
        <v>9.6219476753179357E-3</v>
      </c>
      <c r="U27" s="122">
        <f t="shared" si="14"/>
        <v>8.5340913197700817E-4</v>
      </c>
      <c r="V27" s="122">
        <f t="shared" si="14"/>
        <v>2.3383821565793228E-3</v>
      </c>
      <c r="W27" s="122">
        <f t="shared" si="14"/>
        <v>0</v>
      </c>
      <c r="X27" s="122">
        <f t="shared" si="14"/>
        <v>0</v>
      </c>
      <c r="Y27" s="122">
        <f t="shared" si="14"/>
        <v>0</v>
      </c>
      <c r="Z27" s="125">
        <f t="shared" si="15"/>
        <v>3.8637079043910671E-2</v>
      </c>
      <c r="AC27"/>
      <c r="AG27"/>
      <c r="AK27"/>
      <c r="AN27"/>
    </row>
    <row r="28" spans="1:46" ht="15" customHeight="1" x14ac:dyDescent="0.25">
      <c r="A28" s="114" t="s">
        <v>146</v>
      </c>
      <c r="B28" s="112" t="s">
        <v>1139</v>
      </c>
      <c r="C28" s="101">
        <v>65398</v>
      </c>
      <c r="D28" s="102" t="s">
        <v>448</v>
      </c>
      <c r="E28" s="103" t="s">
        <v>46</v>
      </c>
      <c r="F28" s="103" t="s">
        <v>400</v>
      </c>
      <c r="G28" s="103" t="s">
        <v>447</v>
      </c>
      <c r="H28" s="103" t="s">
        <v>437</v>
      </c>
      <c r="I28" s="104">
        <v>45408</v>
      </c>
      <c r="J28" s="103"/>
      <c r="K28" s="105">
        <v>14025</v>
      </c>
      <c r="M28" s="112" t="s">
        <v>945</v>
      </c>
      <c r="N28" s="143">
        <v>2</v>
      </c>
      <c r="O28" s="133">
        <f t="shared" si="12"/>
        <v>4.7619047619047616E-2</v>
      </c>
      <c r="Q28" s="112" t="s">
        <v>1543</v>
      </c>
      <c r="R28" s="122">
        <f t="shared" si="14"/>
        <v>5.8840671635032454E-2</v>
      </c>
      <c r="S28" s="122">
        <f t="shared" si="14"/>
        <v>0</v>
      </c>
      <c r="T28" s="122">
        <f t="shared" si="14"/>
        <v>1.9531087925948293E-2</v>
      </c>
      <c r="U28" s="122">
        <f t="shared" si="14"/>
        <v>0</v>
      </c>
      <c r="V28" s="122">
        <f t="shared" si="14"/>
        <v>0</v>
      </c>
      <c r="W28" s="122">
        <f t="shared" si="14"/>
        <v>0</v>
      </c>
      <c r="X28" s="122">
        <f t="shared" si="14"/>
        <v>0</v>
      </c>
      <c r="Y28" s="122">
        <f t="shared" si="14"/>
        <v>0</v>
      </c>
      <c r="Z28" s="125">
        <f t="shared" si="15"/>
        <v>7.8371759560980747E-2</v>
      </c>
      <c r="AC28"/>
      <c r="AG28"/>
      <c r="AK28"/>
      <c r="AN28"/>
    </row>
    <row r="29" spans="1:46" ht="15" customHeight="1" x14ac:dyDescent="0.25">
      <c r="A29" s="114" t="s">
        <v>146</v>
      </c>
      <c r="B29" s="112" t="s">
        <v>1139</v>
      </c>
      <c r="C29" s="101">
        <v>64887</v>
      </c>
      <c r="D29" s="102" t="s">
        <v>449</v>
      </c>
      <c r="E29" s="103" t="s">
        <v>68</v>
      </c>
      <c r="F29" s="103" t="s">
        <v>401</v>
      </c>
      <c r="G29" s="103" t="s">
        <v>447</v>
      </c>
      <c r="H29" s="103" t="s">
        <v>437</v>
      </c>
      <c r="I29" s="104">
        <v>45381</v>
      </c>
      <c r="J29" s="103"/>
      <c r="K29" s="105">
        <v>174873.60000000001</v>
      </c>
      <c r="M29" s="112" t="s">
        <v>252</v>
      </c>
      <c r="N29" s="143">
        <v>2</v>
      </c>
      <c r="O29" s="133">
        <f t="shared" si="12"/>
        <v>4.7619047619047616E-2</v>
      </c>
      <c r="Q29" s="112" t="s">
        <v>1840</v>
      </c>
      <c r="R29" s="122">
        <f t="shared" si="14"/>
        <v>9.1473224473169537E-3</v>
      </c>
      <c r="S29" s="122">
        <f t="shared" si="14"/>
        <v>2.492214551692587E-3</v>
      </c>
      <c r="T29" s="122">
        <f t="shared" si="14"/>
        <v>5.2395555321227763E-3</v>
      </c>
      <c r="U29" s="122">
        <f t="shared" si="14"/>
        <v>2.8679351886922288E-3</v>
      </c>
      <c r="V29" s="122">
        <f t="shared" si="14"/>
        <v>0</v>
      </c>
      <c r="W29" s="122">
        <f t="shared" si="14"/>
        <v>0</v>
      </c>
      <c r="X29" s="122">
        <f t="shared" si="14"/>
        <v>1.9820098287417931E-4</v>
      </c>
      <c r="Y29" s="122">
        <f t="shared" si="14"/>
        <v>0</v>
      </c>
      <c r="Z29" s="125">
        <f t="shared" si="15"/>
        <v>1.9945228702698728E-2</v>
      </c>
      <c r="AC29"/>
      <c r="AG29"/>
      <c r="AH29"/>
      <c r="AI29"/>
      <c r="AJ29"/>
      <c r="AK29"/>
      <c r="AL29"/>
      <c r="AM29"/>
      <c r="AN29"/>
      <c r="AT29"/>
    </row>
    <row r="30" spans="1:46" ht="15" customHeight="1" x14ac:dyDescent="0.25">
      <c r="A30" s="114" t="s">
        <v>146</v>
      </c>
      <c r="B30" s="112" t="s">
        <v>1139</v>
      </c>
      <c r="C30" s="101">
        <v>63128</v>
      </c>
      <c r="D30" s="102" t="s">
        <v>450</v>
      </c>
      <c r="E30" s="103" t="s">
        <v>451</v>
      </c>
      <c r="F30" s="103" t="s">
        <v>397</v>
      </c>
      <c r="G30" s="103" t="s">
        <v>447</v>
      </c>
      <c r="H30" s="103" t="s">
        <v>437</v>
      </c>
      <c r="I30" s="104">
        <v>45107</v>
      </c>
      <c r="J30" s="103"/>
      <c r="K30" s="105">
        <v>8400</v>
      </c>
      <c r="M30" s="112" t="s">
        <v>549</v>
      </c>
      <c r="N30" s="143">
        <v>4</v>
      </c>
      <c r="O30" s="133">
        <f t="shared" si="12"/>
        <v>9.5238095238095233E-2</v>
      </c>
      <c r="Q30" s="112" t="s">
        <v>1917</v>
      </c>
      <c r="R30" s="122">
        <f t="shared" si="14"/>
        <v>3.0168070143251876E-3</v>
      </c>
      <c r="S30" s="122">
        <f t="shared" si="14"/>
        <v>0</v>
      </c>
      <c r="T30" s="122">
        <f t="shared" si="14"/>
        <v>3.4998541914118522E-4</v>
      </c>
      <c r="U30" s="122">
        <f t="shared" si="14"/>
        <v>0</v>
      </c>
      <c r="V30" s="122">
        <f t="shared" si="14"/>
        <v>0</v>
      </c>
      <c r="W30" s="122">
        <f t="shared" si="14"/>
        <v>0</v>
      </c>
      <c r="X30" s="122">
        <f t="shared" si="14"/>
        <v>0</v>
      </c>
      <c r="Y30" s="122">
        <f t="shared" si="14"/>
        <v>0</v>
      </c>
      <c r="Z30" s="125">
        <f t="shared" si="15"/>
        <v>3.3667924334663726E-3</v>
      </c>
      <c r="AC30"/>
      <c r="AG30"/>
      <c r="AH30"/>
      <c r="AI30"/>
      <c r="AJ30"/>
      <c r="AK30"/>
      <c r="AL30"/>
      <c r="AM30"/>
      <c r="AN30"/>
      <c r="AT30"/>
    </row>
    <row r="31" spans="1:46" ht="15" customHeight="1" x14ac:dyDescent="0.25">
      <c r="A31" s="116" t="s">
        <v>196</v>
      </c>
      <c r="B31" s="112" t="s">
        <v>404</v>
      </c>
      <c r="C31" s="101">
        <v>65022</v>
      </c>
      <c r="D31" s="102" t="s">
        <v>452</v>
      </c>
      <c r="E31" s="103" t="s">
        <v>46</v>
      </c>
      <c r="F31" s="103" t="s">
        <v>401</v>
      </c>
      <c r="G31" s="103" t="s">
        <v>417</v>
      </c>
      <c r="H31" s="103" t="s">
        <v>414</v>
      </c>
      <c r="I31" s="104">
        <v>45593</v>
      </c>
      <c r="J31" s="103"/>
      <c r="K31" s="105">
        <v>95642.75</v>
      </c>
      <c r="M31" s="112" t="s">
        <v>611</v>
      </c>
      <c r="N31" s="143">
        <v>4</v>
      </c>
      <c r="O31" s="133">
        <f t="shared" si="12"/>
        <v>9.5238095238095233E-2</v>
      </c>
      <c r="Q31" s="112" t="s">
        <v>1840</v>
      </c>
      <c r="R31" s="122">
        <f t="shared" si="14"/>
        <v>9.1473224473169537E-3</v>
      </c>
      <c r="S31" s="122">
        <f t="shared" si="14"/>
        <v>2.492214551692587E-3</v>
      </c>
      <c r="T31" s="122">
        <f t="shared" si="14"/>
        <v>5.2395555321227763E-3</v>
      </c>
      <c r="U31" s="122">
        <f t="shared" si="14"/>
        <v>2.8679351886922288E-3</v>
      </c>
      <c r="V31" s="122">
        <f t="shared" si="14"/>
        <v>0</v>
      </c>
      <c r="W31" s="122">
        <f t="shared" si="14"/>
        <v>0</v>
      </c>
      <c r="X31" s="122">
        <f t="shared" si="14"/>
        <v>1.9820098287417931E-4</v>
      </c>
      <c r="Y31" s="122">
        <f t="shared" si="14"/>
        <v>0</v>
      </c>
      <c r="Z31" s="125">
        <f t="shared" si="15"/>
        <v>1.9945228702698728E-2</v>
      </c>
      <c r="AC31"/>
      <c r="AE31"/>
      <c r="AF31"/>
      <c r="AG31"/>
      <c r="AH31"/>
      <c r="AI31"/>
      <c r="AJ31"/>
      <c r="AK31"/>
      <c r="AL31"/>
      <c r="AM31"/>
      <c r="AN31"/>
      <c r="AT31"/>
    </row>
    <row r="32" spans="1:46" ht="15" customHeight="1" x14ac:dyDescent="0.25">
      <c r="A32" s="116" t="s">
        <v>196</v>
      </c>
      <c r="B32" s="112" t="s">
        <v>404</v>
      </c>
      <c r="C32" s="101">
        <v>65132</v>
      </c>
      <c r="D32" s="102" t="s">
        <v>453</v>
      </c>
      <c r="E32" s="103" t="s">
        <v>46</v>
      </c>
      <c r="F32" s="103" t="s">
        <v>412</v>
      </c>
      <c r="G32" s="103" t="s">
        <v>422</v>
      </c>
      <c r="H32" s="103" t="s">
        <v>423</v>
      </c>
      <c r="I32" s="104">
        <v>45258</v>
      </c>
      <c r="J32" s="104">
        <v>45259</v>
      </c>
      <c r="K32" s="105">
        <v>7713.75</v>
      </c>
      <c r="M32" s="112" t="s">
        <v>688</v>
      </c>
      <c r="N32" s="143">
        <v>6</v>
      </c>
      <c r="O32" s="133">
        <f t="shared" si="12"/>
        <v>0.14285714285714285</v>
      </c>
      <c r="Q32" s="112" t="s">
        <v>947</v>
      </c>
      <c r="R32" s="122">
        <f t="shared" si="14"/>
        <v>4.670995484789252E-3</v>
      </c>
      <c r="S32" s="122">
        <f t="shared" si="14"/>
        <v>0</v>
      </c>
      <c r="T32" s="122">
        <f t="shared" si="14"/>
        <v>2.2860254203363128E-3</v>
      </c>
      <c r="U32" s="122">
        <f t="shared" si="14"/>
        <v>0</v>
      </c>
      <c r="V32" s="122">
        <f t="shared" si="14"/>
        <v>0</v>
      </c>
      <c r="W32" s="122">
        <f t="shared" si="14"/>
        <v>0</v>
      </c>
      <c r="X32" s="122">
        <f t="shared" si="14"/>
        <v>0</v>
      </c>
      <c r="Y32" s="122">
        <f t="shared" si="14"/>
        <v>1.8298197883205483E-3</v>
      </c>
      <c r="Z32" s="125">
        <f t="shared" si="15"/>
        <v>8.7868406934461119E-3</v>
      </c>
      <c r="AC32"/>
      <c r="AE32"/>
      <c r="AF32"/>
      <c r="AG32"/>
      <c r="AH32"/>
      <c r="AI32"/>
      <c r="AJ32"/>
      <c r="AK32"/>
      <c r="AL32"/>
      <c r="AM32"/>
      <c r="AN32"/>
      <c r="AT32"/>
    </row>
    <row r="33" spans="1:46" ht="15" customHeight="1" x14ac:dyDescent="0.25">
      <c r="A33" s="116" t="s">
        <v>196</v>
      </c>
      <c r="B33" s="112" t="s">
        <v>404</v>
      </c>
      <c r="C33" s="101">
        <v>63304</v>
      </c>
      <c r="D33" s="102" t="s">
        <v>454</v>
      </c>
      <c r="E33" s="103" t="s">
        <v>46</v>
      </c>
      <c r="F33" s="103" t="s">
        <v>412</v>
      </c>
      <c r="G33" s="103" t="s">
        <v>447</v>
      </c>
      <c r="H33" s="103" t="s">
        <v>423</v>
      </c>
      <c r="I33" s="104">
        <v>45226</v>
      </c>
      <c r="J33" s="104">
        <v>45218</v>
      </c>
      <c r="K33" s="105">
        <v>64500</v>
      </c>
      <c r="M33" s="112" t="s">
        <v>1139</v>
      </c>
      <c r="N33" s="143">
        <v>8</v>
      </c>
      <c r="O33" s="133">
        <f t="shared" si="12"/>
        <v>0.19047619047619047</v>
      </c>
      <c r="Q33" s="120" t="s">
        <v>404</v>
      </c>
      <c r="R33" s="122">
        <f t="shared" si="14"/>
        <v>4.9489576161733482E-4</v>
      </c>
      <c r="S33" s="122">
        <f t="shared" si="14"/>
        <v>5.6418116234492296E-4</v>
      </c>
      <c r="T33" s="122">
        <f t="shared" si="14"/>
        <v>0</v>
      </c>
      <c r="U33" s="122">
        <f t="shared" si="14"/>
        <v>0</v>
      </c>
      <c r="V33" s="122">
        <f t="shared" si="14"/>
        <v>0</v>
      </c>
      <c r="W33" s="122">
        <f t="shared" si="14"/>
        <v>0</v>
      </c>
      <c r="X33" s="122">
        <f t="shared" si="14"/>
        <v>0</v>
      </c>
      <c r="Y33" s="122">
        <f t="shared" si="14"/>
        <v>0</v>
      </c>
      <c r="Z33" s="125">
        <f t="shared" si="15"/>
        <v>1.0590769239622578E-3</v>
      </c>
      <c r="AC33"/>
      <c r="AE33"/>
      <c r="AF33"/>
      <c r="AG33"/>
      <c r="AH33"/>
      <c r="AI33"/>
      <c r="AJ33"/>
      <c r="AK33"/>
      <c r="AL33"/>
      <c r="AM33"/>
      <c r="AN33"/>
      <c r="AT33"/>
    </row>
    <row r="34" spans="1:46" ht="15" customHeight="1" x14ac:dyDescent="0.25">
      <c r="A34" s="116" t="s">
        <v>196</v>
      </c>
      <c r="B34" s="112" t="s">
        <v>404</v>
      </c>
      <c r="C34" s="101">
        <v>65092</v>
      </c>
      <c r="D34" s="102" t="s">
        <v>455</v>
      </c>
      <c r="E34" s="103" t="s">
        <v>46</v>
      </c>
      <c r="F34" s="103" t="s">
        <v>412</v>
      </c>
      <c r="G34" s="103" t="s">
        <v>422</v>
      </c>
      <c r="H34" s="103" t="s">
        <v>423</v>
      </c>
      <c r="I34" s="104">
        <v>45296</v>
      </c>
      <c r="J34" s="104">
        <v>45296</v>
      </c>
      <c r="K34" s="105">
        <v>11683.4</v>
      </c>
      <c r="Q34" s="112" t="s">
        <v>943</v>
      </c>
      <c r="R34" s="122">
        <f t="shared" si="14"/>
        <v>5.0720061542849255E-3</v>
      </c>
      <c r="S34" s="122">
        <f t="shared" si="14"/>
        <v>6.89574606846742E-4</v>
      </c>
      <c r="T34" s="122">
        <f t="shared" si="14"/>
        <v>3.9091769736151983E-4</v>
      </c>
      <c r="U34" s="122">
        <f t="shared" si="14"/>
        <v>5.6526302117412214E-3</v>
      </c>
      <c r="V34" s="122">
        <f t="shared" si="14"/>
        <v>1.3803282735880344E-4</v>
      </c>
      <c r="W34" s="122">
        <f t="shared" si="14"/>
        <v>0</v>
      </c>
      <c r="X34" s="122">
        <f t="shared" si="14"/>
        <v>0</v>
      </c>
      <c r="Y34" s="122">
        <f t="shared" si="14"/>
        <v>1.4865073715563447E-4</v>
      </c>
      <c r="Z34" s="125">
        <f t="shared" si="15"/>
        <v>1.2091812234748846E-2</v>
      </c>
      <c r="AC34"/>
      <c r="AD34"/>
      <c r="AE34"/>
      <c r="AF34"/>
      <c r="AG34"/>
      <c r="AH34"/>
      <c r="AI34"/>
      <c r="AJ34"/>
      <c r="AK34"/>
      <c r="AL34"/>
      <c r="AM34"/>
      <c r="AN34"/>
      <c r="AT34"/>
    </row>
    <row r="35" spans="1:46" ht="15" customHeight="1" x14ac:dyDescent="0.25">
      <c r="A35" s="116" t="s">
        <v>468</v>
      </c>
      <c r="B35" s="112" t="s">
        <v>549</v>
      </c>
      <c r="C35" s="101">
        <v>61359</v>
      </c>
      <c r="D35" s="102" t="s">
        <v>456</v>
      </c>
      <c r="E35" s="103" t="s">
        <v>46</v>
      </c>
      <c r="F35" s="103" t="s">
        <v>412</v>
      </c>
      <c r="G35" s="103" t="s">
        <v>417</v>
      </c>
      <c r="H35" s="103" t="s">
        <v>414</v>
      </c>
      <c r="I35" s="104">
        <v>45320</v>
      </c>
      <c r="J35" s="104">
        <v>45320</v>
      </c>
      <c r="K35" s="105">
        <v>206401.79</v>
      </c>
      <c r="M35" s="123" t="s">
        <v>942</v>
      </c>
      <c r="N35" s="134">
        <f>SUM(N17:N33)</f>
        <v>42</v>
      </c>
      <c r="Q35" s="112" t="s">
        <v>944</v>
      </c>
      <c r="R35" s="122">
        <f t="shared" ref="R35:Y41" si="16">R13/$N$12</f>
        <v>7.1544390531057798E-4</v>
      </c>
      <c r="S35" s="122">
        <f t="shared" si="16"/>
        <v>1.958824442932657E-4</v>
      </c>
      <c r="T35" s="122">
        <f t="shared" si="16"/>
        <v>1.7696516328051723E-5</v>
      </c>
      <c r="U35" s="122">
        <f t="shared" si="16"/>
        <v>1.8967179289954822E-4</v>
      </c>
      <c r="V35" s="122">
        <f t="shared" si="16"/>
        <v>0</v>
      </c>
      <c r="W35" s="122">
        <f t="shared" si="16"/>
        <v>0</v>
      </c>
      <c r="X35" s="122">
        <f t="shared" si="16"/>
        <v>0</v>
      </c>
      <c r="Y35" s="122">
        <f t="shared" si="16"/>
        <v>0</v>
      </c>
      <c r="Z35" s="125">
        <f t="shared" si="15"/>
        <v>1.1186946588314435E-3</v>
      </c>
      <c r="AC35"/>
      <c r="AD35"/>
      <c r="AE35"/>
      <c r="AF35"/>
      <c r="AG35"/>
      <c r="AH35"/>
      <c r="AI35"/>
      <c r="AJ35"/>
      <c r="AK35"/>
      <c r="AL35"/>
      <c r="AM35"/>
      <c r="AN35"/>
      <c r="AT35"/>
    </row>
    <row r="36" spans="1:46" ht="15" customHeight="1" x14ac:dyDescent="0.25">
      <c r="A36" s="116" t="s">
        <v>468</v>
      </c>
      <c r="B36" s="112" t="s">
        <v>549</v>
      </c>
      <c r="C36" s="101">
        <v>65405</v>
      </c>
      <c r="D36" s="102" t="s">
        <v>457</v>
      </c>
      <c r="E36" s="103" t="s">
        <v>46</v>
      </c>
      <c r="F36" s="103" t="s">
        <v>401</v>
      </c>
      <c r="G36" s="103" t="s">
        <v>417</v>
      </c>
      <c r="H36" s="103" t="s">
        <v>414</v>
      </c>
      <c r="I36" s="104">
        <v>46412</v>
      </c>
      <c r="J36" s="103"/>
      <c r="K36" s="105">
        <v>235298.04</v>
      </c>
      <c r="Q36" s="112" t="s">
        <v>945</v>
      </c>
      <c r="R36" s="122">
        <f t="shared" si="16"/>
        <v>7.38658095149457E-3</v>
      </c>
      <c r="S36" s="122">
        <f t="shared" si="16"/>
        <v>6.1937807148181029E-5</v>
      </c>
      <c r="T36" s="122">
        <f t="shared" si="16"/>
        <v>2.6076616102038369E-3</v>
      </c>
      <c r="U36" s="122">
        <f t="shared" si="16"/>
        <v>3.2559507753527239E-4</v>
      </c>
      <c r="V36" s="122">
        <f t="shared" si="16"/>
        <v>1.409881691809432E-3</v>
      </c>
      <c r="W36" s="122">
        <f t="shared" si="16"/>
        <v>0</v>
      </c>
      <c r="X36" s="122">
        <f t="shared" si="16"/>
        <v>0</v>
      </c>
      <c r="Y36" s="122">
        <f t="shared" si="16"/>
        <v>0</v>
      </c>
      <c r="Z36" s="125">
        <f t="shared" si="15"/>
        <v>1.1791657138191294E-2</v>
      </c>
      <c r="AC36"/>
      <c r="AD36"/>
      <c r="AE36"/>
      <c r="AF36"/>
      <c r="AG36"/>
      <c r="AH36"/>
      <c r="AI36"/>
      <c r="AJ36"/>
      <c r="AK36"/>
      <c r="AL36"/>
      <c r="AM36"/>
      <c r="AN36"/>
      <c r="AT36"/>
    </row>
    <row r="37" spans="1:46" ht="15" customHeight="1" x14ac:dyDescent="0.25">
      <c r="A37" s="116" t="s">
        <v>468</v>
      </c>
      <c r="B37" s="112" t="s">
        <v>549</v>
      </c>
      <c r="C37" s="101">
        <v>59177</v>
      </c>
      <c r="D37" s="102" t="s">
        <v>458</v>
      </c>
      <c r="E37" s="103" t="s">
        <v>46</v>
      </c>
      <c r="F37" s="103" t="s">
        <v>412</v>
      </c>
      <c r="G37" s="103" t="s">
        <v>422</v>
      </c>
      <c r="H37" s="103" t="s">
        <v>459</v>
      </c>
      <c r="I37" s="103"/>
      <c r="J37" s="104">
        <v>44223</v>
      </c>
      <c r="K37" s="105">
        <v>24096.2</v>
      </c>
      <c r="L37" s="94"/>
      <c r="M37"/>
      <c r="N37" s="95"/>
      <c r="Q37" s="112" t="s">
        <v>252</v>
      </c>
      <c r="R37" s="122">
        <f t="shared" si="16"/>
        <v>8.5179232928491569E-2</v>
      </c>
      <c r="S37" s="122">
        <f t="shared" si="16"/>
        <v>2.6434801261008539E-3</v>
      </c>
      <c r="T37" s="122">
        <f t="shared" si="16"/>
        <v>1.4134456994118357E-2</v>
      </c>
      <c r="U37" s="122">
        <f t="shared" si="16"/>
        <v>1.9927791617300045E-3</v>
      </c>
      <c r="V37" s="122">
        <f t="shared" si="16"/>
        <v>0</v>
      </c>
      <c r="W37" s="122">
        <f t="shared" si="16"/>
        <v>0</v>
      </c>
      <c r="X37" s="122">
        <f t="shared" si="16"/>
        <v>0</v>
      </c>
      <c r="Y37" s="122">
        <f t="shared" si="16"/>
        <v>0</v>
      </c>
      <c r="Z37" s="125">
        <f t="shared" si="15"/>
        <v>0.10394994921044079</v>
      </c>
      <c r="AC37"/>
      <c r="AD37"/>
      <c r="AE37"/>
      <c r="AF37"/>
      <c r="AG37"/>
      <c r="AH37"/>
      <c r="AI37"/>
      <c r="AJ37"/>
      <c r="AK37"/>
      <c r="AL37"/>
      <c r="AM37"/>
      <c r="AN37"/>
      <c r="AT37"/>
    </row>
    <row r="38" spans="1:46" ht="15" customHeight="1" x14ac:dyDescent="0.25">
      <c r="A38" s="116" t="s">
        <v>468</v>
      </c>
      <c r="B38" s="112" t="s">
        <v>549</v>
      </c>
      <c r="C38" s="101">
        <v>60260</v>
      </c>
      <c r="D38" s="102" t="s">
        <v>460</v>
      </c>
      <c r="E38" s="103" t="s">
        <v>46</v>
      </c>
      <c r="F38" s="103" t="s">
        <v>412</v>
      </c>
      <c r="G38" s="103" t="s">
        <v>422</v>
      </c>
      <c r="H38" s="103" t="s">
        <v>459</v>
      </c>
      <c r="I38" s="104">
        <v>44286</v>
      </c>
      <c r="J38" s="104">
        <v>44278</v>
      </c>
      <c r="K38" s="105">
        <v>153409.87</v>
      </c>
      <c r="L38" s="95"/>
      <c r="M38"/>
      <c r="N38" s="95"/>
      <c r="Q38" s="112" t="s">
        <v>549</v>
      </c>
      <c r="R38" s="122">
        <f t="shared" si="16"/>
        <v>0.16350803266238795</v>
      </c>
      <c r="S38" s="122">
        <f t="shared" si="16"/>
        <v>1.8732482427526974E-2</v>
      </c>
      <c r="T38" s="122">
        <f t="shared" si="16"/>
        <v>1.1556488545626529E-2</v>
      </c>
      <c r="U38" s="122">
        <f t="shared" si="16"/>
        <v>5.1656131161582977E-3</v>
      </c>
      <c r="V38" s="122">
        <f t="shared" si="16"/>
        <v>0</v>
      </c>
      <c r="W38" s="122">
        <f t="shared" si="16"/>
        <v>0</v>
      </c>
      <c r="X38" s="122">
        <f t="shared" si="16"/>
        <v>1.6345630928446425E-3</v>
      </c>
      <c r="Y38" s="122">
        <f t="shared" si="16"/>
        <v>0</v>
      </c>
      <c r="Z38" s="125">
        <f t="shared" si="15"/>
        <v>0.20059717984454439</v>
      </c>
      <c r="AE38"/>
      <c r="AF38"/>
      <c r="AG38"/>
      <c r="AH38"/>
      <c r="AI38"/>
      <c r="AJ38"/>
      <c r="AK38"/>
      <c r="AL38"/>
      <c r="AM38"/>
      <c r="AN38"/>
      <c r="AT38"/>
    </row>
    <row r="39" spans="1:46" ht="15" customHeight="1" x14ac:dyDescent="0.25">
      <c r="A39" s="116" t="s">
        <v>468</v>
      </c>
      <c r="B39" s="112" t="s">
        <v>549</v>
      </c>
      <c r="C39" s="101">
        <v>60598</v>
      </c>
      <c r="D39" s="102" t="s">
        <v>461</v>
      </c>
      <c r="E39" s="103" t="s">
        <v>46</v>
      </c>
      <c r="F39" s="103" t="s">
        <v>412</v>
      </c>
      <c r="G39" s="103" t="s">
        <v>954</v>
      </c>
      <c r="H39" s="103" t="s">
        <v>437</v>
      </c>
      <c r="I39" s="104">
        <v>44347</v>
      </c>
      <c r="J39" s="104">
        <v>44340</v>
      </c>
      <c r="K39" s="105">
        <v>7500</v>
      </c>
      <c r="L39" s="95"/>
      <c r="M39"/>
      <c r="N39" s="95"/>
      <c r="Q39" s="112" t="s">
        <v>611</v>
      </c>
      <c r="R39" s="122">
        <f t="shared" si="16"/>
        <v>1.499762310037284E-2</v>
      </c>
      <c r="S39" s="122">
        <f t="shared" si="16"/>
        <v>1.8119004138635385E-3</v>
      </c>
      <c r="T39" s="122">
        <f t="shared" si="16"/>
        <v>2.4696580056923292E-2</v>
      </c>
      <c r="U39" s="122">
        <f t="shared" si="16"/>
        <v>3.5423304906818092E-3</v>
      </c>
      <c r="V39" s="122">
        <f t="shared" si="16"/>
        <v>1.4157213062441378E-6</v>
      </c>
      <c r="W39" s="122">
        <f t="shared" si="16"/>
        <v>0</v>
      </c>
      <c r="X39" s="122">
        <f t="shared" si="16"/>
        <v>3.6277858472506031E-3</v>
      </c>
      <c r="Y39" s="122">
        <f t="shared" si="16"/>
        <v>2.6425813790249401E-3</v>
      </c>
      <c r="Z39" s="125">
        <f t="shared" si="15"/>
        <v>5.1320217009423269E-2</v>
      </c>
      <c r="AE39"/>
      <c r="AF39"/>
      <c r="AG39"/>
      <c r="AH39"/>
      <c r="AI39"/>
      <c r="AJ39"/>
      <c r="AK39"/>
      <c r="AL39"/>
      <c r="AM39"/>
      <c r="AN39"/>
      <c r="AT39"/>
    </row>
    <row r="40" spans="1:46" ht="15" customHeight="1" x14ac:dyDescent="0.25">
      <c r="A40" s="116" t="s">
        <v>468</v>
      </c>
      <c r="B40" s="112" t="s">
        <v>549</v>
      </c>
      <c r="C40" s="101">
        <v>60600</v>
      </c>
      <c r="D40" s="102" t="s">
        <v>462</v>
      </c>
      <c r="E40" s="103" t="s">
        <v>67</v>
      </c>
      <c r="F40" s="103" t="s">
        <v>412</v>
      </c>
      <c r="G40" s="103" t="s">
        <v>954</v>
      </c>
      <c r="H40" s="103" t="s">
        <v>437</v>
      </c>
      <c r="I40" s="104">
        <v>44347</v>
      </c>
      <c r="J40" s="104">
        <v>44347</v>
      </c>
      <c r="K40" s="105">
        <v>28560.01</v>
      </c>
      <c r="L40" s="95"/>
      <c r="M40"/>
      <c r="N40" s="95"/>
      <c r="Q40" s="112" t="s">
        <v>688</v>
      </c>
      <c r="R40" s="122">
        <f t="shared" si="16"/>
        <v>0.15877245515698071</v>
      </c>
      <c r="S40" s="122">
        <f t="shared" si="16"/>
        <v>1.0670925964260817E-2</v>
      </c>
      <c r="T40" s="122">
        <f t="shared" si="16"/>
        <v>5.2391299014108918E-2</v>
      </c>
      <c r="U40" s="122">
        <f t="shared" si="16"/>
        <v>1.0827924974005821E-2</v>
      </c>
      <c r="V40" s="122">
        <f t="shared" si="16"/>
        <v>9.8440977666575807E-4</v>
      </c>
      <c r="W40" s="122">
        <f t="shared" si="16"/>
        <v>3.8932335921713793E-4</v>
      </c>
      <c r="X40" s="122">
        <f t="shared" si="16"/>
        <v>1.8404376981173793E-4</v>
      </c>
      <c r="Y40" s="122">
        <f t="shared" si="16"/>
        <v>3.7752568166510341E-4</v>
      </c>
      <c r="Z40" s="125">
        <f t="shared" si="15"/>
        <v>0.23459790769671596</v>
      </c>
      <c r="AE40"/>
      <c r="AF40"/>
      <c r="AG40"/>
      <c r="AH40"/>
      <c r="AI40"/>
      <c r="AJ40"/>
      <c r="AK40"/>
      <c r="AL40"/>
      <c r="AM40"/>
      <c r="AN40"/>
      <c r="AT40"/>
    </row>
    <row r="41" spans="1:46" ht="15" customHeight="1" x14ac:dyDescent="0.25">
      <c r="A41" s="116" t="s">
        <v>468</v>
      </c>
      <c r="B41" s="112" t="s">
        <v>549</v>
      </c>
      <c r="C41" s="101">
        <v>61166</v>
      </c>
      <c r="D41" s="102" t="s">
        <v>463</v>
      </c>
      <c r="E41" s="103" t="s">
        <v>46</v>
      </c>
      <c r="F41" s="103" t="s">
        <v>412</v>
      </c>
      <c r="G41" s="103" t="s">
        <v>954</v>
      </c>
      <c r="H41" s="103" t="s">
        <v>437</v>
      </c>
      <c r="I41" s="104">
        <v>44469</v>
      </c>
      <c r="J41" s="104">
        <v>44459</v>
      </c>
      <c r="K41" s="105">
        <v>6800</v>
      </c>
      <c r="L41" s="95"/>
      <c r="M41"/>
      <c r="N41" s="95"/>
      <c r="Q41" s="112" t="s">
        <v>1139</v>
      </c>
      <c r="R41" s="122">
        <f t="shared" si="16"/>
        <v>5.6675007359838145E-2</v>
      </c>
      <c r="S41" s="122">
        <f t="shared" si="16"/>
        <v>8.0589755443364886E-3</v>
      </c>
      <c r="T41" s="122">
        <f t="shared" si="16"/>
        <v>3.447675281562583E-2</v>
      </c>
      <c r="U41" s="122">
        <f t="shared" si="16"/>
        <v>5.2170297544655748E-4</v>
      </c>
      <c r="V41" s="122">
        <f t="shared" si="16"/>
        <v>7.7262990288273824E-4</v>
      </c>
      <c r="W41" s="122">
        <f t="shared" si="16"/>
        <v>1.8970665503671447E-5</v>
      </c>
      <c r="X41" s="122">
        <f t="shared" si="16"/>
        <v>1.8183170527073147E-4</v>
      </c>
      <c r="Y41" s="122">
        <f t="shared" si="16"/>
        <v>0</v>
      </c>
      <c r="Z41" s="125">
        <f>SUM(R41:Y41)</f>
        <v>0.10070587096890417</v>
      </c>
      <c r="AE41"/>
      <c r="AF41"/>
      <c r="AG41"/>
      <c r="AH41"/>
      <c r="AI41"/>
      <c r="AJ41"/>
      <c r="AK41"/>
      <c r="AL41"/>
      <c r="AM41"/>
      <c r="AN41"/>
      <c r="AT41"/>
    </row>
    <row r="42" spans="1:46" ht="15" customHeight="1" x14ac:dyDescent="0.25">
      <c r="A42" s="116" t="s">
        <v>468</v>
      </c>
      <c r="B42" s="112" t="s">
        <v>549</v>
      </c>
      <c r="C42" s="101">
        <v>60155</v>
      </c>
      <c r="D42" s="102" t="s">
        <v>464</v>
      </c>
      <c r="E42" s="103" t="s">
        <v>46</v>
      </c>
      <c r="F42" s="103" t="s">
        <v>412</v>
      </c>
      <c r="G42" s="103" t="s">
        <v>954</v>
      </c>
      <c r="H42" s="103" t="s">
        <v>437</v>
      </c>
      <c r="I42" s="103"/>
      <c r="J42" s="104">
        <v>44229</v>
      </c>
      <c r="K42" s="105">
        <v>85680.02</v>
      </c>
      <c r="L42" s="95"/>
      <c r="M42"/>
      <c r="N42" s="95"/>
      <c r="AH42"/>
      <c r="AI42"/>
      <c r="AJ42"/>
      <c r="AK42"/>
      <c r="AL42"/>
      <c r="AM42"/>
      <c r="AN42"/>
      <c r="AT42"/>
    </row>
    <row r="43" spans="1:46" ht="15" customHeight="1" x14ac:dyDescent="0.25">
      <c r="A43" s="116" t="s">
        <v>468</v>
      </c>
      <c r="B43" s="112" t="s">
        <v>549</v>
      </c>
      <c r="C43" s="101">
        <v>60195</v>
      </c>
      <c r="D43" s="102" t="s">
        <v>465</v>
      </c>
      <c r="E43" s="103" t="s">
        <v>451</v>
      </c>
      <c r="F43" s="103" t="s">
        <v>397</v>
      </c>
      <c r="G43" s="103" t="s">
        <v>954</v>
      </c>
      <c r="H43" s="103" t="s">
        <v>437</v>
      </c>
      <c r="I43" s="103"/>
      <c r="J43" s="103"/>
      <c r="K43" s="105">
        <v>27082.52</v>
      </c>
      <c r="L43" s="95"/>
      <c r="M43"/>
      <c r="N43" s="95"/>
      <c r="AH43"/>
      <c r="AI43"/>
      <c r="AJ43"/>
      <c r="AK43"/>
      <c r="AL43"/>
      <c r="AM43"/>
      <c r="AN43"/>
      <c r="AT43"/>
    </row>
    <row r="44" spans="1:46" ht="15" customHeight="1" x14ac:dyDescent="0.25">
      <c r="A44" s="116" t="s">
        <v>468</v>
      </c>
      <c r="B44" s="112" t="s">
        <v>549</v>
      </c>
      <c r="C44" s="101">
        <v>61177</v>
      </c>
      <c r="D44" s="102" t="s">
        <v>466</v>
      </c>
      <c r="E44" s="103" t="s">
        <v>46</v>
      </c>
      <c r="F44" s="103" t="s">
        <v>397</v>
      </c>
      <c r="G44" s="103" t="s">
        <v>955</v>
      </c>
      <c r="H44" s="103" t="s">
        <v>437</v>
      </c>
      <c r="I44" s="104">
        <v>44834</v>
      </c>
      <c r="J44" s="103"/>
      <c r="K44" s="105">
        <v>2750.01</v>
      </c>
      <c r="L44" s="95"/>
      <c r="M44"/>
      <c r="N44" s="95"/>
      <c r="Q44" s="123" t="s">
        <v>952</v>
      </c>
      <c r="R44" s="123">
        <f t="shared" ref="R44:Y44" si="17">SUM(R25:R37)</f>
        <v>0.2405324951463792</v>
      </c>
      <c r="S44" s="123">
        <f t="shared" si="17"/>
        <v>1.931839426305048E-2</v>
      </c>
      <c r="T44" s="123">
        <f t="shared" si="17"/>
        <v>0.14767024674441667</v>
      </c>
      <c r="U44" s="123">
        <f t="shared" si="17"/>
        <v>1.8652409820329681E-2</v>
      </c>
      <c r="V44" s="123">
        <f t="shared" si="17"/>
        <v>3.8862966757475586E-3</v>
      </c>
      <c r="W44" s="123">
        <f t="shared" si="17"/>
        <v>0</v>
      </c>
      <c r="X44" s="123">
        <f t="shared" si="17"/>
        <v>6.8574000771200432E-4</v>
      </c>
      <c r="Y44" s="123">
        <f t="shared" si="17"/>
        <v>1.9784705254761829E-3</v>
      </c>
      <c r="AC44"/>
      <c r="AD44"/>
      <c r="AE44"/>
      <c r="AF44"/>
      <c r="AG44"/>
      <c r="AH44"/>
      <c r="AI44"/>
      <c r="AJ44"/>
      <c r="AK44"/>
      <c r="AL44"/>
      <c r="AM44"/>
      <c r="AN44"/>
      <c r="AT44"/>
    </row>
    <row r="45" spans="1:46" ht="15" customHeight="1" x14ac:dyDescent="0.25">
      <c r="A45" s="116" t="s">
        <v>468</v>
      </c>
      <c r="B45" s="112" t="s">
        <v>549</v>
      </c>
      <c r="C45" s="101">
        <v>60765</v>
      </c>
      <c r="D45" s="102" t="s">
        <v>467</v>
      </c>
      <c r="E45" s="103" t="s">
        <v>46</v>
      </c>
      <c r="F45" s="103" t="s">
        <v>412</v>
      </c>
      <c r="G45" s="103" t="s">
        <v>954</v>
      </c>
      <c r="H45" s="103" t="s">
        <v>437</v>
      </c>
      <c r="I45" s="104">
        <v>44377</v>
      </c>
      <c r="J45" s="104">
        <v>44377</v>
      </c>
      <c r="K45" s="105">
        <v>28560.01</v>
      </c>
      <c r="L45" s="95"/>
      <c r="M45"/>
      <c r="N45" s="95"/>
      <c r="P45" s="190" t="s">
        <v>412</v>
      </c>
      <c r="AD45"/>
      <c r="AE45"/>
      <c r="AF45"/>
      <c r="AG45"/>
      <c r="AH45"/>
      <c r="AI45"/>
      <c r="AJ45"/>
      <c r="AK45"/>
      <c r="AL45"/>
      <c r="AM45"/>
      <c r="AN45"/>
      <c r="AT45"/>
    </row>
    <row r="46" spans="1:46" ht="15" customHeight="1" x14ac:dyDescent="0.25">
      <c r="A46" s="116" t="s">
        <v>240</v>
      </c>
      <c r="B46" s="112" t="s">
        <v>943</v>
      </c>
      <c r="C46" s="101">
        <v>65285</v>
      </c>
      <c r="D46" s="102" t="s">
        <v>469</v>
      </c>
      <c r="E46" s="103" t="s">
        <v>46</v>
      </c>
      <c r="F46" s="103" t="s">
        <v>440</v>
      </c>
      <c r="G46" s="103" t="s">
        <v>417</v>
      </c>
      <c r="H46" s="103" t="s">
        <v>414</v>
      </c>
      <c r="I46" s="104">
        <v>46390</v>
      </c>
      <c r="J46" s="103"/>
      <c r="K46" s="105">
        <v>958261.52</v>
      </c>
      <c r="L46" s="95"/>
      <c r="M46"/>
      <c r="N46" s="95"/>
      <c r="P46" s="190"/>
      <c r="Q46" s="100" t="s">
        <v>404</v>
      </c>
      <c r="R46" s="112" t="s">
        <v>549</v>
      </c>
      <c r="S46" s="112" t="s">
        <v>688</v>
      </c>
      <c r="T46" s="112" t="s">
        <v>252</v>
      </c>
      <c r="U46" s="112" t="s">
        <v>1543</v>
      </c>
      <c r="V46" s="112" t="s">
        <v>1139</v>
      </c>
      <c r="W46" s="112" t="s">
        <v>1138</v>
      </c>
      <c r="X46" s="112" t="s">
        <v>350</v>
      </c>
      <c r="Y46" s="112" t="s">
        <v>611</v>
      </c>
      <c r="Z46" s="112" t="s">
        <v>946</v>
      </c>
      <c r="AA46" s="112" t="s">
        <v>1840</v>
      </c>
      <c r="AB46" s="112" t="s">
        <v>1840</v>
      </c>
      <c r="AC46" s="112" t="s">
        <v>945</v>
      </c>
      <c r="AD46" s="112" t="s">
        <v>943</v>
      </c>
      <c r="AE46" s="112" t="s">
        <v>947</v>
      </c>
      <c r="AF46" s="112" t="s">
        <v>1917</v>
      </c>
      <c r="AG46" s="112" t="s">
        <v>944</v>
      </c>
      <c r="AH46" s="120" t="s">
        <v>404</v>
      </c>
      <c r="AI46"/>
      <c r="AJ46"/>
      <c r="AK46"/>
      <c r="AL46"/>
      <c r="AM46"/>
      <c r="AN46"/>
      <c r="AT46"/>
    </row>
    <row r="47" spans="1:46" ht="15" customHeight="1" x14ac:dyDescent="0.25">
      <c r="A47" s="116" t="s">
        <v>240</v>
      </c>
      <c r="B47" s="112" t="s">
        <v>943</v>
      </c>
      <c r="C47" s="101">
        <v>65198</v>
      </c>
      <c r="D47" s="102" t="s">
        <v>470</v>
      </c>
      <c r="E47" s="103" t="s">
        <v>46</v>
      </c>
      <c r="F47" s="103" t="s">
        <v>400</v>
      </c>
      <c r="G47" s="103" t="s">
        <v>447</v>
      </c>
      <c r="H47" s="103" t="s">
        <v>423</v>
      </c>
      <c r="I47" s="103"/>
      <c r="J47" s="103"/>
      <c r="K47" s="105">
        <v>0</v>
      </c>
      <c r="L47" s="95"/>
      <c r="M47"/>
      <c r="N47" s="95"/>
      <c r="P47" s="190"/>
      <c r="Q47" s="103" t="s">
        <v>46</v>
      </c>
      <c r="R47" s="147">
        <f t="shared" ref="R47:AA56" si="18">SUMIFS($K:$K,$B:$B,R$46,$E:$E,$Q47,$F:$F,$P$45)</f>
        <v>25343237.420000009</v>
      </c>
      <c r="S47" s="147">
        <f t="shared" si="18"/>
        <v>22694285.869999997</v>
      </c>
      <c r="T47" s="147">
        <f t="shared" si="18"/>
        <v>7229658.3600000013</v>
      </c>
      <c r="U47" s="147">
        <f t="shared" si="18"/>
        <v>5740439.9300000006</v>
      </c>
      <c r="V47" s="147">
        <f t="shared" si="18"/>
        <v>5054949.7599999988</v>
      </c>
      <c r="W47" s="147">
        <f t="shared" si="18"/>
        <v>1969932.7</v>
      </c>
      <c r="X47" s="147">
        <f t="shared" si="18"/>
        <v>1823353.8100000005</v>
      </c>
      <c r="Y47" s="147">
        <f t="shared" si="18"/>
        <v>1275933.6000000001</v>
      </c>
      <c r="Z47" s="147">
        <f t="shared" si="18"/>
        <v>2254714.1299999994</v>
      </c>
      <c r="AA47" s="147">
        <f t="shared" si="18"/>
        <v>1527638.8299999996</v>
      </c>
      <c r="AB47" s="147">
        <f t="shared" ref="AB47:AH56" si="19">SUMIFS($K:$K,$B:$B,AB$46,$E:$E,$Q47,$F:$F,$P$45)</f>
        <v>1527638.8299999996</v>
      </c>
      <c r="AC47" s="147">
        <f t="shared" si="19"/>
        <v>486889.29</v>
      </c>
      <c r="AD47" s="147">
        <f t="shared" si="19"/>
        <v>859831.29</v>
      </c>
      <c r="AE47" s="147">
        <f t="shared" si="19"/>
        <v>0</v>
      </c>
      <c r="AF47" s="147">
        <f t="shared" si="19"/>
        <v>498223.6999999999</v>
      </c>
      <c r="AG47" s="147">
        <f t="shared" si="19"/>
        <v>121285.55000000002</v>
      </c>
      <c r="AH47" s="147">
        <f t="shared" si="19"/>
        <v>83897.15</v>
      </c>
      <c r="AI47"/>
      <c r="AJ47"/>
      <c r="AK47"/>
      <c r="AL47"/>
      <c r="AM47"/>
      <c r="AN47"/>
      <c r="AT47"/>
    </row>
    <row r="48" spans="1:46" ht="15" customHeight="1" x14ac:dyDescent="0.25">
      <c r="A48" s="116" t="s">
        <v>240</v>
      </c>
      <c r="B48" s="112" t="s">
        <v>943</v>
      </c>
      <c r="C48" s="101">
        <v>65187</v>
      </c>
      <c r="D48" s="102" t="s">
        <v>471</v>
      </c>
      <c r="E48" s="103" t="s">
        <v>46</v>
      </c>
      <c r="F48" s="103" t="s">
        <v>412</v>
      </c>
      <c r="G48" s="103" t="s">
        <v>447</v>
      </c>
      <c r="H48" s="103" t="s">
        <v>423</v>
      </c>
      <c r="I48" s="104">
        <v>45280</v>
      </c>
      <c r="J48" s="104">
        <v>45281</v>
      </c>
      <c r="K48" s="105">
        <v>840580.29</v>
      </c>
      <c r="L48" s="95"/>
      <c r="M48"/>
      <c r="N48" s="95"/>
      <c r="P48" s="190"/>
      <c r="Q48" s="107" t="s">
        <v>48</v>
      </c>
      <c r="R48" s="147">
        <f t="shared" si="18"/>
        <v>0</v>
      </c>
      <c r="S48" s="147">
        <f t="shared" si="18"/>
        <v>0</v>
      </c>
      <c r="T48" s="147">
        <f t="shared" si="18"/>
        <v>0</v>
      </c>
      <c r="U48" s="147">
        <f t="shared" si="18"/>
        <v>0</v>
      </c>
      <c r="V48" s="147">
        <f t="shared" si="18"/>
        <v>0</v>
      </c>
      <c r="W48" s="147">
        <f t="shared" si="18"/>
        <v>0</v>
      </c>
      <c r="X48" s="147">
        <f t="shared" si="18"/>
        <v>0</v>
      </c>
      <c r="Y48" s="147">
        <f t="shared" si="18"/>
        <v>1258392.42</v>
      </c>
      <c r="Z48" s="147">
        <f t="shared" si="18"/>
        <v>0</v>
      </c>
      <c r="AA48" s="147">
        <f t="shared" si="18"/>
        <v>0</v>
      </c>
      <c r="AB48" s="147">
        <f t="shared" si="19"/>
        <v>0</v>
      </c>
      <c r="AC48" s="147">
        <f t="shared" si="19"/>
        <v>0</v>
      </c>
      <c r="AD48" s="147">
        <f t="shared" si="19"/>
        <v>0</v>
      </c>
      <c r="AE48" s="147">
        <f t="shared" si="19"/>
        <v>791850</v>
      </c>
      <c r="AF48" s="147">
        <f t="shared" si="19"/>
        <v>0</v>
      </c>
      <c r="AG48" s="147">
        <f t="shared" si="19"/>
        <v>0</v>
      </c>
      <c r="AH48" s="147">
        <f t="shared" si="19"/>
        <v>0</v>
      </c>
      <c r="AI48"/>
      <c r="AJ48"/>
      <c r="AK48"/>
      <c r="AL48"/>
      <c r="AM48"/>
      <c r="AN48"/>
      <c r="AT48"/>
    </row>
    <row r="49" spans="1:46" ht="15" customHeight="1" x14ac:dyDescent="0.25">
      <c r="A49" s="116" t="s">
        <v>240</v>
      </c>
      <c r="B49" s="112" t="s">
        <v>943</v>
      </c>
      <c r="C49" s="101">
        <v>65108</v>
      </c>
      <c r="D49" s="102" t="s">
        <v>472</v>
      </c>
      <c r="E49" s="103" t="s">
        <v>399</v>
      </c>
      <c r="F49" s="103" t="s">
        <v>398</v>
      </c>
      <c r="G49" s="103" t="s">
        <v>447</v>
      </c>
      <c r="H49" s="103" t="s">
        <v>437</v>
      </c>
      <c r="I49" s="103"/>
      <c r="J49" s="103"/>
      <c r="K49" s="105">
        <v>0</v>
      </c>
      <c r="L49" s="95"/>
      <c r="M49"/>
      <c r="N49" s="95"/>
      <c r="P49" s="190"/>
      <c r="Q49" s="103" t="s">
        <v>67</v>
      </c>
      <c r="R49" s="147">
        <f t="shared" si="18"/>
        <v>28560.01</v>
      </c>
      <c r="S49" s="147">
        <f t="shared" si="18"/>
        <v>791257.58000000007</v>
      </c>
      <c r="T49" s="147">
        <f t="shared" si="18"/>
        <v>850919.88</v>
      </c>
      <c r="U49" s="147">
        <f t="shared" si="18"/>
        <v>1539949.92</v>
      </c>
      <c r="V49" s="147">
        <f t="shared" si="18"/>
        <v>350889.97</v>
      </c>
      <c r="W49" s="147">
        <f t="shared" si="18"/>
        <v>0</v>
      </c>
      <c r="X49" s="147">
        <f t="shared" si="18"/>
        <v>164880</v>
      </c>
      <c r="Y49" s="147">
        <f t="shared" si="18"/>
        <v>0</v>
      </c>
      <c r="Z49" s="147">
        <f t="shared" si="18"/>
        <v>0</v>
      </c>
      <c r="AA49" s="147">
        <f t="shared" si="18"/>
        <v>4500</v>
      </c>
      <c r="AB49" s="147">
        <f t="shared" si="19"/>
        <v>4500</v>
      </c>
      <c r="AC49" s="147">
        <f t="shared" si="19"/>
        <v>1800</v>
      </c>
      <c r="AD49" s="147">
        <f t="shared" si="19"/>
        <v>0</v>
      </c>
      <c r="AE49" s="147">
        <f t="shared" si="19"/>
        <v>0</v>
      </c>
      <c r="AF49" s="147">
        <f t="shared" si="19"/>
        <v>6000</v>
      </c>
      <c r="AG49" s="147">
        <f t="shared" si="19"/>
        <v>0</v>
      </c>
      <c r="AH49" s="147">
        <f t="shared" si="19"/>
        <v>0</v>
      </c>
      <c r="AI49"/>
      <c r="AJ49"/>
      <c r="AK49"/>
      <c r="AL49"/>
      <c r="AM49"/>
      <c r="AN49"/>
      <c r="AT49"/>
    </row>
    <row r="50" spans="1:46" ht="15" customHeight="1" x14ac:dyDescent="0.25">
      <c r="A50" s="116" t="s">
        <v>240</v>
      </c>
      <c r="B50" s="112" t="s">
        <v>943</v>
      </c>
      <c r="C50" s="101">
        <v>64947</v>
      </c>
      <c r="D50" s="102" t="s">
        <v>473</v>
      </c>
      <c r="E50" s="103" t="s">
        <v>46</v>
      </c>
      <c r="F50" s="103" t="s">
        <v>397</v>
      </c>
      <c r="G50" s="103" t="s">
        <v>954</v>
      </c>
      <c r="H50" s="103" t="s">
        <v>437</v>
      </c>
      <c r="I50" s="104">
        <v>45289</v>
      </c>
      <c r="J50" s="103"/>
      <c r="K50" s="105">
        <v>7560</v>
      </c>
      <c r="L50" s="94"/>
      <c r="M50"/>
      <c r="N50" s="95"/>
      <c r="P50" s="190"/>
      <c r="Q50" s="103" t="s">
        <v>68</v>
      </c>
      <c r="R50" s="147">
        <f t="shared" si="18"/>
        <v>0</v>
      </c>
      <c r="S50" s="147">
        <f t="shared" si="18"/>
        <v>196480.01</v>
      </c>
      <c r="T50" s="147">
        <f t="shared" si="18"/>
        <v>0</v>
      </c>
      <c r="U50" s="147">
        <f t="shared" si="18"/>
        <v>0</v>
      </c>
      <c r="V50" s="147">
        <f t="shared" si="18"/>
        <v>0</v>
      </c>
      <c r="W50" s="147">
        <f t="shared" si="18"/>
        <v>1476286</v>
      </c>
      <c r="X50" s="147">
        <f t="shared" si="18"/>
        <v>0</v>
      </c>
      <c r="Y50" s="147">
        <f t="shared" si="18"/>
        <v>0</v>
      </c>
      <c r="Z50" s="147">
        <f t="shared" si="18"/>
        <v>0</v>
      </c>
      <c r="AA50" s="147">
        <f t="shared" si="18"/>
        <v>0</v>
      </c>
      <c r="AB50" s="147">
        <f t="shared" si="19"/>
        <v>0</v>
      </c>
      <c r="AC50" s="147">
        <f t="shared" si="19"/>
        <v>0</v>
      </c>
      <c r="AD50" s="147">
        <f t="shared" si="19"/>
        <v>0</v>
      </c>
      <c r="AE50" s="147">
        <f t="shared" si="19"/>
        <v>0</v>
      </c>
      <c r="AF50" s="147">
        <f t="shared" si="19"/>
        <v>0</v>
      </c>
      <c r="AG50" s="147">
        <f t="shared" si="19"/>
        <v>0</v>
      </c>
      <c r="AH50" s="147">
        <f t="shared" si="19"/>
        <v>0</v>
      </c>
      <c r="AI50"/>
      <c r="AJ50"/>
      <c r="AK50"/>
      <c r="AL50"/>
      <c r="AM50"/>
      <c r="AN50"/>
      <c r="AT50"/>
    </row>
    <row r="51" spans="1:46" ht="15" customHeight="1" x14ac:dyDescent="0.25">
      <c r="A51" s="116" t="s">
        <v>240</v>
      </c>
      <c r="B51" s="112" t="s">
        <v>943</v>
      </c>
      <c r="C51" s="101">
        <v>65197</v>
      </c>
      <c r="D51" s="102" t="s">
        <v>474</v>
      </c>
      <c r="E51" s="103" t="s">
        <v>68</v>
      </c>
      <c r="F51" s="103" t="s">
        <v>400</v>
      </c>
      <c r="G51" s="103" t="s">
        <v>447</v>
      </c>
      <c r="H51" s="103" t="s">
        <v>437</v>
      </c>
      <c r="I51" s="103"/>
      <c r="J51" s="103"/>
      <c r="K51" s="105">
        <v>0</v>
      </c>
      <c r="L51" s="95"/>
      <c r="M51"/>
      <c r="N51" s="95"/>
      <c r="P51" s="190"/>
      <c r="Q51" s="103" t="s">
        <v>451</v>
      </c>
      <c r="R51" s="147">
        <f t="shared" si="18"/>
        <v>0</v>
      </c>
      <c r="S51" s="147">
        <f t="shared" si="18"/>
        <v>0</v>
      </c>
      <c r="T51" s="147">
        <f t="shared" si="18"/>
        <v>55020</v>
      </c>
      <c r="U51" s="147">
        <f t="shared" si="18"/>
        <v>1642826.93</v>
      </c>
      <c r="V51" s="147">
        <f t="shared" si="18"/>
        <v>136716</v>
      </c>
      <c r="W51" s="147">
        <f t="shared" si="18"/>
        <v>0</v>
      </c>
      <c r="X51" s="147">
        <f t="shared" si="18"/>
        <v>0</v>
      </c>
      <c r="Y51" s="147">
        <f t="shared" si="18"/>
        <v>0</v>
      </c>
      <c r="Z51" s="147">
        <f t="shared" si="18"/>
        <v>0</v>
      </c>
      <c r="AA51" s="147">
        <f t="shared" si="18"/>
        <v>0</v>
      </c>
      <c r="AB51" s="147">
        <f t="shared" si="19"/>
        <v>0</v>
      </c>
      <c r="AC51" s="147">
        <f t="shared" si="19"/>
        <v>0</v>
      </c>
      <c r="AD51" s="147">
        <f t="shared" si="19"/>
        <v>0</v>
      </c>
      <c r="AE51" s="147">
        <f t="shared" si="19"/>
        <v>0</v>
      </c>
      <c r="AF51" s="147">
        <f t="shared" si="19"/>
        <v>0</v>
      </c>
      <c r="AG51" s="147">
        <f t="shared" si="19"/>
        <v>0</v>
      </c>
      <c r="AH51" s="147">
        <f t="shared" si="19"/>
        <v>0</v>
      </c>
      <c r="AI51"/>
      <c r="AJ51"/>
      <c r="AK51"/>
      <c r="AL51"/>
      <c r="AM51"/>
      <c r="AN51"/>
      <c r="AT51"/>
    </row>
    <row r="52" spans="1:46" ht="15" customHeight="1" x14ac:dyDescent="0.25">
      <c r="A52" s="116" t="s">
        <v>240</v>
      </c>
      <c r="B52" s="112" t="s">
        <v>943</v>
      </c>
      <c r="C52" s="101">
        <v>62384</v>
      </c>
      <c r="D52" s="102" t="s">
        <v>475</v>
      </c>
      <c r="E52" s="103" t="s">
        <v>48</v>
      </c>
      <c r="F52" s="103" t="s">
        <v>397</v>
      </c>
      <c r="G52" s="103" t="s">
        <v>954</v>
      </c>
      <c r="H52" s="103" t="s">
        <v>437</v>
      </c>
      <c r="I52" s="104">
        <v>45107</v>
      </c>
      <c r="J52" s="103"/>
      <c r="K52" s="105">
        <v>9400</v>
      </c>
      <c r="L52" s="95"/>
      <c r="M52"/>
      <c r="N52" s="95"/>
      <c r="P52" s="190"/>
      <c r="Q52" s="103" t="s">
        <v>399</v>
      </c>
      <c r="R52" s="147">
        <f t="shared" si="18"/>
        <v>0</v>
      </c>
      <c r="S52" s="147">
        <f t="shared" si="18"/>
        <v>0</v>
      </c>
      <c r="T52" s="147">
        <f t="shared" si="18"/>
        <v>0</v>
      </c>
      <c r="U52" s="147">
        <f t="shared" si="18"/>
        <v>0</v>
      </c>
      <c r="V52" s="147">
        <f t="shared" si="18"/>
        <v>0</v>
      </c>
      <c r="W52" s="147">
        <f t="shared" si="18"/>
        <v>0</v>
      </c>
      <c r="X52" s="147">
        <f t="shared" si="18"/>
        <v>0</v>
      </c>
      <c r="Y52" s="147">
        <f t="shared" si="18"/>
        <v>0</v>
      </c>
      <c r="Z52" s="147">
        <f t="shared" si="18"/>
        <v>0</v>
      </c>
      <c r="AA52" s="147">
        <f t="shared" si="18"/>
        <v>0</v>
      </c>
      <c r="AB52" s="147">
        <f t="shared" si="19"/>
        <v>0</v>
      </c>
      <c r="AC52" s="147">
        <f t="shared" si="19"/>
        <v>0</v>
      </c>
      <c r="AD52" s="147">
        <f t="shared" si="19"/>
        <v>0</v>
      </c>
      <c r="AE52" s="147">
        <f t="shared" si="19"/>
        <v>0</v>
      </c>
      <c r="AF52" s="147">
        <f t="shared" si="19"/>
        <v>0</v>
      </c>
      <c r="AG52" s="147">
        <f t="shared" si="19"/>
        <v>0</v>
      </c>
      <c r="AH52" s="147">
        <f t="shared" si="19"/>
        <v>0</v>
      </c>
      <c r="AI52"/>
      <c r="AJ52"/>
      <c r="AK52"/>
      <c r="AL52"/>
      <c r="AM52"/>
      <c r="AN52"/>
      <c r="AT52"/>
    </row>
    <row r="53" spans="1:46" ht="15" customHeight="1" x14ac:dyDescent="0.25">
      <c r="A53" s="116" t="s">
        <v>240</v>
      </c>
      <c r="B53" s="112" t="s">
        <v>943</v>
      </c>
      <c r="C53" s="101">
        <v>65158</v>
      </c>
      <c r="D53" s="102" t="s">
        <v>476</v>
      </c>
      <c r="E53" s="103" t="s">
        <v>46</v>
      </c>
      <c r="F53" s="103" t="s">
        <v>397</v>
      </c>
      <c r="G53" s="103" t="s">
        <v>422</v>
      </c>
      <c r="H53" s="103" t="s">
        <v>437</v>
      </c>
      <c r="I53" s="103"/>
      <c r="J53" s="103"/>
      <c r="K53" s="105">
        <v>49070.28</v>
      </c>
      <c r="L53" s="95"/>
      <c r="M53"/>
      <c r="N53" s="95"/>
      <c r="P53" s="190"/>
      <c r="Q53" s="103" t="s">
        <v>484</v>
      </c>
      <c r="R53" s="147">
        <f t="shared" si="18"/>
        <v>0</v>
      </c>
      <c r="S53" s="147">
        <f t="shared" si="18"/>
        <v>509558.52999999997</v>
      </c>
      <c r="T53" s="147">
        <f t="shared" si="18"/>
        <v>0</v>
      </c>
      <c r="U53" s="147">
        <f t="shared" si="18"/>
        <v>55864.02</v>
      </c>
      <c r="V53" s="147">
        <f t="shared" si="18"/>
        <v>6450</v>
      </c>
      <c r="W53" s="147">
        <f t="shared" si="18"/>
        <v>318648.92</v>
      </c>
      <c r="X53" s="147">
        <f t="shared" si="18"/>
        <v>0</v>
      </c>
      <c r="Y53" s="147">
        <f t="shared" si="18"/>
        <v>3400</v>
      </c>
      <c r="Z53" s="147">
        <f t="shared" si="18"/>
        <v>2375</v>
      </c>
      <c r="AA53" s="147">
        <f t="shared" si="18"/>
        <v>0</v>
      </c>
      <c r="AB53" s="147">
        <f t="shared" si="19"/>
        <v>0</v>
      </c>
      <c r="AC53" s="147">
        <f t="shared" si="19"/>
        <v>5000</v>
      </c>
      <c r="AD53" s="147">
        <f t="shared" si="19"/>
        <v>0</v>
      </c>
      <c r="AE53" s="147">
        <f t="shared" si="19"/>
        <v>0</v>
      </c>
      <c r="AF53" s="147">
        <f t="shared" si="19"/>
        <v>0</v>
      </c>
      <c r="AG53" s="147">
        <f t="shared" si="19"/>
        <v>0</v>
      </c>
      <c r="AH53" s="147">
        <f t="shared" si="19"/>
        <v>0</v>
      </c>
      <c r="AI53"/>
      <c r="AJ53"/>
      <c r="AK53"/>
      <c r="AL53"/>
      <c r="AM53"/>
      <c r="AN53"/>
      <c r="AT53"/>
    </row>
    <row r="54" spans="1:46" ht="15" customHeight="1" x14ac:dyDescent="0.25">
      <c r="A54" s="116" t="s">
        <v>240</v>
      </c>
      <c r="B54" s="112" t="s">
        <v>943</v>
      </c>
      <c r="C54" s="101">
        <v>65135</v>
      </c>
      <c r="D54" s="102" t="s">
        <v>477</v>
      </c>
      <c r="E54" s="103" t="s">
        <v>46</v>
      </c>
      <c r="F54" s="103" t="s">
        <v>400</v>
      </c>
      <c r="G54" s="103" t="s">
        <v>422</v>
      </c>
      <c r="H54" s="103" t="s">
        <v>437</v>
      </c>
      <c r="I54" s="103"/>
      <c r="J54" s="103"/>
      <c r="K54" s="105">
        <v>0</v>
      </c>
      <c r="L54" s="95"/>
      <c r="M54"/>
      <c r="N54" s="95"/>
      <c r="P54" s="190"/>
      <c r="Q54" s="103" t="s">
        <v>487</v>
      </c>
      <c r="R54" s="147">
        <f t="shared" si="18"/>
        <v>0</v>
      </c>
      <c r="S54" s="147">
        <f t="shared" si="18"/>
        <v>0</v>
      </c>
      <c r="T54" s="147">
        <f t="shared" si="18"/>
        <v>0</v>
      </c>
      <c r="U54" s="147">
        <f t="shared" si="18"/>
        <v>0</v>
      </c>
      <c r="V54" s="147">
        <f t="shared" si="18"/>
        <v>0</v>
      </c>
      <c r="W54" s="147">
        <f t="shared" si="18"/>
        <v>0</v>
      </c>
      <c r="X54" s="147">
        <f t="shared" si="18"/>
        <v>0</v>
      </c>
      <c r="Y54" s="147">
        <f t="shared" si="18"/>
        <v>0</v>
      </c>
      <c r="Z54" s="147">
        <f t="shared" si="18"/>
        <v>0</v>
      </c>
      <c r="AA54" s="147">
        <f t="shared" si="18"/>
        <v>0</v>
      </c>
      <c r="AB54" s="147">
        <f t="shared" si="19"/>
        <v>0</v>
      </c>
      <c r="AC54" s="147">
        <f t="shared" si="19"/>
        <v>0</v>
      </c>
      <c r="AD54" s="147">
        <f t="shared" si="19"/>
        <v>0</v>
      </c>
      <c r="AE54" s="147">
        <f t="shared" si="19"/>
        <v>0</v>
      </c>
      <c r="AF54" s="147">
        <f t="shared" si="19"/>
        <v>0</v>
      </c>
      <c r="AG54" s="147">
        <f t="shared" si="19"/>
        <v>0</v>
      </c>
      <c r="AH54" s="147">
        <f t="shared" si="19"/>
        <v>0</v>
      </c>
      <c r="AI54"/>
      <c r="AJ54"/>
      <c r="AK54"/>
      <c r="AL54"/>
      <c r="AM54"/>
      <c r="AN54"/>
      <c r="AT54"/>
    </row>
    <row r="55" spans="1:46" ht="15" customHeight="1" x14ac:dyDescent="0.25">
      <c r="A55" s="116" t="s">
        <v>240</v>
      </c>
      <c r="B55" s="112" t="s">
        <v>943</v>
      </c>
      <c r="C55" s="101">
        <v>65453</v>
      </c>
      <c r="D55" s="102" t="s">
        <v>478</v>
      </c>
      <c r="E55" s="103" t="s">
        <v>46</v>
      </c>
      <c r="F55" s="103" t="s">
        <v>398</v>
      </c>
      <c r="G55" s="103" t="s">
        <v>954</v>
      </c>
      <c r="H55" s="103" t="s">
        <v>437</v>
      </c>
      <c r="I55" s="103"/>
      <c r="J55" s="103"/>
      <c r="K55" s="105">
        <v>23400</v>
      </c>
      <c r="L55" s="95"/>
      <c r="M55"/>
      <c r="N55" s="95"/>
      <c r="P55" s="190"/>
      <c r="Q55" s="103" t="s">
        <v>510</v>
      </c>
      <c r="R55" s="147">
        <f t="shared" si="18"/>
        <v>1629943.5</v>
      </c>
      <c r="S55" s="147">
        <f t="shared" si="18"/>
        <v>0</v>
      </c>
      <c r="T55" s="147">
        <f t="shared" si="18"/>
        <v>0</v>
      </c>
      <c r="U55" s="147">
        <f t="shared" si="18"/>
        <v>0</v>
      </c>
      <c r="V55" s="147">
        <f t="shared" si="18"/>
        <v>0</v>
      </c>
      <c r="W55" s="147">
        <f t="shared" si="18"/>
        <v>0</v>
      </c>
      <c r="X55" s="147">
        <f t="shared" si="18"/>
        <v>1414196.95</v>
      </c>
      <c r="Y55" s="147">
        <f t="shared" si="18"/>
        <v>0</v>
      </c>
      <c r="Z55" s="147">
        <f t="shared" si="18"/>
        <v>0</v>
      </c>
      <c r="AA55" s="147">
        <f t="shared" si="18"/>
        <v>0</v>
      </c>
      <c r="AB55" s="147">
        <f t="shared" si="19"/>
        <v>0</v>
      </c>
      <c r="AC55" s="147">
        <f t="shared" si="19"/>
        <v>0</v>
      </c>
      <c r="AD55" s="147">
        <f t="shared" si="19"/>
        <v>0</v>
      </c>
      <c r="AE55" s="147">
        <f t="shared" si="19"/>
        <v>0</v>
      </c>
      <c r="AF55" s="147">
        <f t="shared" si="19"/>
        <v>0</v>
      </c>
      <c r="AG55" s="147">
        <f t="shared" si="19"/>
        <v>0</v>
      </c>
      <c r="AH55" s="147">
        <f t="shared" si="19"/>
        <v>0</v>
      </c>
      <c r="AI55"/>
      <c r="AJ55"/>
      <c r="AK55"/>
      <c r="AL55"/>
      <c r="AM55"/>
      <c r="AN55"/>
      <c r="AT55"/>
    </row>
    <row r="56" spans="1:46" ht="15" customHeight="1" x14ac:dyDescent="0.25">
      <c r="A56" s="116" t="s">
        <v>240</v>
      </c>
      <c r="B56" s="112" t="s">
        <v>943</v>
      </c>
      <c r="C56" s="101">
        <v>65068</v>
      </c>
      <c r="D56" s="102" t="s">
        <v>479</v>
      </c>
      <c r="E56" s="103" t="s">
        <v>68</v>
      </c>
      <c r="F56" s="103" t="s">
        <v>401</v>
      </c>
      <c r="G56" s="103" t="s">
        <v>447</v>
      </c>
      <c r="H56" s="103" t="s">
        <v>437</v>
      </c>
      <c r="I56" s="104">
        <v>45351</v>
      </c>
      <c r="J56" s="103"/>
      <c r="K56" s="105">
        <v>116900.06</v>
      </c>
      <c r="L56" s="95"/>
      <c r="M56"/>
      <c r="N56" s="95"/>
      <c r="P56" s="190"/>
      <c r="Q56" s="103" t="s">
        <v>821</v>
      </c>
      <c r="R56" s="147">
        <f t="shared" si="18"/>
        <v>0</v>
      </c>
      <c r="S56" s="147">
        <f t="shared" si="18"/>
        <v>0</v>
      </c>
      <c r="T56" s="147">
        <f t="shared" si="18"/>
        <v>1081790.3900000001</v>
      </c>
      <c r="U56" s="147">
        <f t="shared" si="18"/>
        <v>995877.64000000013</v>
      </c>
      <c r="V56" s="147">
        <f t="shared" si="18"/>
        <v>3181204.61</v>
      </c>
      <c r="W56" s="147">
        <f t="shared" si="18"/>
        <v>215004</v>
      </c>
      <c r="X56" s="147">
        <f t="shared" si="18"/>
        <v>0</v>
      </c>
      <c r="Y56" s="147">
        <f t="shared" si="18"/>
        <v>0</v>
      </c>
      <c r="Z56" s="147">
        <f t="shared" si="18"/>
        <v>0</v>
      </c>
      <c r="AA56" s="147">
        <f t="shared" si="18"/>
        <v>0</v>
      </c>
      <c r="AB56" s="147">
        <f t="shared" si="19"/>
        <v>0</v>
      </c>
      <c r="AC56" s="147">
        <f t="shared" si="19"/>
        <v>758520.04</v>
      </c>
      <c r="AD56" s="147">
        <f t="shared" si="19"/>
        <v>0</v>
      </c>
      <c r="AE56" s="147">
        <f t="shared" si="19"/>
        <v>0</v>
      </c>
      <c r="AF56" s="147">
        <f t="shared" si="19"/>
        <v>0</v>
      </c>
      <c r="AG56" s="147">
        <f t="shared" si="19"/>
        <v>0</v>
      </c>
      <c r="AH56" s="147">
        <f t="shared" si="19"/>
        <v>0</v>
      </c>
      <c r="AI56"/>
      <c r="AJ56"/>
      <c r="AK56"/>
      <c r="AL56"/>
      <c r="AM56"/>
      <c r="AN56"/>
      <c r="AT56"/>
    </row>
    <row r="57" spans="1:46" ht="15" customHeight="1" x14ac:dyDescent="0.25">
      <c r="A57" s="116" t="s">
        <v>288</v>
      </c>
      <c r="B57" s="112" t="s">
        <v>943</v>
      </c>
      <c r="C57" s="101">
        <v>64043</v>
      </c>
      <c r="D57" s="106" t="s">
        <v>480</v>
      </c>
      <c r="E57" s="107" t="s">
        <v>67</v>
      </c>
      <c r="F57" s="107" t="s">
        <v>446</v>
      </c>
      <c r="G57" s="103" t="s">
        <v>954</v>
      </c>
      <c r="H57" s="107" t="s">
        <v>481</v>
      </c>
      <c r="I57" s="107"/>
      <c r="J57" s="107"/>
      <c r="K57" s="105">
        <v>0</v>
      </c>
      <c r="L57" s="95"/>
      <c r="M57"/>
      <c r="N57" s="95"/>
      <c r="P57" s="190"/>
      <c r="Q57" s="103" t="s">
        <v>60</v>
      </c>
      <c r="R57" s="147">
        <f t="shared" ref="R57:AA63" si="20">SUMIFS($K:$K,$B:$B,R$46,$E:$E,$Q57,$F:$F,$P$45)</f>
        <v>0</v>
      </c>
      <c r="S57" s="147">
        <f t="shared" si="20"/>
        <v>0</v>
      </c>
      <c r="T57" s="147">
        <f t="shared" si="20"/>
        <v>0</v>
      </c>
      <c r="U57" s="147">
        <f t="shared" si="20"/>
        <v>0</v>
      </c>
      <c r="V57" s="147">
        <f t="shared" si="20"/>
        <v>0</v>
      </c>
      <c r="W57" s="147">
        <f t="shared" si="20"/>
        <v>0</v>
      </c>
      <c r="X57" s="147">
        <f t="shared" si="20"/>
        <v>0</v>
      </c>
      <c r="Y57" s="147">
        <f t="shared" si="20"/>
        <v>0</v>
      </c>
      <c r="Z57" s="147">
        <f t="shared" si="20"/>
        <v>0</v>
      </c>
      <c r="AA57" s="147">
        <f t="shared" si="20"/>
        <v>0</v>
      </c>
      <c r="AB57" s="147">
        <f t="shared" ref="AB57:AH63" si="21">SUMIFS($K:$K,$B:$B,AB$46,$E:$E,$Q57,$F:$F,$P$45)</f>
        <v>0</v>
      </c>
      <c r="AC57" s="147">
        <f t="shared" si="21"/>
        <v>0</v>
      </c>
      <c r="AD57" s="147">
        <f t="shared" si="21"/>
        <v>0</v>
      </c>
      <c r="AE57" s="147">
        <f t="shared" si="21"/>
        <v>0</v>
      </c>
      <c r="AF57" s="147">
        <f t="shared" si="21"/>
        <v>0</v>
      </c>
      <c r="AG57" s="147">
        <f t="shared" si="21"/>
        <v>0</v>
      </c>
      <c r="AH57" s="147">
        <f t="shared" si="21"/>
        <v>0</v>
      </c>
      <c r="AI57"/>
      <c r="AJ57"/>
      <c r="AK57"/>
      <c r="AL57"/>
      <c r="AM57"/>
      <c r="AN57"/>
      <c r="AT57"/>
    </row>
    <row r="58" spans="1:46" ht="15" customHeight="1" x14ac:dyDescent="0.25">
      <c r="A58" s="116" t="s">
        <v>288</v>
      </c>
      <c r="B58" s="112" t="s">
        <v>943</v>
      </c>
      <c r="C58" s="101">
        <v>64573</v>
      </c>
      <c r="D58" s="102" t="s">
        <v>482</v>
      </c>
      <c r="E58" s="103" t="s">
        <v>46</v>
      </c>
      <c r="F58" s="103" t="s">
        <v>412</v>
      </c>
      <c r="G58" s="103" t="s">
        <v>954</v>
      </c>
      <c r="H58" s="103" t="s">
        <v>481</v>
      </c>
      <c r="I58" s="104">
        <v>45142</v>
      </c>
      <c r="J58" s="104">
        <v>45140</v>
      </c>
      <c r="K58" s="105">
        <v>19251</v>
      </c>
      <c r="L58" s="95"/>
      <c r="M58"/>
      <c r="N58" s="95"/>
      <c r="P58" s="190"/>
      <c r="Q58" s="103" t="s">
        <v>830</v>
      </c>
      <c r="R58" s="147">
        <f t="shared" si="20"/>
        <v>0</v>
      </c>
      <c r="S58" s="147">
        <f t="shared" si="20"/>
        <v>283608.65000000002</v>
      </c>
      <c r="T58" s="147">
        <f t="shared" si="20"/>
        <v>0</v>
      </c>
      <c r="U58" s="147">
        <f t="shared" si="20"/>
        <v>0</v>
      </c>
      <c r="V58" s="147">
        <f t="shared" si="20"/>
        <v>321500</v>
      </c>
      <c r="W58" s="147">
        <f t="shared" si="20"/>
        <v>0</v>
      </c>
      <c r="X58" s="147">
        <f t="shared" si="20"/>
        <v>0</v>
      </c>
      <c r="Y58" s="147">
        <f t="shared" si="20"/>
        <v>0</v>
      </c>
      <c r="Z58" s="147">
        <f t="shared" si="20"/>
        <v>0</v>
      </c>
      <c r="AA58" s="147">
        <f t="shared" si="20"/>
        <v>0</v>
      </c>
      <c r="AB58" s="147">
        <f t="shared" si="21"/>
        <v>0</v>
      </c>
      <c r="AC58" s="147">
        <f t="shared" si="21"/>
        <v>0</v>
      </c>
      <c r="AD58" s="147">
        <f t="shared" si="21"/>
        <v>0</v>
      </c>
      <c r="AE58" s="147">
        <f t="shared" si="21"/>
        <v>0</v>
      </c>
      <c r="AF58" s="147">
        <f t="shared" si="21"/>
        <v>0</v>
      </c>
      <c r="AG58" s="147">
        <f t="shared" si="21"/>
        <v>0</v>
      </c>
      <c r="AH58" s="147">
        <f t="shared" si="21"/>
        <v>0</v>
      </c>
      <c r="AI58"/>
      <c r="AJ58"/>
      <c r="AK58"/>
      <c r="AL58"/>
      <c r="AM58"/>
      <c r="AN58"/>
      <c r="AT58"/>
    </row>
    <row r="59" spans="1:46" ht="15" customHeight="1" x14ac:dyDescent="0.25">
      <c r="A59" s="116" t="s">
        <v>288</v>
      </c>
      <c r="B59" s="112" t="s">
        <v>943</v>
      </c>
      <c r="C59" s="101">
        <v>65336</v>
      </c>
      <c r="D59" s="102" t="s">
        <v>483</v>
      </c>
      <c r="E59" s="103" t="s">
        <v>484</v>
      </c>
      <c r="F59" s="103" t="s">
        <v>485</v>
      </c>
      <c r="G59" s="103" t="s">
        <v>954</v>
      </c>
      <c r="H59" s="103" t="s">
        <v>437</v>
      </c>
      <c r="I59" s="104">
        <v>45351</v>
      </c>
      <c r="J59" s="103"/>
      <c r="K59" s="105">
        <v>25200</v>
      </c>
      <c r="M59"/>
      <c r="P59" s="190"/>
      <c r="Q59" s="103" t="s">
        <v>579</v>
      </c>
      <c r="R59" s="147">
        <f t="shared" si="20"/>
        <v>716940.47</v>
      </c>
      <c r="S59" s="147">
        <f t="shared" si="20"/>
        <v>289112.26</v>
      </c>
      <c r="T59" s="147">
        <f t="shared" si="20"/>
        <v>1667582.27</v>
      </c>
      <c r="U59" s="147">
        <f t="shared" si="20"/>
        <v>0</v>
      </c>
      <c r="V59" s="147">
        <f t="shared" si="20"/>
        <v>0</v>
      </c>
      <c r="W59" s="147">
        <f t="shared" si="20"/>
        <v>0</v>
      </c>
      <c r="X59" s="147">
        <f t="shared" si="20"/>
        <v>0</v>
      </c>
      <c r="Y59" s="147">
        <f t="shared" si="20"/>
        <v>0</v>
      </c>
      <c r="Z59" s="147">
        <f t="shared" si="20"/>
        <v>0</v>
      </c>
      <c r="AA59" s="147">
        <f t="shared" si="20"/>
        <v>0</v>
      </c>
      <c r="AB59" s="147">
        <f t="shared" si="21"/>
        <v>0</v>
      </c>
      <c r="AC59" s="147">
        <f t="shared" si="21"/>
        <v>0</v>
      </c>
      <c r="AD59" s="147">
        <f t="shared" si="21"/>
        <v>0</v>
      </c>
      <c r="AE59" s="147">
        <f t="shared" si="21"/>
        <v>0</v>
      </c>
      <c r="AF59" s="147">
        <f t="shared" si="21"/>
        <v>0</v>
      </c>
      <c r="AG59" s="147">
        <f t="shared" si="21"/>
        <v>0</v>
      </c>
      <c r="AH59" s="147">
        <f t="shared" si="21"/>
        <v>0</v>
      </c>
      <c r="AI59"/>
      <c r="AJ59"/>
      <c r="AK59"/>
      <c r="AL59"/>
      <c r="AM59"/>
      <c r="AN59"/>
      <c r="AT59"/>
    </row>
    <row r="60" spans="1:46" ht="15" customHeight="1" x14ac:dyDescent="0.25">
      <c r="A60" s="116" t="s">
        <v>288</v>
      </c>
      <c r="B60" s="112" t="s">
        <v>943</v>
      </c>
      <c r="C60" s="101">
        <v>64952</v>
      </c>
      <c r="D60" s="102" t="s">
        <v>486</v>
      </c>
      <c r="E60" s="103" t="s">
        <v>487</v>
      </c>
      <c r="F60" s="103" t="s">
        <v>397</v>
      </c>
      <c r="G60" s="103" t="s">
        <v>447</v>
      </c>
      <c r="H60" s="103" t="s">
        <v>437</v>
      </c>
      <c r="I60" s="104">
        <v>45382</v>
      </c>
      <c r="J60" s="103"/>
      <c r="K60" s="105">
        <v>240</v>
      </c>
      <c r="M60"/>
      <c r="P60" s="190"/>
      <c r="Q60" s="103" t="s">
        <v>833</v>
      </c>
      <c r="R60" s="147">
        <f t="shared" si="20"/>
        <v>0</v>
      </c>
      <c r="S60" s="147">
        <f t="shared" si="20"/>
        <v>0</v>
      </c>
      <c r="T60" s="147">
        <f t="shared" si="20"/>
        <v>0</v>
      </c>
      <c r="U60" s="147">
        <f t="shared" si="20"/>
        <v>0</v>
      </c>
      <c r="V60" s="147">
        <f t="shared" si="20"/>
        <v>0</v>
      </c>
      <c r="W60" s="147">
        <f t="shared" si="20"/>
        <v>0</v>
      </c>
      <c r="X60" s="147">
        <f t="shared" si="20"/>
        <v>0</v>
      </c>
      <c r="Y60" s="147">
        <f t="shared" si="20"/>
        <v>0</v>
      </c>
      <c r="Z60" s="147">
        <f t="shared" si="20"/>
        <v>0</v>
      </c>
      <c r="AA60" s="147">
        <f t="shared" si="20"/>
        <v>0</v>
      </c>
      <c r="AB60" s="147">
        <f t="shared" si="21"/>
        <v>0</v>
      </c>
      <c r="AC60" s="147">
        <f t="shared" si="21"/>
        <v>0</v>
      </c>
      <c r="AD60" s="147">
        <f t="shared" si="21"/>
        <v>0</v>
      </c>
      <c r="AE60" s="147">
        <f t="shared" si="21"/>
        <v>0</v>
      </c>
      <c r="AF60" s="147">
        <f t="shared" si="21"/>
        <v>0</v>
      </c>
      <c r="AG60" s="147">
        <f t="shared" si="21"/>
        <v>0</v>
      </c>
      <c r="AH60" s="147">
        <f t="shared" si="21"/>
        <v>0</v>
      </c>
      <c r="AI60"/>
      <c r="AJ60"/>
      <c r="AK60"/>
      <c r="AL60"/>
      <c r="AM60"/>
      <c r="AN60"/>
      <c r="AT60"/>
    </row>
    <row r="61" spans="1:46" ht="15" customHeight="1" x14ac:dyDescent="0.25">
      <c r="A61" s="116" t="s">
        <v>309</v>
      </c>
      <c r="B61" s="112" t="s">
        <v>944</v>
      </c>
      <c r="C61" s="101">
        <v>59614</v>
      </c>
      <c r="D61" s="102" t="s">
        <v>489</v>
      </c>
      <c r="E61" s="103" t="s">
        <v>46</v>
      </c>
      <c r="F61" s="103" t="s">
        <v>412</v>
      </c>
      <c r="G61" s="103" t="s">
        <v>413</v>
      </c>
      <c r="H61" s="103" t="s">
        <v>414</v>
      </c>
      <c r="I61" s="104">
        <v>44347</v>
      </c>
      <c r="J61" s="104">
        <v>44313</v>
      </c>
      <c r="K61" s="105">
        <v>6750.46</v>
      </c>
      <c r="M61"/>
      <c r="P61" s="190"/>
      <c r="Q61" s="103" t="s">
        <v>837</v>
      </c>
      <c r="R61" s="147">
        <f t="shared" si="20"/>
        <v>0</v>
      </c>
      <c r="S61" s="147">
        <f t="shared" si="20"/>
        <v>0</v>
      </c>
      <c r="T61" s="147">
        <f t="shared" si="20"/>
        <v>0</v>
      </c>
      <c r="U61" s="147">
        <f t="shared" si="20"/>
        <v>0</v>
      </c>
      <c r="V61" s="147">
        <f t="shared" si="20"/>
        <v>0</v>
      </c>
      <c r="W61" s="147">
        <f t="shared" si="20"/>
        <v>0</v>
      </c>
      <c r="X61" s="147">
        <f t="shared" si="20"/>
        <v>0</v>
      </c>
      <c r="Y61" s="147">
        <f t="shared" si="20"/>
        <v>0</v>
      </c>
      <c r="Z61" s="147">
        <f t="shared" si="20"/>
        <v>0</v>
      </c>
      <c r="AA61" s="147">
        <f t="shared" si="20"/>
        <v>0</v>
      </c>
      <c r="AB61" s="147">
        <f t="shared" si="21"/>
        <v>0</v>
      </c>
      <c r="AC61" s="147">
        <f t="shared" si="21"/>
        <v>0</v>
      </c>
      <c r="AD61" s="147">
        <f t="shared" si="21"/>
        <v>0</v>
      </c>
      <c r="AE61" s="147">
        <f t="shared" si="21"/>
        <v>0</v>
      </c>
      <c r="AF61" s="147">
        <f t="shared" si="21"/>
        <v>0</v>
      </c>
      <c r="AG61" s="147">
        <f t="shared" si="21"/>
        <v>0</v>
      </c>
      <c r="AH61" s="147">
        <f t="shared" si="21"/>
        <v>0</v>
      </c>
      <c r="AI61"/>
      <c r="AJ61"/>
      <c r="AK61"/>
      <c r="AL61"/>
      <c r="AM61"/>
      <c r="AN61"/>
      <c r="AT61"/>
    </row>
    <row r="62" spans="1:46" ht="15" customHeight="1" x14ac:dyDescent="0.25">
      <c r="A62" s="116" t="s">
        <v>309</v>
      </c>
      <c r="B62" s="112" t="s">
        <v>944</v>
      </c>
      <c r="C62" s="101">
        <v>60837</v>
      </c>
      <c r="D62" s="102" t="s">
        <v>490</v>
      </c>
      <c r="E62" s="103" t="s">
        <v>46</v>
      </c>
      <c r="F62" s="103" t="s">
        <v>412</v>
      </c>
      <c r="G62" s="103" t="s">
        <v>413</v>
      </c>
      <c r="H62" s="103" t="s">
        <v>414</v>
      </c>
      <c r="I62" s="104">
        <v>44713</v>
      </c>
      <c r="J62" s="104">
        <v>44713</v>
      </c>
      <c r="K62" s="105">
        <v>7000</v>
      </c>
      <c r="M62"/>
      <c r="P62" s="190"/>
      <c r="Q62" s="103" t="s">
        <v>896</v>
      </c>
      <c r="R62" s="147">
        <f t="shared" si="20"/>
        <v>0</v>
      </c>
      <c r="S62" s="147">
        <f t="shared" si="20"/>
        <v>0</v>
      </c>
      <c r="T62" s="147">
        <f t="shared" si="20"/>
        <v>0</v>
      </c>
      <c r="U62" s="147">
        <f t="shared" si="20"/>
        <v>0</v>
      </c>
      <c r="V62" s="147">
        <f t="shared" si="20"/>
        <v>0</v>
      </c>
      <c r="W62" s="147">
        <f t="shared" si="20"/>
        <v>0</v>
      </c>
      <c r="X62" s="147">
        <f t="shared" si="20"/>
        <v>0</v>
      </c>
      <c r="Y62" s="147">
        <f t="shared" si="20"/>
        <v>0</v>
      </c>
      <c r="Z62" s="147">
        <f t="shared" si="20"/>
        <v>0</v>
      </c>
      <c r="AA62" s="147">
        <f t="shared" si="20"/>
        <v>0</v>
      </c>
      <c r="AB62" s="147">
        <f t="shared" si="21"/>
        <v>0</v>
      </c>
      <c r="AC62" s="147">
        <f t="shared" si="21"/>
        <v>0</v>
      </c>
      <c r="AD62" s="147">
        <f t="shared" si="21"/>
        <v>0</v>
      </c>
      <c r="AE62" s="147">
        <f t="shared" si="21"/>
        <v>0</v>
      </c>
      <c r="AF62" s="147">
        <f t="shared" si="21"/>
        <v>0</v>
      </c>
      <c r="AG62" s="147">
        <f t="shared" si="21"/>
        <v>0</v>
      </c>
      <c r="AH62" s="147">
        <f t="shared" si="21"/>
        <v>0</v>
      </c>
      <c r="AI62"/>
      <c r="AJ62"/>
      <c r="AK62"/>
      <c r="AL62"/>
      <c r="AM62"/>
      <c r="AN62"/>
      <c r="AT62"/>
    </row>
    <row r="63" spans="1:46" ht="15" customHeight="1" x14ac:dyDescent="0.25">
      <c r="A63" s="116" t="s">
        <v>309</v>
      </c>
      <c r="B63" s="112" t="s">
        <v>944</v>
      </c>
      <c r="C63" s="101">
        <v>56856</v>
      </c>
      <c r="D63" s="102" t="s">
        <v>491</v>
      </c>
      <c r="E63" s="103" t="s">
        <v>46</v>
      </c>
      <c r="F63" s="103" t="s">
        <v>412</v>
      </c>
      <c r="G63" s="103" t="s">
        <v>413</v>
      </c>
      <c r="H63" s="103" t="s">
        <v>414</v>
      </c>
      <c r="I63" s="104">
        <v>43567</v>
      </c>
      <c r="J63" s="104">
        <v>43567</v>
      </c>
      <c r="K63" s="105">
        <v>6750.46</v>
      </c>
      <c r="M63"/>
      <c r="P63" s="190"/>
      <c r="Q63" s="103" t="s">
        <v>917</v>
      </c>
      <c r="R63" s="147">
        <f t="shared" si="20"/>
        <v>0</v>
      </c>
      <c r="S63" s="147">
        <f t="shared" si="20"/>
        <v>0</v>
      </c>
      <c r="T63" s="147">
        <f t="shared" si="20"/>
        <v>0</v>
      </c>
      <c r="U63" s="147">
        <f t="shared" si="20"/>
        <v>0</v>
      </c>
      <c r="V63" s="147">
        <f t="shared" si="20"/>
        <v>0</v>
      </c>
      <c r="W63" s="147">
        <f t="shared" si="20"/>
        <v>0</v>
      </c>
      <c r="X63" s="147">
        <f t="shared" si="20"/>
        <v>0</v>
      </c>
      <c r="Y63" s="147">
        <f t="shared" si="20"/>
        <v>0</v>
      </c>
      <c r="Z63" s="147">
        <f t="shared" si="20"/>
        <v>0</v>
      </c>
      <c r="AA63" s="147">
        <f t="shared" si="20"/>
        <v>0</v>
      </c>
      <c r="AB63" s="147">
        <f t="shared" si="21"/>
        <v>0</v>
      </c>
      <c r="AC63" s="147">
        <f t="shared" si="21"/>
        <v>0</v>
      </c>
      <c r="AD63" s="147">
        <f t="shared" si="21"/>
        <v>0</v>
      </c>
      <c r="AE63" s="147">
        <f t="shared" si="21"/>
        <v>0</v>
      </c>
      <c r="AF63" s="147">
        <f t="shared" si="21"/>
        <v>0</v>
      </c>
      <c r="AG63" s="147">
        <f t="shared" si="21"/>
        <v>0</v>
      </c>
      <c r="AH63" s="147">
        <f t="shared" si="21"/>
        <v>0</v>
      </c>
      <c r="AI63"/>
      <c r="AJ63"/>
      <c r="AK63"/>
      <c r="AL63"/>
      <c r="AM63"/>
      <c r="AN63"/>
      <c r="AT63"/>
    </row>
    <row r="64" spans="1:46" ht="15" customHeight="1" x14ac:dyDescent="0.25">
      <c r="A64" s="116" t="s">
        <v>309</v>
      </c>
      <c r="B64" s="112" t="s">
        <v>944</v>
      </c>
      <c r="C64" s="101">
        <v>62583</v>
      </c>
      <c r="D64" s="102" t="s">
        <v>492</v>
      </c>
      <c r="E64" s="103" t="s">
        <v>46</v>
      </c>
      <c r="F64" s="103" t="s">
        <v>412</v>
      </c>
      <c r="G64" s="103" t="s">
        <v>413</v>
      </c>
      <c r="H64" s="103" t="s">
        <v>414</v>
      </c>
      <c r="I64" s="104">
        <v>45077</v>
      </c>
      <c r="J64" s="104">
        <v>45028</v>
      </c>
      <c r="K64" s="105">
        <v>7000</v>
      </c>
      <c r="M64" s="100" t="s">
        <v>949</v>
      </c>
      <c r="N64" s="100" t="s">
        <v>1333</v>
      </c>
      <c r="O64" s="100" t="s">
        <v>957</v>
      </c>
      <c r="AC64"/>
      <c r="AD64"/>
      <c r="AE64"/>
      <c r="AF64"/>
      <c r="AG64"/>
      <c r="AH64"/>
      <c r="AI64"/>
      <c r="AJ64"/>
      <c r="AK64"/>
      <c r="AL64"/>
      <c r="AM64"/>
      <c r="AN64"/>
      <c r="AT64"/>
    </row>
    <row r="65" spans="1:46" ht="15" customHeight="1" x14ac:dyDescent="0.25">
      <c r="A65" s="116" t="s">
        <v>309</v>
      </c>
      <c r="B65" s="112" t="s">
        <v>944</v>
      </c>
      <c r="C65" s="101">
        <v>65294</v>
      </c>
      <c r="D65" s="102" t="s">
        <v>493</v>
      </c>
      <c r="E65" s="103" t="s">
        <v>46</v>
      </c>
      <c r="F65" s="103" t="s">
        <v>412</v>
      </c>
      <c r="G65" s="103" t="s">
        <v>417</v>
      </c>
      <c r="H65" s="103" t="s">
        <v>414</v>
      </c>
      <c r="I65" s="104">
        <v>45289</v>
      </c>
      <c r="J65" s="104">
        <v>45282</v>
      </c>
      <c r="K65" s="105">
        <v>28205.34</v>
      </c>
      <c r="M65" s="120" t="s">
        <v>2520</v>
      </c>
      <c r="N65" s="143">
        <v>1</v>
      </c>
      <c r="O65" s="133">
        <f t="shared" ref="O65:O80" si="22">N65/$N$35</f>
        <v>2.3809523809523808E-2</v>
      </c>
      <c r="P65" s="167"/>
      <c r="AD65"/>
      <c r="AE65"/>
      <c r="AF65"/>
      <c r="AG65"/>
      <c r="AH65"/>
      <c r="AI65"/>
      <c r="AJ65"/>
      <c r="AK65"/>
      <c r="AL65"/>
      <c r="AM65"/>
      <c r="AN65"/>
      <c r="AT65"/>
    </row>
    <row r="66" spans="1:46" ht="15" customHeight="1" x14ac:dyDescent="0.25">
      <c r="A66" s="116" t="s">
        <v>309</v>
      </c>
      <c r="B66" s="112" t="s">
        <v>944</v>
      </c>
      <c r="C66" s="101">
        <v>65299</v>
      </c>
      <c r="D66" s="102" t="s">
        <v>494</v>
      </c>
      <c r="E66" s="103" t="s">
        <v>46</v>
      </c>
      <c r="F66" s="103" t="s">
        <v>440</v>
      </c>
      <c r="G66" s="103" t="s">
        <v>417</v>
      </c>
      <c r="H66" s="103" t="s">
        <v>414</v>
      </c>
      <c r="I66" s="104">
        <v>46380</v>
      </c>
      <c r="J66" s="103"/>
      <c r="K66" s="105">
        <v>32154.09</v>
      </c>
      <c r="M66" s="112" t="s">
        <v>2521</v>
      </c>
      <c r="N66" s="143">
        <v>1</v>
      </c>
      <c r="O66" s="133">
        <f t="shared" si="22"/>
        <v>2.3809523809523808E-2</v>
      </c>
      <c r="P66" s="190" t="s">
        <v>397</v>
      </c>
      <c r="Q66" s="100" t="s">
        <v>404</v>
      </c>
      <c r="R66" s="112" t="s">
        <v>549</v>
      </c>
      <c r="S66" s="112" t="s">
        <v>688</v>
      </c>
      <c r="T66" s="112" t="s">
        <v>252</v>
      </c>
      <c r="U66" s="112" t="s">
        <v>1543</v>
      </c>
      <c r="V66" s="112" t="s">
        <v>1139</v>
      </c>
      <c r="W66" s="112" t="s">
        <v>1138</v>
      </c>
      <c r="X66" s="112" t="s">
        <v>350</v>
      </c>
      <c r="Y66" s="112" t="s">
        <v>611</v>
      </c>
      <c r="Z66" s="112" t="s">
        <v>946</v>
      </c>
      <c r="AA66" s="112" t="s">
        <v>1840</v>
      </c>
      <c r="AB66" s="112" t="s">
        <v>1840</v>
      </c>
      <c r="AC66" s="112" t="s">
        <v>945</v>
      </c>
      <c r="AD66" s="112" t="s">
        <v>943</v>
      </c>
      <c r="AE66" s="112" t="s">
        <v>947</v>
      </c>
      <c r="AF66" s="112" t="s">
        <v>1917</v>
      </c>
      <c r="AG66" s="112" t="s">
        <v>944</v>
      </c>
      <c r="AH66" s="120" t="s">
        <v>404</v>
      </c>
      <c r="AI66"/>
      <c r="AJ66"/>
      <c r="AK66"/>
      <c r="AL66"/>
      <c r="AM66"/>
      <c r="AN66"/>
      <c r="AT66"/>
    </row>
    <row r="67" spans="1:46" ht="15" customHeight="1" x14ac:dyDescent="0.25">
      <c r="A67" s="116" t="s">
        <v>309</v>
      </c>
      <c r="B67" s="112" t="s">
        <v>944</v>
      </c>
      <c r="C67" s="101">
        <v>50803</v>
      </c>
      <c r="D67" s="102" t="s">
        <v>495</v>
      </c>
      <c r="E67" s="103" t="s">
        <v>46</v>
      </c>
      <c r="F67" s="103" t="s">
        <v>412</v>
      </c>
      <c r="G67" s="103" t="s">
        <v>413</v>
      </c>
      <c r="H67" s="103" t="s">
        <v>414</v>
      </c>
      <c r="I67" s="104">
        <v>42740</v>
      </c>
      <c r="J67" s="104">
        <v>42740</v>
      </c>
      <c r="K67" s="105">
        <v>6750.6</v>
      </c>
      <c r="M67" s="112" t="s">
        <v>2522</v>
      </c>
      <c r="N67" s="143">
        <v>1</v>
      </c>
      <c r="O67" s="133">
        <f t="shared" si="22"/>
        <v>2.3809523809523808E-2</v>
      </c>
      <c r="P67" s="190"/>
      <c r="Q67" s="103" t="s">
        <v>46</v>
      </c>
      <c r="R67" s="121">
        <f t="shared" ref="R67:AA76" si="23">SUMIFS($K:$K,$B:$B,R$66,$E:$E,$Q67,$F:$F,$P$66)</f>
        <v>1411122.6100000003</v>
      </c>
      <c r="S67" s="121">
        <f t="shared" si="23"/>
        <v>6703852.8999999985</v>
      </c>
      <c r="T67" s="121">
        <f t="shared" si="23"/>
        <v>680896.39999999991</v>
      </c>
      <c r="U67" s="121">
        <f t="shared" si="23"/>
        <v>0</v>
      </c>
      <c r="V67" s="121">
        <f t="shared" si="23"/>
        <v>952561.29</v>
      </c>
      <c r="W67" s="121">
        <f t="shared" si="23"/>
        <v>1114050.1499999999</v>
      </c>
      <c r="X67" s="121">
        <f t="shared" si="23"/>
        <v>802377.8</v>
      </c>
      <c r="Y67" s="121">
        <f t="shared" si="23"/>
        <v>697459.32000000007</v>
      </c>
      <c r="Z67" s="121">
        <f t="shared" si="23"/>
        <v>123001.2</v>
      </c>
      <c r="AA67" s="121">
        <f t="shared" si="23"/>
        <v>319647.09000000003</v>
      </c>
      <c r="AB67" s="121">
        <f t="shared" ref="AB67:AH76" si="24">SUMIFS($K:$K,$B:$B,AB$66,$E:$E,$Q67,$F:$F,$P$66)</f>
        <v>319647.09000000003</v>
      </c>
      <c r="AC67" s="121">
        <f t="shared" si="24"/>
        <v>205772.16</v>
      </c>
      <c r="AD67" s="121">
        <f t="shared" si="24"/>
        <v>56630.28</v>
      </c>
      <c r="AE67" s="121">
        <f t="shared" si="24"/>
        <v>0</v>
      </c>
      <c r="AF67" s="121">
        <f t="shared" si="24"/>
        <v>35028.240000000005</v>
      </c>
      <c r="AG67" s="121">
        <f t="shared" si="24"/>
        <v>0</v>
      </c>
      <c r="AH67" s="121">
        <f t="shared" si="24"/>
        <v>0</v>
      </c>
      <c r="AI67"/>
      <c r="AJ67"/>
      <c r="AK67"/>
      <c r="AL67"/>
      <c r="AM67"/>
      <c r="AN67"/>
      <c r="AT67"/>
    </row>
    <row r="68" spans="1:46" ht="15" customHeight="1" x14ac:dyDescent="0.25">
      <c r="A68" s="116" t="s">
        <v>309</v>
      </c>
      <c r="B68" s="112" t="s">
        <v>944</v>
      </c>
      <c r="C68" s="101">
        <v>50802</v>
      </c>
      <c r="D68" s="102" t="s">
        <v>496</v>
      </c>
      <c r="E68" s="103" t="s">
        <v>46</v>
      </c>
      <c r="F68" s="103" t="s">
        <v>412</v>
      </c>
      <c r="G68" s="103" t="s">
        <v>413</v>
      </c>
      <c r="H68" s="103" t="s">
        <v>414</v>
      </c>
      <c r="I68" s="104">
        <v>41644</v>
      </c>
      <c r="J68" s="104">
        <v>41644</v>
      </c>
      <c r="K68" s="105">
        <v>8223.56</v>
      </c>
      <c r="M68" s="112" t="s">
        <v>2523</v>
      </c>
      <c r="N68" s="143">
        <v>1</v>
      </c>
      <c r="O68" s="133">
        <f t="shared" si="22"/>
        <v>2.3809523809523808E-2</v>
      </c>
      <c r="P68" s="190"/>
      <c r="Q68" s="107" t="s">
        <v>48</v>
      </c>
      <c r="R68" s="121">
        <f t="shared" si="23"/>
        <v>0</v>
      </c>
      <c r="S68" s="121">
        <f t="shared" si="23"/>
        <v>0</v>
      </c>
      <c r="T68" s="121">
        <f t="shared" si="23"/>
        <v>15600</v>
      </c>
      <c r="U68" s="121">
        <f t="shared" si="23"/>
        <v>0</v>
      </c>
      <c r="V68" s="121">
        <f t="shared" si="23"/>
        <v>701808.05</v>
      </c>
      <c r="W68" s="121">
        <f t="shared" si="23"/>
        <v>121839.48</v>
      </c>
      <c r="X68" s="121">
        <f t="shared" si="23"/>
        <v>0</v>
      </c>
      <c r="Y68" s="121">
        <f t="shared" si="23"/>
        <v>0</v>
      </c>
      <c r="Z68" s="121">
        <f t="shared" si="23"/>
        <v>124800</v>
      </c>
      <c r="AA68" s="121">
        <f t="shared" si="23"/>
        <v>370841.9</v>
      </c>
      <c r="AB68" s="121">
        <f t="shared" si="24"/>
        <v>370841.9</v>
      </c>
      <c r="AC68" s="121">
        <f t="shared" si="24"/>
        <v>0</v>
      </c>
      <c r="AD68" s="121">
        <f t="shared" si="24"/>
        <v>9400</v>
      </c>
      <c r="AE68" s="121">
        <f t="shared" si="24"/>
        <v>352463.21</v>
      </c>
      <c r="AF68" s="121">
        <f t="shared" si="24"/>
        <v>0</v>
      </c>
      <c r="AG68" s="121">
        <f t="shared" si="24"/>
        <v>0</v>
      </c>
      <c r="AH68" s="121">
        <f t="shared" si="24"/>
        <v>0</v>
      </c>
      <c r="AI68"/>
      <c r="AJ68"/>
      <c r="AK68"/>
      <c r="AL68"/>
      <c r="AM68"/>
      <c r="AN68"/>
      <c r="AT68"/>
    </row>
    <row r="69" spans="1:46" ht="15" customHeight="1" x14ac:dyDescent="0.25">
      <c r="A69" s="116" t="s">
        <v>309</v>
      </c>
      <c r="B69" s="112" t="s">
        <v>944</v>
      </c>
      <c r="C69" s="101">
        <v>50801</v>
      </c>
      <c r="D69" s="102" t="s">
        <v>497</v>
      </c>
      <c r="E69" s="103" t="s">
        <v>46</v>
      </c>
      <c r="F69" s="103" t="s">
        <v>412</v>
      </c>
      <c r="G69" s="103" t="s">
        <v>413</v>
      </c>
      <c r="H69" s="103" t="s">
        <v>414</v>
      </c>
      <c r="I69" s="104">
        <v>42736</v>
      </c>
      <c r="J69" s="104">
        <v>42736</v>
      </c>
      <c r="K69" s="105">
        <v>6750.24</v>
      </c>
      <c r="M69" s="112" t="s">
        <v>2524</v>
      </c>
      <c r="N69" s="143">
        <v>1</v>
      </c>
      <c r="O69" s="133">
        <f t="shared" si="22"/>
        <v>2.3809523809523808E-2</v>
      </c>
      <c r="P69" s="190"/>
      <c r="Q69" s="103" t="s">
        <v>67</v>
      </c>
      <c r="R69" s="121">
        <f t="shared" si="23"/>
        <v>0</v>
      </c>
      <c r="S69" s="121">
        <f t="shared" si="23"/>
        <v>289972.02</v>
      </c>
      <c r="T69" s="121">
        <f t="shared" si="23"/>
        <v>1400</v>
      </c>
      <c r="U69" s="121">
        <f t="shared" si="23"/>
        <v>735750.11</v>
      </c>
      <c r="V69" s="121">
        <f t="shared" si="23"/>
        <v>31777.200000000001</v>
      </c>
      <c r="W69" s="121">
        <f t="shared" si="23"/>
        <v>395270</v>
      </c>
      <c r="X69" s="121">
        <f t="shared" si="23"/>
        <v>12715090.449999999</v>
      </c>
      <c r="Y69" s="121">
        <f t="shared" si="23"/>
        <v>3106320</v>
      </c>
      <c r="Z69" s="121">
        <f t="shared" si="23"/>
        <v>0</v>
      </c>
      <c r="AA69" s="121">
        <f t="shared" si="23"/>
        <v>100594.09</v>
      </c>
      <c r="AB69" s="121">
        <f t="shared" si="24"/>
        <v>100594.09</v>
      </c>
      <c r="AC69" s="121">
        <f t="shared" si="24"/>
        <v>117969.42</v>
      </c>
      <c r="AD69" s="121">
        <f t="shared" si="24"/>
        <v>0</v>
      </c>
      <c r="AE69" s="121">
        <f t="shared" si="24"/>
        <v>35075</v>
      </c>
      <c r="AF69" s="121">
        <f t="shared" si="24"/>
        <v>0</v>
      </c>
      <c r="AG69" s="121">
        <f t="shared" si="24"/>
        <v>0</v>
      </c>
      <c r="AH69" s="121">
        <f t="shared" si="24"/>
        <v>0</v>
      </c>
      <c r="AI69"/>
      <c r="AJ69"/>
      <c r="AK69"/>
      <c r="AL69"/>
      <c r="AM69"/>
      <c r="AN69"/>
      <c r="AT69"/>
    </row>
    <row r="70" spans="1:46" ht="15" customHeight="1" x14ac:dyDescent="0.25">
      <c r="A70" s="116" t="s">
        <v>309</v>
      </c>
      <c r="B70" s="112" t="s">
        <v>944</v>
      </c>
      <c r="C70" s="101">
        <v>50800</v>
      </c>
      <c r="D70" s="102" t="s">
        <v>498</v>
      </c>
      <c r="E70" s="103" t="s">
        <v>46</v>
      </c>
      <c r="F70" s="103" t="s">
        <v>412</v>
      </c>
      <c r="G70" s="103" t="s">
        <v>413</v>
      </c>
      <c r="H70" s="103" t="s">
        <v>414</v>
      </c>
      <c r="I70" s="104">
        <v>42371</v>
      </c>
      <c r="J70" s="104">
        <v>42371</v>
      </c>
      <c r="K70" s="105">
        <v>6750.6</v>
      </c>
      <c r="M70" s="112" t="s">
        <v>2525</v>
      </c>
      <c r="N70" s="143">
        <v>1</v>
      </c>
      <c r="O70" s="133">
        <f t="shared" si="22"/>
        <v>2.3809523809523808E-2</v>
      </c>
      <c r="P70" s="190"/>
      <c r="Q70" s="103" t="s">
        <v>68</v>
      </c>
      <c r="R70" s="121">
        <f t="shared" si="23"/>
        <v>240</v>
      </c>
      <c r="S70" s="121">
        <f t="shared" si="23"/>
        <v>1890</v>
      </c>
      <c r="T70" s="121">
        <f t="shared" si="23"/>
        <v>0</v>
      </c>
      <c r="U70" s="121">
        <f t="shared" si="23"/>
        <v>0</v>
      </c>
      <c r="V70" s="121">
        <f t="shared" si="23"/>
        <v>15000</v>
      </c>
      <c r="W70" s="121">
        <f t="shared" si="23"/>
        <v>0</v>
      </c>
      <c r="X70" s="121">
        <f t="shared" si="23"/>
        <v>0</v>
      </c>
      <c r="Y70" s="121">
        <f t="shared" si="23"/>
        <v>117499.92</v>
      </c>
      <c r="Z70" s="121">
        <f t="shared" si="23"/>
        <v>19430.400000000001</v>
      </c>
      <c r="AA70" s="121">
        <f t="shared" si="23"/>
        <v>97152</v>
      </c>
      <c r="AB70" s="121">
        <f t="shared" si="24"/>
        <v>97152</v>
      </c>
      <c r="AC70" s="121">
        <f t="shared" si="24"/>
        <v>0</v>
      </c>
      <c r="AD70" s="121">
        <f t="shared" si="24"/>
        <v>0</v>
      </c>
      <c r="AE70" s="121">
        <f t="shared" si="24"/>
        <v>0</v>
      </c>
      <c r="AF70" s="121">
        <f t="shared" si="24"/>
        <v>0</v>
      </c>
      <c r="AG70" s="121">
        <f t="shared" si="24"/>
        <v>0</v>
      </c>
      <c r="AH70" s="121">
        <f t="shared" si="24"/>
        <v>0</v>
      </c>
      <c r="AI70"/>
      <c r="AJ70"/>
      <c r="AK70"/>
      <c r="AL70"/>
      <c r="AM70"/>
      <c r="AN70"/>
      <c r="AT70"/>
    </row>
    <row r="71" spans="1:46" ht="15" customHeight="1" x14ac:dyDescent="0.25">
      <c r="A71" s="116" t="s">
        <v>309</v>
      </c>
      <c r="B71" s="112" t="s">
        <v>944</v>
      </c>
      <c r="C71" s="101">
        <v>50799</v>
      </c>
      <c r="D71" s="102" t="s">
        <v>499</v>
      </c>
      <c r="E71" s="103" t="s">
        <v>46</v>
      </c>
      <c r="F71" s="103" t="s">
        <v>412</v>
      </c>
      <c r="G71" s="103" t="s">
        <v>413</v>
      </c>
      <c r="H71" s="103" t="s">
        <v>414</v>
      </c>
      <c r="I71" s="104">
        <v>41286</v>
      </c>
      <c r="J71" s="104">
        <v>41286</v>
      </c>
      <c r="K71" s="105">
        <v>8045.23</v>
      </c>
      <c r="M71" s="112" t="s">
        <v>2526</v>
      </c>
      <c r="N71" s="143">
        <v>1</v>
      </c>
      <c r="O71" s="133">
        <f t="shared" si="22"/>
        <v>2.3809523809523808E-2</v>
      </c>
      <c r="P71" s="190"/>
      <c r="Q71" s="103" t="s">
        <v>451</v>
      </c>
      <c r="R71" s="121">
        <f t="shared" si="23"/>
        <v>27082.52</v>
      </c>
      <c r="S71" s="121">
        <f t="shared" si="23"/>
        <v>63809</v>
      </c>
      <c r="T71" s="121">
        <f t="shared" si="23"/>
        <v>767759.89999999991</v>
      </c>
      <c r="U71" s="121">
        <f t="shared" si="23"/>
        <v>498260</v>
      </c>
      <c r="V71" s="121">
        <f t="shared" si="23"/>
        <v>194160</v>
      </c>
      <c r="W71" s="121">
        <f t="shared" si="23"/>
        <v>0</v>
      </c>
      <c r="X71" s="121">
        <f t="shared" si="23"/>
        <v>0</v>
      </c>
      <c r="Y71" s="121">
        <f t="shared" si="23"/>
        <v>0</v>
      </c>
      <c r="Z71" s="121">
        <f t="shared" si="23"/>
        <v>14138.96</v>
      </c>
      <c r="AA71" s="121">
        <f t="shared" si="23"/>
        <v>0</v>
      </c>
      <c r="AB71" s="121">
        <f t="shared" si="24"/>
        <v>0</v>
      </c>
      <c r="AC71" s="121">
        <f t="shared" si="24"/>
        <v>44000</v>
      </c>
      <c r="AD71" s="121">
        <f t="shared" si="24"/>
        <v>0</v>
      </c>
      <c r="AE71" s="121">
        <f t="shared" si="24"/>
        <v>0</v>
      </c>
      <c r="AF71" s="121">
        <f t="shared" si="24"/>
        <v>0</v>
      </c>
      <c r="AG71" s="121">
        <f t="shared" si="24"/>
        <v>0</v>
      </c>
      <c r="AH71" s="121">
        <f t="shared" si="24"/>
        <v>0</v>
      </c>
      <c r="AI71"/>
      <c r="AJ71"/>
      <c r="AK71"/>
      <c r="AL71"/>
      <c r="AM71"/>
      <c r="AN71"/>
      <c r="AT71"/>
    </row>
    <row r="72" spans="1:46" ht="15" customHeight="1" x14ac:dyDescent="0.25">
      <c r="A72" s="116" t="s">
        <v>309</v>
      </c>
      <c r="B72" s="112" t="s">
        <v>944</v>
      </c>
      <c r="C72" s="101">
        <v>50798</v>
      </c>
      <c r="D72" s="102" t="s">
        <v>500</v>
      </c>
      <c r="E72" s="103" t="s">
        <v>46</v>
      </c>
      <c r="F72" s="103" t="s">
        <v>412</v>
      </c>
      <c r="G72" s="103" t="s">
        <v>413</v>
      </c>
      <c r="H72" s="103" t="s">
        <v>414</v>
      </c>
      <c r="I72" s="104">
        <v>43104</v>
      </c>
      <c r="J72" s="104">
        <v>43104</v>
      </c>
      <c r="K72" s="105">
        <v>6750.6</v>
      </c>
      <c r="M72" s="112" t="s">
        <v>2527</v>
      </c>
      <c r="N72" s="143">
        <v>2</v>
      </c>
      <c r="O72" s="133">
        <f t="shared" si="22"/>
        <v>4.7619047619047616E-2</v>
      </c>
      <c r="P72" s="190"/>
      <c r="Q72" s="103" t="s">
        <v>399</v>
      </c>
      <c r="R72" s="121">
        <f t="shared" si="23"/>
        <v>0</v>
      </c>
      <c r="S72" s="121">
        <f t="shared" si="23"/>
        <v>0</v>
      </c>
      <c r="T72" s="121">
        <f t="shared" si="23"/>
        <v>67200</v>
      </c>
      <c r="U72" s="121">
        <f t="shared" si="23"/>
        <v>0</v>
      </c>
      <c r="V72" s="121">
        <f t="shared" si="23"/>
        <v>0</v>
      </c>
      <c r="W72" s="121">
        <f t="shared" si="23"/>
        <v>0</v>
      </c>
      <c r="X72" s="121">
        <f t="shared" si="23"/>
        <v>0</v>
      </c>
      <c r="Y72" s="121">
        <f t="shared" si="23"/>
        <v>0</v>
      </c>
      <c r="Z72" s="121">
        <f t="shared" si="23"/>
        <v>0</v>
      </c>
      <c r="AA72" s="121">
        <f t="shared" si="23"/>
        <v>0</v>
      </c>
      <c r="AB72" s="121">
        <f t="shared" si="24"/>
        <v>0</v>
      </c>
      <c r="AC72" s="121">
        <f t="shared" si="24"/>
        <v>0</v>
      </c>
      <c r="AD72" s="121">
        <f t="shared" si="24"/>
        <v>0</v>
      </c>
      <c r="AE72" s="121">
        <f t="shared" si="24"/>
        <v>0</v>
      </c>
      <c r="AF72" s="121">
        <f t="shared" si="24"/>
        <v>0</v>
      </c>
      <c r="AG72" s="121">
        <f t="shared" si="24"/>
        <v>0</v>
      </c>
      <c r="AH72" s="121">
        <f t="shared" si="24"/>
        <v>0</v>
      </c>
      <c r="AI72"/>
      <c r="AJ72"/>
      <c r="AK72"/>
      <c r="AL72"/>
      <c r="AM72"/>
      <c r="AN72"/>
      <c r="AT72"/>
    </row>
    <row r="73" spans="1:46" ht="15" customHeight="1" x14ac:dyDescent="0.25">
      <c r="A73" s="116" t="s">
        <v>309</v>
      </c>
      <c r="B73" s="112" t="s">
        <v>944</v>
      </c>
      <c r="C73" s="101">
        <v>58617</v>
      </c>
      <c r="D73" s="102" t="s">
        <v>501</v>
      </c>
      <c r="E73" s="103" t="s">
        <v>46</v>
      </c>
      <c r="F73" s="103" t="s">
        <v>412</v>
      </c>
      <c r="G73" s="103" t="s">
        <v>413</v>
      </c>
      <c r="H73" s="103" t="s">
        <v>414</v>
      </c>
      <c r="I73" s="104">
        <v>43955</v>
      </c>
      <c r="J73" s="104">
        <v>43937</v>
      </c>
      <c r="K73" s="105">
        <v>6750.46</v>
      </c>
      <c r="M73" s="112" t="s">
        <v>2528</v>
      </c>
      <c r="N73" s="143">
        <v>2</v>
      </c>
      <c r="O73" s="133">
        <f t="shared" si="22"/>
        <v>4.7619047619047616E-2</v>
      </c>
      <c r="P73" s="190"/>
      <c r="Q73" s="103" t="s">
        <v>484</v>
      </c>
      <c r="R73" s="121">
        <f t="shared" si="23"/>
        <v>0</v>
      </c>
      <c r="S73" s="121">
        <f t="shared" si="23"/>
        <v>69795.009999999995</v>
      </c>
      <c r="T73" s="121">
        <f t="shared" si="23"/>
        <v>140000</v>
      </c>
      <c r="U73" s="121">
        <f t="shared" si="23"/>
        <v>2076995.44</v>
      </c>
      <c r="V73" s="121">
        <f t="shared" si="23"/>
        <v>2578956.15</v>
      </c>
      <c r="W73" s="121">
        <f t="shared" si="23"/>
        <v>0</v>
      </c>
      <c r="X73" s="121">
        <f t="shared" si="23"/>
        <v>0</v>
      </c>
      <c r="Y73" s="121">
        <f t="shared" si="23"/>
        <v>0</v>
      </c>
      <c r="Z73" s="121">
        <f t="shared" si="23"/>
        <v>81000</v>
      </c>
      <c r="AA73" s="121">
        <f t="shared" si="23"/>
        <v>0</v>
      </c>
      <c r="AB73" s="121">
        <f t="shared" si="24"/>
        <v>0</v>
      </c>
      <c r="AC73" s="121">
        <f t="shared" si="24"/>
        <v>0</v>
      </c>
      <c r="AD73" s="121">
        <f t="shared" si="24"/>
        <v>0</v>
      </c>
      <c r="AE73" s="121">
        <f t="shared" si="24"/>
        <v>0</v>
      </c>
      <c r="AF73" s="121">
        <f t="shared" si="24"/>
        <v>0</v>
      </c>
      <c r="AG73" s="121">
        <f t="shared" si="24"/>
        <v>3000</v>
      </c>
      <c r="AH73" s="121">
        <f t="shared" si="24"/>
        <v>0</v>
      </c>
      <c r="AI73"/>
      <c r="AJ73"/>
      <c r="AK73"/>
      <c r="AL73"/>
      <c r="AM73"/>
      <c r="AN73"/>
      <c r="AT73"/>
    </row>
    <row r="74" spans="1:46" ht="15" customHeight="1" x14ac:dyDescent="0.25">
      <c r="A74" s="116" t="s">
        <v>309</v>
      </c>
      <c r="B74" s="112" t="s">
        <v>944</v>
      </c>
      <c r="C74" s="101">
        <v>64038</v>
      </c>
      <c r="D74" s="102" t="s">
        <v>502</v>
      </c>
      <c r="E74" s="103" t="s">
        <v>46</v>
      </c>
      <c r="F74" s="103" t="s">
        <v>401</v>
      </c>
      <c r="G74" s="103" t="s">
        <v>413</v>
      </c>
      <c r="H74" s="103" t="s">
        <v>414</v>
      </c>
      <c r="I74" s="104">
        <v>45443</v>
      </c>
      <c r="J74" s="103"/>
      <c r="K74" s="105">
        <v>7350</v>
      </c>
      <c r="M74" s="112" t="s">
        <v>2529</v>
      </c>
      <c r="N74" s="143">
        <v>2</v>
      </c>
      <c r="O74" s="133">
        <f t="shared" si="22"/>
        <v>4.7619047619047616E-2</v>
      </c>
      <c r="P74" s="190"/>
      <c r="Q74" s="103" t="s">
        <v>487</v>
      </c>
      <c r="R74" s="121">
        <f t="shared" si="23"/>
        <v>0</v>
      </c>
      <c r="S74" s="121">
        <f t="shared" si="23"/>
        <v>0</v>
      </c>
      <c r="T74" s="121">
        <f t="shared" si="23"/>
        <v>117500</v>
      </c>
      <c r="U74" s="121">
        <f t="shared" si="23"/>
        <v>0</v>
      </c>
      <c r="V74" s="121">
        <f t="shared" si="23"/>
        <v>0</v>
      </c>
      <c r="W74" s="121">
        <f t="shared" si="23"/>
        <v>0</v>
      </c>
      <c r="X74" s="121">
        <f t="shared" si="23"/>
        <v>0</v>
      </c>
      <c r="Y74" s="121">
        <f t="shared" si="23"/>
        <v>0</v>
      </c>
      <c r="Z74" s="121">
        <f t="shared" si="23"/>
        <v>0</v>
      </c>
      <c r="AA74" s="121">
        <f t="shared" si="23"/>
        <v>0</v>
      </c>
      <c r="AB74" s="121">
        <f t="shared" si="24"/>
        <v>0</v>
      </c>
      <c r="AC74" s="121">
        <f t="shared" si="24"/>
        <v>0</v>
      </c>
      <c r="AD74" s="121">
        <f t="shared" si="24"/>
        <v>240</v>
      </c>
      <c r="AE74" s="121">
        <f t="shared" si="24"/>
        <v>0</v>
      </c>
      <c r="AF74" s="121">
        <f t="shared" si="24"/>
        <v>0</v>
      </c>
      <c r="AG74" s="121">
        <f t="shared" si="24"/>
        <v>0</v>
      </c>
      <c r="AH74" s="121">
        <f t="shared" si="24"/>
        <v>0</v>
      </c>
      <c r="AK74"/>
    </row>
    <row r="75" spans="1:46" ht="15" customHeight="1" x14ac:dyDescent="0.25">
      <c r="A75" s="116" t="s">
        <v>309</v>
      </c>
      <c r="B75" s="112" t="s">
        <v>944</v>
      </c>
      <c r="C75" s="101">
        <v>62516</v>
      </c>
      <c r="D75" s="102" t="s">
        <v>503</v>
      </c>
      <c r="E75" s="103" t="s">
        <v>46</v>
      </c>
      <c r="F75" s="103" t="s">
        <v>412</v>
      </c>
      <c r="G75" s="103" t="s">
        <v>953</v>
      </c>
      <c r="H75" s="103" t="s">
        <v>433</v>
      </c>
      <c r="I75" s="103"/>
      <c r="J75" s="104">
        <v>44774</v>
      </c>
      <c r="K75" s="105">
        <v>2650</v>
      </c>
      <c r="M75" s="112" t="s">
        <v>2530</v>
      </c>
      <c r="N75" s="143">
        <v>2</v>
      </c>
      <c r="O75" s="133">
        <f t="shared" si="22"/>
        <v>4.7619047619047616E-2</v>
      </c>
      <c r="P75" s="190"/>
      <c r="Q75" s="103" t="s">
        <v>510</v>
      </c>
      <c r="R75" s="121">
        <f t="shared" si="23"/>
        <v>0</v>
      </c>
      <c r="S75" s="121">
        <f t="shared" si="23"/>
        <v>330962.76</v>
      </c>
      <c r="T75" s="121">
        <f t="shared" si="23"/>
        <v>0</v>
      </c>
      <c r="U75" s="121">
        <f t="shared" si="23"/>
        <v>0</v>
      </c>
      <c r="V75" s="121">
        <f t="shared" si="23"/>
        <v>0</v>
      </c>
      <c r="W75" s="121">
        <f t="shared" si="23"/>
        <v>0</v>
      </c>
      <c r="X75" s="121">
        <f t="shared" si="23"/>
        <v>1080962.76</v>
      </c>
      <c r="Y75" s="121">
        <f t="shared" si="23"/>
        <v>233120</v>
      </c>
      <c r="Z75" s="121">
        <f t="shared" si="23"/>
        <v>0</v>
      </c>
      <c r="AA75" s="121">
        <f t="shared" si="23"/>
        <v>0</v>
      </c>
      <c r="AB75" s="121">
        <f t="shared" si="24"/>
        <v>0</v>
      </c>
      <c r="AC75" s="121">
        <f t="shared" si="24"/>
        <v>0</v>
      </c>
      <c r="AD75" s="121">
        <f t="shared" si="24"/>
        <v>0</v>
      </c>
      <c r="AE75" s="121">
        <f t="shared" si="24"/>
        <v>0</v>
      </c>
      <c r="AF75" s="121">
        <f t="shared" si="24"/>
        <v>0</v>
      </c>
      <c r="AG75" s="121">
        <f t="shared" si="24"/>
        <v>0</v>
      </c>
      <c r="AH75" s="121">
        <f t="shared" si="24"/>
        <v>0</v>
      </c>
      <c r="AK75"/>
    </row>
    <row r="76" spans="1:46" ht="15" customHeight="1" x14ac:dyDescent="0.25">
      <c r="A76" s="116" t="s">
        <v>309</v>
      </c>
      <c r="B76" s="112" t="s">
        <v>944</v>
      </c>
      <c r="C76" s="101">
        <v>65213</v>
      </c>
      <c r="D76" s="102" t="s">
        <v>504</v>
      </c>
      <c r="E76" s="103" t="s">
        <v>46</v>
      </c>
      <c r="F76" s="103" t="s">
        <v>412</v>
      </c>
      <c r="G76" s="103" t="s">
        <v>953</v>
      </c>
      <c r="H76" s="103" t="s">
        <v>433</v>
      </c>
      <c r="I76" s="103"/>
      <c r="J76" s="104">
        <v>45261</v>
      </c>
      <c r="K76" s="105">
        <v>6831</v>
      </c>
      <c r="M76" s="112" t="s">
        <v>2531</v>
      </c>
      <c r="N76" s="143">
        <v>2</v>
      </c>
      <c r="O76" s="133">
        <f t="shared" si="22"/>
        <v>4.7619047619047616E-2</v>
      </c>
      <c r="P76" s="190"/>
      <c r="Q76" s="103" t="s">
        <v>821</v>
      </c>
      <c r="R76" s="121">
        <f t="shared" si="23"/>
        <v>0</v>
      </c>
      <c r="S76" s="121">
        <f t="shared" si="23"/>
        <v>626976</v>
      </c>
      <c r="T76" s="121">
        <f t="shared" si="23"/>
        <v>0</v>
      </c>
      <c r="U76" s="121">
        <f t="shared" si="23"/>
        <v>0</v>
      </c>
      <c r="V76" s="121">
        <f t="shared" si="23"/>
        <v>352800</v>
      </c>
      <c r="W76" s="121">
        <f t="shared" si="23"/>
        <v>0</v>
      </c>
      <c r="X76" s="121">
        <f t="shared" si="23"/>
        <v>0</v>
      </c>
      <c r="Y76" s="121">
        <f t="shared" si="23"/>
        <v>0</v>
      </c>
      <c r="Z76" s="121">
        <f t="shared" si="23"/>
        <v>0</v>
      </c>
      <c r="AA76" s="121">
        <f t="shared" si="23"/>
        <v>0</v>
      </c>
      <c r="AB76" s="121">
        <f t="shared" si="24"/>
        <v>0</v>
      </c>
      <c r="AC76" s="121">
        <f t="shared" si="24"/>
        <v>0</v>
      </c>
      <c r="AD76" s="121">
        <f t="shared" si="24"/>
        <v>0</v>
      </c>
      <c r="AE76" s="121">
        <f t="shared" si="24"/>
        <v>0</v>
      </c>
      <c r="AF76" s="121">
        <f t="shared" si="24"/>
        <v>0</v>
      </c>
      <c r="AG76" s="121">
        <f t="shared" si="24"/>
        <v>0</v>
      </c>
      <c r="AH76" s="121">
        <f t="shared" si="24"/>
        <v>0</v>
      </c>
      <c r="AK76"/>
    </row>
    <row r="77" spans="1:46" ht="15" customHeight="1" x14ac:dyDescent="0.25">
      <c r="A77" s="116" t="s">
        <v>309</v>
      </c>
      <c r="B77" s="112" t="s">
        <v>944</v>
      </c>
      <c r="C77" s="101">
        <v>65066</v>
      </c>
      <c r="D77" s="102" t="s">
        <v>505</v>
      </c>
      <c r="E77" s="103" t="s">
        <v>46</v>
      </c>
      <c r="F77" s="103" t="s">
        <v>412</v>
      </c>
      <c r="G77" s="103" t="s">
        <v>953</v>
      </c>
      <c r="H77" s="103" t="s">
        <v>481</v>
      </c>
      <c r="I77" s="104">
        <v>45247</v>
      </c>
      <c r="J77" s="104">
        <v>45237</v>
      </c>
      <c r="K77" s="105">
        <v>3800</v>
      </c>
      <c r="M77" s="112" t="s">
        <v>2532</v>
      </c>
      <c r="N77" s="143">
        <v>2</v>
      </c>
      <c r="O77" s="133">
        <f t="shared" si="22"/>
        <v>4.7619047619047616E-2</v>
      </c>
      <c r="P77" s="190"/>
      <c r="Q77" s="103" t="s">
        <v>60</v>
      </c>
      <c r="R77" s="121">
        <f t="shared" ref="R77:AA83" si="25">SUMIFS($K:$K,$B:$B,R$66,$E:$E,$Q77,$F:$F,$P$66)</f>
        <v>0</v>
      </c>
      <c r="S77" s="121">
        <f t="shared" si="25"/>
        <v>0</v>
      </c>
      <c r="T77" s="121">
        <f t="shared" si="25"/>
        <v>0</v>
      </c>
      <c r="U77" s="121">
        <f t="shared" si="25"/>
        <v>0</v>
      </c>
      <c r="V77" s="121">
        <f t="shared" si="25"/>
        <v>0</v>
      </c>
      <c r="W77" s="121">
        <f t="shared" si="25"/>
        <v>0</v>
      </c>
      <c r="X77" s="121">
        <f t="shared" si="25"/>
        <v>0</v>
      </c>
      <c r="Y77" s="121">
        <f t="shared" si="25"/>
        <v>0</v>
      </c>
      <c r="Z77" s="121">
        <f t="shared" si="25"/>
        <v>0</v>
      </c>
      <c r="AA77" s="121">
        <f t="shared" si="25"/>
        <v>0</v>
      </c>
      <c r="AB77" s="121">
        <f t="shared" ref="AB77:AH83" si="26">SUMIFS($K:$K,$B:$B,AB$66,$E:$E,$Q77,$F:$F,$P$66)</f>
        <v>0</v>
      </c>
      <c r="AC77" s="121">
        <f t="shared" si="26"/>
        <v>59200.13</v>
      </c>
      <c r="AD77" s="121">
        <f t="shared" si="26"/>
        <v>0</v>
      </c>
      <c r="AE77" s="121">
        <f t="shared" si="26"/>
        <v>0</v>
      </c>
      <c r="AF77" s="121">
        <f t="shared" si="26"/>
        <v>0</v>
      </c>
      <c r="AG77" s="121">
        <f t="shared" si="26"/>
        <v>0</v>
      </c>
      <c r="AH77" s="121">
        <f t="shared" si="26"/>
        <v>0</v>
      </c>
      <c r="AK77"/>
    </row>
    <row r="78" spans="1:46" ht="15" customHeight="1" x14ac:dyDescent="0.25">
      <c r="A78" s="116" t="s">
        <v>309</v>
      </c>
      <c r="B78" s="112" t="s">
        <v>944</v>
      </c>
      <c r="C78" s="101">
        <v>65109</v>
      </c>
      <c r="D78" s="102" t="s">
        <v>506</v>
      </c>
      <c r="E78" s="103" t="s">
        <v>46</v>
      </c>
      <c r="F78" s="103" t="s">
        <v>412</v>
      </c>
      <c r="G78" s="103" t="s">
        <v>953</v>
      </c>
      <c r="H78" s="103" t="s">
        <v>481</v>
      </c>
      <c r="I78" s="104">
        <v>45268</v>
      </c>
      <c r="J78" s="104">
        <v>45260</v>
      </c>
      <c r="K78" s="105">
        <v>2277</v>
      </c>
      <c r="M78" s="112" t="s">
        <v>2533</v>
      </c>
      <c r="N78" s="143">
        <v>4</v>
      </c>
      <c r="O78" s="133">
        <f t="shared" si="22"/>
        <v>9.5238095238095233E-2</v>
      </c>
      <c r="P78" s="190"/>
      <c r="Q78" s="103" t="s">
        <v>830</v>
      </c>
      <c r="R78" s="121">
        <f t="shared" si="25"/>
        <v>0</v>
      </c>
      <c r="S78" s="121">
        <f t="shared" si="25"/>
        <v>0</v>
      </c>
      <c r="T78" s="121">
        <f t="shared" si="25"/>
        <v>0</v>
      </c>
      <c r="U78" s="121">
        <f t="shared" si="25"/>
        <v>0</v>
      </c>
      <c r="V78" s="121">
        <f t="shared" si="25"/>
        <v>537202.1</v>
      </c>
      <c r="W78" s="121">
        <f t="shared" si="25"/>
        <v>0</v>
      </c>
      <c r="X78" s="121">
        <f t="shared" si="25"/>
        <v>0</v>
      </c>
      <c r="Y78" s="121">
        <f t="shared" si="25"/>
        <v>0</v>
      </c>
      <c r="Z78" s="121">
        <f t="shared" si="25"/>
        <v>0</v>
      </c>
      <c r="AA78" s="121">
        <f t="shared" si="25"/>
        <v>0</v>
      </c>
      <c r="AB78" s="121">
        <f t="shared" si="26"/>
        <v>0</v>
      </c>
      <c r="AC78" s="121">
        <f t="shared" si="26"/>
        <v>15121.84</v>
      </c>
      <c r="AD78" s="121">
        <f t="shared" si="26"/>
        <v>0</v>
      </c>
      <c r="AE78" s="121">
        <f t="shared" si="26"/>
        <v>0</v>
      </c>
      <c r="AF78" s="121">
        <f t="shared" si="26"/>
        <v>0</v>
      </c>
      <c r="AG78" s="121">
        <f t="shared" si="26"/>
        <v>0</v>
      </c>
      <c r="AH78" s="121">
        <f t="shared" si="26"/>
        <v>0</v>
      </c>
      <c r="AK78"/>
    </row>
    <row r="79" spans="1:46" ht="15" customHeight="1" x14ac:dyDescent="0.25">
      <c r="A79" s="116" t="s">
        <v>309</v>
      </c>
      <c r="B79" s="112" t="s">
        <v>944</v>
      </c>
      <c r="C79" s="101">
        <v>64331</v>
      </c>
      <c r="D79" s="102" t="s">
        <v>507</v>
      </c>
      <c r="E79" s="103" t="s">
        <v>484</v>
      </c>
      <c r="F79" s="103" t="s">
        <v>397</v>
      </c>
      <c r="G79" s="103" t="s">
        <v>955</v>
      </c>
      <c r="H79" s="103" t="s">
        <v>437</v>
      </c>
      <c r="I79" s="104">
        <v>45142</v>
      </c>
      <c r="J79" s="103"/>
      <c r="K79" s="105">
        <v>3000</v>
      </c>
      <c r="M79" s="112" t="s">
        <v>2534</v>
      </c>
      <c r="N79" s="143">
        <v>6</v>
      </c>
      <c r="O79" s="133">
        <f t="shared" si="22"/>
        <v>0.14285714285714285</v>
      </c>
      <c r="P79" s="190"/>
      <c r="Q79" s="103" t="s">
        <v>579</v>
      </c>
      <c r="R79" s="121">
        <f t="shared" si="25"/>
        <v>520667.32999999996</v>
      </c>
      <c r="S79" s="121">
        <f t="shared" si="25"/>
        <v>23500</v>
      </c>
      <c r="T79" s="121">
        <f t="shared" si="25"/>
        <v>445785.8</v>
      </c>
      <c r="U79" s="121">
        <f t="shared" si="25"/>
        <v>0</v>
      </c>
      <c r="V79" s="121">
        <f t="shared" si="25"/>
        <v>155745.10999999999</v>
      </c>
      <c r="W79" s="121">
        <f t="shared" si="25"/>
        <v>0</v>
      </c>
      <c r="X79" s="121">
        <f t="shared" si="25"/>
        <v>0</v>
      </c>
      <c r="Y79" s="121">
        <f t="shared" si="25"/>
        <v>32285.8</v>
      </c>
      <c r="Z79" s="121">
        <f t="shared" si="25"/>
        <v>0</v>
      </c>
      <c r="AA79" s="121">
        <f t="shared" si="25"/>
        <v>0</v>
      </c>
      <c r="AB79" s="121">
        <f t="shared" si="26"/>
        <v>0</v>
      </c>
      <c r="AC79" s="121">
        <f t="shared" si="26"/>
        <v>0</v>
      </c>
      <c r="AD79" s="121">
        <f t="shared" si="26"/>
        <v>0</v>
      </c>
      <c r="AE79" s="121">
        <f t="shared" si="26"/>
        <v>0</v>
      </c>
      <c r="AF79" s="121">
        <f t="shared" si="26"/>
        <v>24303</v>
      </c>
      <c r="AG79" s="121">
        <f t="shared" si="26"/>
        <v>0</v>
      </c>
      <c r="AH79" s="121">
        <f t="shared" si="26"/>
        <v>0</v>
      </c>
      <c r="AK79"/>
    </row>
    <row r="80" spans="1:46" ht="15" customHeight="1" x14ac:dyDescent="0.25">
      <c r="A80" s="116" t="s">
        <v>309</v>
      </c>
      <c r="B80" s="112" t="s">
        <v>944</v>
      </c>
      <c r="C80" s="101">
        <v>64595</v>
      </c>
      <c r="D80" s="102" t="s">
        <v>508</v>
      </c>
      <c r="E80" s="103" t="s">
        <v>46</v>
      </c>
      <c r="F80" s="103" t="s">
        <v>401</v>
      </c>
      <c r="G80" s="103" t="s">
        <v>954</v>
      </c>
      <c r="H80" s="103" t="s">
        <v>437</v>
      </c>
      <c r="I80" s="104">
        <v>45359</v>
      </c>
      <c r="J80" s="103"/>
      <c r="K80" s="105">
        <v>25856.95</v>
      </c>
      <c r="M80" s="112" t="s">
        <v>2535</v>
      </c>
      <c r="N80" s="143">
        <v>8</v>
      </c>
      <c r="O80" s="133">
        <f t="shared" si="22"/>
        <v>0.19047619047619047</v>
      </c>
      <c r="P80" s="190"/>
      <c r="Q80" s="103" t="s">
        <v>833</v>
      </c>
      <c r="R80" s="121">
        <f t="shared" si="25"/>
        <v>0</v>
      </c>
      <c r="S80" s="121">
        <f t="shared" si="25"/>
        <v>188035.20000000001</v>
      </c>
      <c r="T80" s="121">
        <f t="shared" si="25"/>
        <v>0</v>
      </c>
      <c r="U80" s="121">
        <f t="shared" si="25"/>
        <v>0</v>
      </c>
      <c r="V80" s="121">
        <f t="shared" si="25"/>
        <v>0</v>
      </c>
      <c r="W80" s="121">
        <f t="shared" si="25"/>
        <v>0</v>
      </c>
      <c r="X80" s="121">
        <f t="shared" si="25"/>
        <v>0</v>
      </c>
      <c r="Y80" s="121">
        <f t="shared" si="25"/>
        <v>0</v>
      </c>
      <c r="Z80" s="121">
        <f t="shared" si="25"/>
        <v>0</v>
      </c>
      <c r="AA80" s="121">
        <f t="shared" si="25"/>
        <v>0</v>
      </c>
      <c r="AB80" s="121">
        <f t="shared" si="26"/>
        <v>0</v>
      </c>
      <c r="AC80" s="121">
        <f t="shared" si="26"/>
        <v>0</v>
      </c>
      <c r="AD80" s="121">
        <f t="shared" si="26"/>
        <v>0</v>
      </c>
      <c r="AE80" s="121">
        <f t="shared" si="26"/>
        <v>0</v>
      </c>
      <c r="AF80" s="121">
        <f t="shared" si="26"/>
        <v>0</v>
      </c>
      <c r="AG80" s="121">
        <f t="shared" si="26"/>
        <v>0</v>
      </c>
      <c r="AH80" s="121">
        <f t="shared" si="26"/>
        <v>0</v>
      </c>
      <c r="AK80"/>
    </row>
    <row r="81" spans="1:45" ht="15" customHeight="1" x14ac:dyDescent="0.25">
      <c r="A81" s="116" t="s">
        <v>531</v>
      </c>
      <c r="B81" s="35" t="s">
        <v>350</v>
      </c>
      <c r="C81" s="101">
        <v>64000</v>
      </c>
      <c r="D81" s="102" t="s">
        <v>509</v>
      </c>
      <c r="E81" s="103" t="s">
        <v>510</v>
      </c>
      <c r="F81" s="103" t="s">
        <v>401</v>
      </c>
      <c r="G81" s="103" t="s">
        <v>417</v>
      </c>
      <c r="H81" s="103" t="s">
        <v>414</v>
      </c>
      <c r="I81" s="104">
        <v>45351</v>
      </c>
      <c r="J81" s="103"/>
      <c r="K81" s="105">
        <v>772705.74</v>
      </c>
      <c r="M81"/>
      <c r="P81" s="190"/>
      <c r="Q81" s="103" t="s">
        <v>837</v>
      </c>
      <c r="R81" s="121">
        <f t="shared" si="25"/>
        <v>0</v>
      </c>
      <c r="S81" s="121">
        <f t="shared" si="25"/>
        <v>150696</v>
      </c>
      <c r="T81" s="121">
        <f t="shared" si="25"/>
        <v>0</v>
      </c>
      <c r="U81" s="121">
        <f t="shared" si="25"/>
        <v>0</v>
      </c>
      <c r="V81" s="121">
        <f t="shared" si="25"/>
        <v>0</v>
      </c>
      <c r="W81" s="121">
        <f t="shared" si="25"/>
        <v>0</v>
      </c>
      <c r="X81" s="121">
        <f t="shared" si="25"/>
        <v>0</v>
      </c>
      <c r="Y81" s="121">
        <f t="shared" si="25"/>
        <v>0</v>
      </c>
      <c r="Z81" s="121">
        <f t="shared" si="25"/>
        <v>0</v>
      </c>
      <c r="AA81" s="121">
        <f t="shared" si="25"/>
        <v>0</v>
      </c>
      <c r="AB81" s="121">
        <f t="shared" si="26"/>
        <v>0</v>
      </c>
      <c r="AC81" s="121">
        <f t="shared" si="26"/>
        <v>0</v>
      </c>
      <c r="AD81" s="121">
        <f t="shared" si="26"/>
        <v>0</v>
      </c>
      <c r="AE81" s="121">
        <f t="shared" si="26"/>
        <v>0</v>
      </c>
      <c r="AF81" s="121">
        <f t="shared" si="26"/>
        <v>0</v>
      </c>
      <c r="AG81" s="121">
        <f t="shared" si="26"/>
        <v>0</v>
      </c>
      <c r="AH81" s="121">
        <f t="shared" si="26"/>
        <v>0</v>
      </c>
      <c r="AK81"/>
    </row>
    <row r="82" spans="1:45" ht="15" customHeight="1" x14ac:dyDescent="0.25">
      <c r="A82" s="116" t="s">
        <v>531</v>
      </c>
      <c r="B82" s="35" t="s">
        <v>350</v>
      </c>
      <c r="C82" s="101">
        <v>64456</v>
      </c>
      <c r="D82" s="102" t="s">
        <v>511</v>
      </c>
      <c r="E82" s="103" t="s">
        <v>46</v>
      </c>
      <c r="F82" s="103" t="s">
        <v>401</v>
      </c>
      <c r="G82" s="103" t="s">
        <v>417</v>
      </c>
      <c r="H82" s="103" t="s">
        <v>414</v>
      </c>
      <c r="I82" s="104">
        <v>45581</v>
      </c>
      <c r="J82" s="103"/>
      <c r="K82" s="105">
        <v>52666.42</v>
      </c>
      <c r="M82" s="123" t="s">
        <v>942</v>
      </c>
      <c r="N82" s="134">
        <f>SUM(N65:N80)</f>
        <v>37</v>
      </c>
      <c r="P82" s="190"/>
      <c r="Q82" s="103" t="s">
        <v>896</v>
      </c>
      <c r="R82" s="121">
        <f t="shared" si="25"/>
        <v>0</v>
      </c>
      <c r="S82" s="121">
        <f t="shared" si="25"/>
        <v>0</v>
      </c>
      <c r="T82" s="121">
        <f t="shared" si="25"/>
        <v>0</v>
      </c>
      <c r="U82" s="121">
        <f t="shared" si="25"/>
        <v>0</v>
      </c>
      <c r="V82" s="121">
        <f t="shared" si="25"/>
        <v>0</v>
      </c>
      <c r="W82" s="121">
        <f t="shared" si="25"/>
        <v>0</v>
      </c>
      <c r="X82" s="121">
        <f t="shared" si="25"/>
        <v>0</v>
      </c>
      <c r="Y82" s="121">
        <f t="shared" si="25"/>
        <v>0</v>
      </c>
      <c r="Z82" s="121">
        <f t="shared" si="25"/>
        <v>0</v>
      </c>
      <c r="AA82" s="121">
        <f t="shared" si="25"/>
        <v>0</v>
      </c>
      <c r="AB82" s="121">
        <f t="shared" si="26"/>
        <v>0</v>
      </c>
      <c r="AC82" s="121">
        <f t="shared" si="26"/>
        <v>0</v>
      </c>
      <c r="AD82" s="121">
        <f t="shared" si="26"/>
        <v>0</v>
      </c>
      <c r="AE82" s="121">
        <f t="shared" si="26"/>
        <v>0</v>
      </c>
      <c r="AF82" s="121">
        <f t="shared" si="26"/>
        <v>0</v>
      </c>
      <c r="AG82" s="121">
        <f t="shared" si="26"/>
        <v>0</v>
      </c>
      <c r="AH82" s="121">
        <f t="shared" si="26"/>
        <v>0</v>
      </c>
      <c r="AK82"/>
    </row>
    <row r="83" spans="1:45" ht="15" customHeight="1" x14ac:dyDescent="0.25">
      <c r="A83" s="116" t="s">
        <v>531</v>
      </c>
      <c r="B83" s="35" t="s">
        <v>350</v>
      </c>
      <c r="C83" s="101">
        <v>61528</v>
      </c>
      <c r="D83" s="102" t="s">
        <v>512</v>
      </c>
      <c r="E83" s="103" t="s">
        <v>46</v>
      </c>
      <c r="F83" s="103" t="s">
        <v>412</v>
      </c>
      <c r="G83" s="103" t="s">
        <v>413</v>
      </c>
      <c r="H83" s="103" t="s">
        <v>414</v>
      </c>
      <c r="I83" s="104">
        <v>44635</v>
      </c>
      <c r="J83" s="104">
        <v>44651</v>
      </c>
      <c r="K83" s="105">
        <v>312374</v>
      </c>
      <c r="M83"/>
      <c r="P83" s="190"/>
      <c r="Q83" s="103" t="s">
        <v>917</v>
      </c>
      <c r="R83" s="121">
        <f t="shared" si="25"/>
        <v>0</v>
      </c>
      <c r="S83" s="121">
        <f t="shared" si="25"/>
        <v>47900</v>
      </c>
      <c r="T83" s="121">
        <f t="shared" si="25"/>
        <v>0</v>
      </c>
      <c r="U83" s="121">
        <f t="shared" si="25"/>
        <v>0</v>
      </c>
      <c r="V83" s="121">
        <f t="shared" si="25"/>
        <v>47900</v>
      </c>
      <c r="W83" s="121">
        <f t="shared" si="25"/>
        <v>0</v>
      </c>
      <c r="X83" s="121">
        <f t="shared" si="25"/>
        <v>0</v>
      </c>
      <c r="Y83" s="121">
        <f t="shared" si="25"/>
        <v>0</v>
      </c>
      <c r="Z83" s="121">
        <f t="shared" si="25"/>
        <v>0</v>
      </c>
      <c r="AA83" s="121">
        <f t="shared" si="25"/>
        <v>0</v>
      </c>
      <c r="AB83" s="121">
        <f t="shared" si="26"/>
        <v>0</v>
      </c>
      <c r="AC83" s="121">
        <f t="shared" si="26"/>
        <v>0</v>
      </c>
      <c r="AD83" s="121">
        <f t="shared" si="26"/>
        <v>0</v>
      </c>
      <c r="AE83" s="121">
        <f t="shared" si="26"/>
        <v>0</v>
      </c>
      <c r="AF83" s="121">
        <f t="shared" si="26"/>
        <v>0</v>
      </c>
      <c r="AG83" s="121">
        <f t="shared" si="26"/>
        <v>0</v>
      </c>
      <c r="AH83" s="121">
        <f t="shared" si="26"/>
        <v>0</v>
      </c>
      <c r="AK83"/>
    </row>
    <row r="84" spans="1:45" ht="15" customHeight="1" x14ac:dyDescent="0.25">
      <c r="A84" s="116" t="s">
        <v>531</v>
      </c>
      <c r="B84" s="35" t="s">
        <v>350</v>
      </c>
      <c r="C84" s="101">
        <v>62400</v>
      </c>
      <c r="D84" s="102" t="s">
        <v>513</v>
      </c>
      <c r="E84" s="103" t="s">
        <v>46</v>
      </c>
      <c r="F84" s="103" t="s">
        <v>397</v>
      </c>
      <c r="G84" s="103" t="s">
        <v>413</v>
      </c>
      <c r="H84" s="103" t="s">
        <v>414</v>
      </c>
      <c r="I84" s="104">
        <v>45247</v>
      </c>
      <c r="J84" s="103"/>
      <c r="K84" s="105">
        <v>196795.76</v>
      </c>
      <c r="P84" s="95"/>
      <c r="Q84" s="95"/>
      <c r="R84" s="95"/>
      <c r="S84" s="95"/>
      <c r="T84" s="95"/>
      <c r="U84" s="95"/>
      <c r="V84" s="95"/>
      <c r="W84" s="95"/>
      <c r="X84" s="95"/>
      <c r="Y84" s="95"/>
      <c r="Z84" s="95"/>
      <c r="AA84" s="95"/>
      <c r="AB84" s="95"/>
      <c r="AC84" s="95"/>
      <c r="AG84"/>
      <c r="AK84"/>
    </row>
    <row r="85" spans="1:45" ht="15" customHeight="1" x14ac:dyDescent="0.25">
      <c r="A85" s="116" t="s">
        <v>531</v>
      </c>
      <c r="B85" s="35" t="s">
        <v>350</v>
      </c>
      <c r="C85" s="101">
        <v>62876</v>
      </c>
      <c r="D85" s="102" t="s">
        <v>514</v>
      </c>
      <c r="E85" s="103" t="s">
        <v>510</v>
      </c>
      <c r="F85" s="103" t="s">
        <v>412</v>
      </c>
      <c r="G85" s="103" t="s">
        <v>417</v>
      </c>
      <c r="H85" s="103" t="s">
        <v>414</v>
      </c>
      <c r="I85" s="104">
        <v>44985</v>
      </c>
      <c r="J85" s="104">
        <v>44980</v>
      </c>
      <c r="K85" s="105">
        <v>739502.12</v>
      </c>
      <c r="L85" s="94"/>
      <c r="M85"/>
      <c r="N85" s="95"/>
      <c r="P85" s="95"/>
      <c r="Q85" s="95"/>
      <c r="R85" s="95"/>
      <c r="S85" s="95"/>
      <c r="T85" s="95"/>
      <c r="U85" s="95"/>
      <c r="V85" s="95"/>
      <c r="W85" s="95"/>
      <c r="X85" s="95"/>
      <c r="Y85" s="95"/>
      <c r="Z85" s="95"/>
      <c r="AA85" s="95"/>
      <c r="AB85" s="95"/>
      <c r="AC85" s="95"/>
      <c r="AF85" s="95"/>
      <c r="AG85" s="95"/>
      <c r="AH85" s="95"/>
      <c r="AI85" s="95"/>
      <c r="AJ85" s="95"/>
      <c r="AK85" s="95"/>
      <c r="AL85" s="95"/>
      <c r="AM85" s="95"/>
      <c r="AN85" s="95"/>
      <c r="AO85" s="95"/>
      <c r="AP85" s="95"/>
      <c r="AQ85" s="95"/>
      <c r="AR85" s="95"/>
      <c r="AS85" s="95"/>
    </row>
    <row r="86" spans="1:45" ht="15" customHeight="1" x14ac:dyDescent="0.25">
      <c r="A86" s="116" t="s">
        <v>531</v>
      </c>
      <c r="B86" s="35" t="s">
        <v>350</v>
      </c>
      <c r="C86" s="101">
        <v>64396</v>
      </c>
      <c r="D86" s="102" t="s">
        <v>515</v>
      </c>
      <c r="E86" s="103" t="s">
        <v>46</v>
      </c>
      <c r="F86" s="103" t="s">
        <v>412</v>
      </c>
      <c r="G86" s="103" t="s">
        <v>417</v>
      </c>
      <c r="H86" s="103" t="s">
        <v>414</v>
      </c>
      <c r="I86" s="104">
        <v>45092</v>
      </c>
      <c r="J86" s="104">
        <v>45097</v>
      </c>
      <c r="K86" s="105">
        <v>61598.15</v>
      </c>
      <c r="L86" s="95"/>
      <c r="M86"/>
      <c r="N86" s="95"/>
      <c r="P86" s="95"/>
      <c r="Q86" s="95"/>
      <c r="R86" s="95"/>
      <c r="S86" s="95"/>
      <c r="T86" s="95"/>
      <c r="U86" s="95"/>
      <c r="V86" s="95"/>
      <c r="W86" s="95"/>
      <c r="X86" s="95"/>
      <c r="Y86" s="95"/>
      <c r="Z86" s="95"/>
      <c r="AA86" s="95"/>
      <c r="AB86" s="95"/>
      <c r="AC86" s="95"/>
      <c r="AF86" s="95"/>
      <c r="AG86" s="95"/>
      <c r="AH86" s="95"/>
      <c r="AI86" s="95"/>
      <c r="AJ86" s="95"/>
      <c r="AK86" s="95"/>
      <c r="AL86" s="95"/>
      <c r="AM86" s="95"/>
      <c r="AN86" s="95"/>
      <c r="AO86" s="95"/>
      <c r="AP86" s="95"/>
      <c r="AQ86" s="95"/>
      <c r="AR86" s="95"/>
      <c r="AS86" s="95"/>
    </row>
    <row r="87" spans="1:45" ht="15" customHeight="1" x14ac:dyDescent="0.25">
      <c r="A87" s="116" t="s">
        <v>531</v>
      </c>
      <c r="B87" s="35" t="s">
        <v>350</v>
      </c>
      <c r="C87" s="101">
        <v>51550</v>
      </c>
      <c r="D87" s="102" t="s">
        <v>516</v>
      </c>
      <c r="E87" s="103" t="s">
        <v>46</v>
      </c>
      <c r="F87" s="103" t="s">
        <v>412</v>
      </c>
      <c r="G87" s="103" t="s">
        <v>413</v>
      </c>
      <c r="H87" s="103" t="s">
        <v>414</v>
      </c>
      <c r="I87" s="104">
        <v>43112</v>
      </c>
      <c r="J87" s="104">
        <v>43112</v>
      </c>
      <c r="K87" s="105">
        <v>53609.87</v>
      </c>
      <c r="L87" s="95"/>
      <c r="M87"/>
      <c r="N87" s="95"/>
      <c r="P87" s="95"/>
      <c r="Q87" s="100" t="s">
        <v>949</v>
      </c>
      <c r="R87" s="135" t="s">
        <v>412</v>
      </c>
      <c r="S87" s="133" t="s">
        <v>1284</v>
      </c>
      <c r="T87" s="95"/>
      <c r="U87" s="95"/>
      <c r="V87" s="95"/>
      <c r="W87" s="95"/>
      <c r="X87" s="95"/>
      <c r="Y87" s="95"/>
      <c r="Z87" s="95"/>
      <c r="AA87" s="95"/>
      <c r="AB87" s="95"/>
      <c r="AC87" s="95"/>
      <c r="AF87" s="95"/>
      <c r="AG87" s="100" t="s">
        <v>949</v>
      </c>
      <c r="AH87" s="135" t="s">
        <v>412</v>
      </c>
      <c r="AI87" s="133" t="s">
        <v>1284</v>
      </c>
      <c r="AJ87" s="95"/>
      <c r="AK87" s="95"/>
      <c r="AL87" s="95"/>
      <c r="AM87" s="95"/>
      <c r="AN87" s="95"/>
      <c r="AO87" s="95"/>
      <c r="AP87" s="95"/>
      <c r="AQ87" s="95"/>
      <c r="AR87" s="95"/>
      <c r="AS87" s="95"/>
    </row>
    <row r="88" spans="1:45" ht="15" customHeight="1" x14ac:dyDescent="0.25">
      <c r="A88" s="116" t="s">
        <v>531</v>
      </c>
      <c r="B88" s="35" t="s">
        <v>350</v>
      </c>
      <c r="C88" s="101">
        <v>51549</v>
      </c>
      <c r="D88" s="102" t="s">
        <v>517</v>
      </c>
      <c r="E88" s="103" t="s">
        <v>46</v>
      </c>
      <c r="F88" s="103" t="s">
        <v>412</v>
      </c>
      <c r="G88" s="103" t="s">
        <v>413</v>
      </c>
      <c r="H88" s="103" t="s">
        <v>414</v>
      </c>
      <c r="I88" s="104">
        <v>42746</v>
      </c>
      <c r="J88" s="104">
        <v>42746</v>
      </c>
      <c r="K88" s="105">
        <v>107008.32000000001</v>
      </c>
      <c r="L88" s="95"/>
      <c r="M88"/>
      <c r="N88" s="95"/>
      <c r="P88" s="95"/>
      <c r="Q88" s="112" t="s">
        <v>549</v>
      </c>
      <c r="R88" s="121">
        <f t="shared" ref="R88:R104" si="27">SUMIFS($K:$K,$F:$F,R$2,$B:$B,$Q88)</f>
        <v>27718681.400000013</v>
      </c>
      <c r="S88" s="136">
        <f t="shared" ref="S88:S104" si="28">R88/$R$106</f>
        <v>0.25770171805710845</v>
      </c>
      <c r="T88" s="95"/>
      <c r="U88" s="95"/>
      <c r="V88" s="95"/>
      <c r="W88" s="95"/>
      <c r="X88" s="95"/>
      <c r="Y88" s="95"/>
      <c r="Z88" s="95"/>
      <c r="AA88" s="95"/>
      <c r="AB88" s="95"/>
      <c r="AC88" s="95"/>
      <c r="AF88" s="95"/>
      <c r="AG88" s="112" t="s">
        <v>2533</v>
      </c>
      <c r="AH88" s="121">
        <v>27718681.400000013</v>
      </c>
      <c r="AI88" s="133">
        <v>0.2670919052243737</v>
      </c>
      <c r="AJ88" s="95"/>
      <c r="AK88" s="95"/>
      <c r="AL88" s="95"/>
      <c r="AM88" s="95"/>
      <c r="AN88" s="95"/>
      <c r="AO88" s="95"/>
      <c r="AP88" s="95"/>
      <c r="AQ88" s="95"/>
      <c r="AR88" s="95"/>
      <c r="AS88" s="95"/>
    </row>
    <row r="89" spans="1:45" ht="15" customHeight="1" x14ac:dyDescent="0.25">
      <c r="A89" s="116" t="s">
        <v>531</v>
      </c>
      <c r="B89" s="35" t="s">
        <v>350</v>
      </c>
      <c r="C89" s="101">
        <v>61309</v>
      </c>
      <c r="D89" s="102" t="s">
        <v>518</v>
      </c>
      <c r="E89" s="103" t="s">
        <v>46</v>
      </c>
      <c r="F89" s="103" t="s">
        <v>397</v>
      </c>
      <c r="G89" s="103" t="s">
        <v>417</v>
      </c>
      <c r="H89" s="103" t="s">
        <v>414</v>
      </c>
      <c r="I89" s="103"/>
      <c r="J89" s="103"/>
      <c r="K89" s="105">
        <v>267302.64</v>
      </c>
      <c r="L89" s="95"/>
      <c r="M89"/>
      <c r="N89" s="95"/>
      <c r="P89" s="95"/>
      <c r="Q89" s="112" t="s">
        <v>688</v>
      </c>
      <c r="R89" s="121">
        <f t="shared" si="27"/>
        <v>26915883.140000001</v>
      </c>
      <c r="S89" s="136">
        <f t="shared" si="28"/>
        <v>0.25023806970133711</v>
      </c>
      <c r="T89" s="95"/>
      <c r="U89" s="95"/>
      <c r="V89" s="95"/>
      <c r="W89" s="95"/>
      <c r="X89" s="95"/>
      <c r="Y89" s="95"/>
      <c r="Z89" s="95"/>
      <c r="AA89" s="95"/>
      <c r="AB89" s="95"/>
      <c r="AC89" s="95"/>
      <c r="AF89" s="95"/>
      <c r="AG89" s="112" t="s">
        <v>2534</v>
      </c>
      <c r="AH89" s="121">
        <v>26915883.140000001</v>
      </c>
      <c r="AI89" s="133">
        <v>0.25935629494479467</v>
      </c>
      <c r="AJ89" s="95"/>
      <c r="AK89" s="95"/>
      <c r="AL89" s="95"/>
      <c r="AM89" s="95"/>
      <c r="AN89" s="95"/>
      <c r="AO89" s="95"/>
      <c r="AP89" s="95"/>
      <c r="AQ89" s="95"/>
      <c r="AR89" s="95"/>
      <c r="AS89" s="95"/>
    </row>
    <row r="90" spans="1:45" ht="15" customHeight="1" x14ac:dyDescent="0.25">
      <c r="A90" s="116" t="s">
        <v>531</v>
      </c>
      <c r="B90" s="35" t="s">
        <v>350</v>
      </c>
      <c r="C90" s="101">
        <v>60367</v>
      </c>
      <c r="D90" s="102" t="s">
        <v>519</v>
      </c>
      <c r="E90" s="103" t="s">
        <v>46</v>
      </c>
      <c r="F90" s="103" t="s">
        <v>412</v>
      </c>
      <c r="G90" s="103" t="s">
        <v>422</v>
      </c>
      <c r="H90" s="103" t="s">
        <v>423</v>
      </c>
      <c r="I90" s="104">
        <v>44499</v>
      </c>
      <c r="J90" s="104">
        <v>44494</v>
      </c>
      <c r="K90" s="105">
        <v>351696.32</v>
      </c>
      <c r="L90" s="95"/>
      <c r="M90"/>
      <c r="N90" s="95"/>
      <c r="P90" s="95"/>
      <c r="Q90" s="112" t="s">
        <v>252</v>
      </c>
      <c r="R90" s="121">
        <f t="shared" si="27"/>
        <v>14440000.170000002</v>
      </c>
      <c r="S90" s="136">
        <f t="shared" si="28"/>
        <v>0.13424927394107344</v>
      </c>
      <c r="T90" s="95"/>
      <c r="U90" s="95"/>
      <c r="V90" s="95"/>
      <c r="W90" s="95"/>
      <c r="X90" s="95"/>
      <c r="Y90" s="95"/>
      <c r="Z90" s="95"/>
      <c r="AA90" s="95"/>
      <c r="AB90" s="95"/>
      <c r="AC90" s="95"/>
      <c r="AF90" s="95"/>
      <c r="AG90" s="112" t="s">
        <v>2532</v>
      </c>
      <c r="AH90" s="121">
        <v>14440000.170000002</v>
      </c>
      <c r="AI90" s="133">
        <v>0.13914107605586096</v>
      </c>
      <c r="AJ90" s="95"/>
      <c r="AK90" s="95"/>
      <c r="AL90" s="95"/>
      <c r="AM90" s="95"/>
      <c r="AN90" s="95"/>
      <c r="AO90" s="95"/>
      <c r="AP90" s="95"/>
      <c r="AQ90" s="95"/>
      <c r="AR90" s="95"/>
      <c r="AS90" s="95"/>
    </row>
    <row r="91" spans="1:45" ht="15" customHeight="1" x14ac:dyDescent="0.25">
      <c r="A91" s="116" t="s">
        <v>531</v>
      </c>
      <c r="B91" s="35" t="s">
        <v>350</v>
      </c>
      <c r="C91" s="101">
        <v>59031</v>
      </c>
      <c r="D91" s="102" t="s">
        <v>520</v>
      </c>
      <c r="E91" s="103" t="s">
        <v>46</v>
      </c>
      <c r="F91" s="103" t="s">
        <v>397</v>
      </c>
      <c r="G91" s="103" t="s">
        <v>447</v>
      </c>
      <c r="H91" s="103" t="s">
        <v>423</v>
      </c>
      <c r="I91" s="104">
        <v>44225</v>
      </c>
      <c r="J91" s="103"/>
      <c r="K91" s="105">
        <v>80748</v>
      </c>
      <c r="L91" s="95"/>
      <c r="M91"/>
      <c r="N91" s="95"/>
      <c r="P91" s="95"/>
      <c r="Q91" s="112" t="s">
        <v>1543</v>
      </c>
      <c r="R91" s="121">
        <f t="shared" si="27"/>
        <v>9974958.4400000013</v>
      </c>
      <c r="S91" s="133">
        <f t="shared" si="28"/>
        <v>9.2737597811425959E-2</v>
      </c>
      <c r="T91" s="95"/>
      <c r="U91" s="95"/>
      <c r="V91" s="95"/>
      <c r="W91" s="95"/>
      <c r="X91" s="95"/>
      <c r="Y91" s="95"/>
      <c r="Z91" s="95"/>
      <c r="AA91" s="95"/>
      <c r="AB91" s="95"/>
      <c r="AC91" s="95"/>
      <c r="AF91" s="95"/>
      <c r="AG91" s="112" t="s">
        <v>2524</v>
      </c>
      <c r="AH91" s="121">
        <v>9974958.4400000013</v>
      </c>
      <c r="AI91" s="133">
        <v>9.6116789100709005E-2</v>
      </c>
      <c r="AJ91" s="95"/>
      <c r="AK91" s="95"/>
      <c r="AL91" s="95"/>
      <c r="AM91" s="95"/>
      <c r="AN91" s="95"/>
      <c r="AO91" s="95"/>
      <c r="AP91" s="95"/>
      <c r="AQ91" s="95"/>
      <c r="AR91" s="95"/>
      <c r="AS91" s="95"/>
    </row>
    <row r="92" spans="1:45" ht="15" customHeight="1" x14ac:dyDescent="0.25">
      <c r="A92" s="116" t="s">
        <v>531</v>
      </c>
      <c r="B92" s="35" t="s">
        <v>350</v>
      </c>
      <c r="C92" s="101">
        <v>52702</v>
      </c>
      <c r="D92" s="102" t="s">
        <v>521</v>
      </c>
      <c r="E92" s="103" t="s">
        <v>46</v>
      </c>
      <c r="F92" s="103" t="s">
        <v>412</v>
      </c>
      <c r="G92" s="103" t="s">
        <v>425</v>
      </c>
      <c r="H92" s="103" t="s">
        <v>423</v>
      </c>
      <c r="I92" s="104">
        <v>43462</v>
      </c>
      <c r="J92" s="104">
        <v>43462</v>
      </c>
      <c r="K92" s="105">
        <v>590270.68000000005</v>
      </c>
      <c r="L92" s="95"/>
      <c r="M92"/>
      <c r="N92" s="95"/>
      <c r="P92" s="95"/>
      <c r="Q92" s="112" t="s">
        <v>1139</v>
      </c>
      <c r="R92" s="121">
        <f t="shared" si="27"/>
        <v>9607824.4400000013</v>
      </c>
      <c r="S92" s="136">
        <f t="shared" si="28"/>
        <v>8.9324337952781371E-2</v>
      </c>
      <c r="T92" s="95"/>
      <c r="U92" s="95"/>
      <c r="V92" s="95"/>
      <c r="W92" s="95"/>
      <c r="X92" s="95"/>
      <c r="Y92" s="95"/>
      <c r="Z92" s="95"/>
      <c r="AA92" s="95"/>
      <c r="AB92" s="95"/>
      <c r="AC92" s="95"/>
      <c r="AF92" s="95"/>
      <c r="AG92" s="112" t="s">
        <v>2535</v>
      </c>
      <c r="AH92" s="121">
        <v>9607824.4400000013</v>
      </c>
      <c r="AI92" s="133">
        <v>9.257915619106255E-2</v>
      </c>
      <c r="AJ92" s="95"/>
      <c r="AK92" s="95"/>
      <c r="AL92" s="95"/>
      <c r="AM92" s="95"/>
      <c r="AN92" s="95"/>
      <c r="AO92" s="95"/>
      <c r="AP92" s="95"/>
      <c r="AQ92" s="95"/>
      <c r="AR92" s="95"/>
      <c r="AS92" s="95"/>
    </row>
    <row r="93" spans="1:45" ht="15" customHeight="1" x14ac:dyDescent="0.25">
      <c r="A93" s="116" t="s">
        <v>531</v>
      </c>
      <c r="B93" s="35" t="s">
        <v>350</v>
      </c>
      <c r="C93" s="101">
        <v>52700</v>
      </c>
      <c r="D93" s="102" t="s">
        <v>522</v>
      </c>
      <c r="E93" s="103" t="s">
        <v>46</v>
      </c>
      <c r="F93" s="103" t="s">
        <v>397</v>
      </c>
      <c r="G93" s="103" t="s">
        <v>425</v>
      </c>
      <c r="H93" s="103" t="s">
        <v>423</v>
      </c>
      <c r="I93" s="103"/>
      <c r="J93" s="104">
        <v>43626</v>
      </c>
      <c r="K93" s="105">
        <v>0</v>
      </c>
      <c r="L93" s="95"/>
      <c r="M93"/>
      <c r="N93" s="95"/>
      <c r="P93" s="95"/>
      <c r="Q93" s="112" t="s">
        <v>1138</v>
      </c>
      <c r="R93" s="121">
        <f t="shared" si="27"/>
        <v>3979871.6199999996</v>
      </c>
      <c r="S93" s="133">
        <f t="shared" si="28"/>
        <v>3.7001029714231894E-2</v>
      </c>
      <c r="T93" s="95"/>
      <c r="U93" s="95"/>
      <c r="V93" s="95"/>
      <c r="W93" s="95"/>
      <c r="X93" s="95"/>
      <c r="Y93" s="95"/>
      <c r="Z93" s="95"/>
      <c r="AA93" s="95"/>
      <c r="AB93" s="95"/>
      <c r="AC93" s="95"/>
      <c r="AF93" s="95"/>
      <c r="AG93" s="112" t="s">
        <v>2523</v>
      </c>
      <c r="AH93" s="121">
        <v>3979871.6199999996</v>
      </c>
      <c r="AI93" s="133">
        <v>3.8349280696094508E-2</v>
      </c>
      <c r="AJ93" s="95"/>
      <c r="AK93" s="95"/>
      <c r="AL93" s="95"/>
      <c r="AM93" s="95"/>
      <c r="AN93" s="95"/>
      <c r="AO93" s="95"/>
      <c r="AP93" s="95"/>
      <c r="AQ93" s="95"/>
      <c r="AR93" s="95"/>
      <c r="AS93" s="95"/>
    </row>
    <row r="94" spans="1:45" ht="15" customHeight="1" x14ac:dyDescent="0.25">
      <c r="A94" s="116" t="s">
        <v>531</v>
      </c>
      <c r="B94" s="35" t="s">
        <v>350</v>
      </c>
      <c r="C94" s="101">
        <v>52279</v>
      </c>
      <c r="D94" s="102" t="s">
        <v>523</v>
      </c>
      <c r="E94" s="103" t="s">
        <v>46</v>
      </c>
      <c r="F94" s="103" t="s">
        <v>412</v>
      </c>
      <c r="G94" s="103" t="s">
        <v>427</v>
      </c>
      <c r="H94" s="103" t="s">
        <v>423</v>
      </c>
      <c r="I94" s="104">
        <v>43111</v>
      </c>
      <c r="J94" s="104">
        <v>43111</v>
      </c>
      <c r="K94" s="105">
        <v>30663.25</v>
      </c>
      <c r="L94" s="95"/>
      <c r="M94"/>
      <c r="N94" s="95"/>
      <c r="P94" s="95"/>
      <c r="Q94" s="112" t="s">
        <v>350</v>
      </c>
      <c r="R94" s="121">
        <f t="shared" si="27"/>
        <v>3402430.7600000007</v>
      </c>
      <c r="S94" s="133">
        <f t="shared" si="28"/>
        <v>3.1632538350917117E-2</v>
      </c>
      <c r="T94" s="95"/>
      <c r="U94" s="95"/>
      <c r="V94" s="95"/>
      <c r="W94" s="95"/>
      <c r="X94" s="95"/>
      <c r="Y94" s="95"/>
      <c r="Z94" s="95"/>
      <c r="AA94" s="95"/>
      <c r="AB94" s="95"/>
      <c r="AC94" s="95"/>
      <c r="AF94" s="95"/>
      <c r="AG94" s="120" t="s">
        <v>2520</v>
      </c>
      <c r="AH94" s="121">
        <v>3402430.7600000007</v>
      </c>
      <c r="AI94" s="133">
        <v>3.2785171161944716E-2</v>
      </c>
      <c r="AJ94" s="95"/>
      <c r="AK94" s="95"/>
      <c r="AL94" s="95"/>
      <c r="AM94" s="95"/>
      <c r="AN94" s="95"/>
      <c r="AO94" s="95"/>
      <c r="AP94" s="95"/>
      <c r="AQ94" s="95"/>
      <c r="AR94" s="95"/>
      <c r="AS94" s="95"/>
    </row>
    <row r="95" spans="1:45" ht="15" customHeight="1" x14ac:dyDescent="0.25">
      <c r="A95" s="116" t="s">
        <v>531</v>
      </c>
      <c r="B95" s="35" t="s">
        <v>350</v>
      </c>
      <c r="C95" s="101">
        <v>54154</v>
      </c>
      <c r="D95" s="102" t="s">
        <v>524</v>
      </c>
      <c r="E95" s="103" t="s">
        <v>46</v>
      </c>
      <c r="F95" s="103" t="s">
        <v>412</v>
      </c>
      <c r="G95" s="103" t="s">
        <v>425</v>
      </c>
      <c r="H95" s="103" t="s">
        <v>423</v>
      </c>
      <c r="I95" s="104">
        <v>42094</v>
      </c>
      <c r="J95" s="104">
        <v>42094</v>
      </c>
      <c r="K95" s="105">
        <v>123007.03999999999</v>
      </c>
      <c r="L95" s="95"/>
      <c r="M95"/>
      <c r="N95" s="95"/>
      <c r="P95" s="95"/>
      <c r="Q95" s="112" t="s">
        <v>611</v>
      </c>
      <c r="R95" s="121">
        <f t="shared" si="27"/>
        <v>2542470.42</v>
      </c>
      <c r="S95" s="136">
        <f t="shared" si="28"/>
        <v>2.363745179247155E-2</v>
      </c>
      <c r="T95" s="95"/>
      <c r="U95" s="95"/>
      <c r="V95" s="95"/>
      <c r="W95" s="95"/>
      <c r="X95" s="95"/>
      <c r="Y95" s="95"/>
      <c r="Z95" s="95"/>
      <c r="AA95" s="95"/>
      <c r="AB95" s="95"/>
      <c r="AC95" s="95"/>
      <c r="AF95" s="95"/>
      <c r="AG95" s="112" t="s">
        <v>2521</v>
      </c>
      <c r="AH95" s="121">
        <v>2257089.1299999994</v>
      </c>
      <c r="AI95" s="133">
        <v>2.1748878573744985E-2</v>
      </c>
      <c r="AJ95" s="95"/>
      <c r="AK95" s="95"/>
      <c r="AL95" s="95"/>
      <c r="AM95" s="95"/>
      <c r="AN95" s="95"/>
      <c r="AO95" s="95"/>
      <c r="AP95" s="95"/>
      <c r="AQ95" s="95"/>
      <c r="AR95" s="95"/>
      <c r="AS95" s="95"/>
    </row>
    <row r="96" spans="1:45" ht="15" customHeight="1" x14ac:dyDescent="0.25">
      <c r="A96" s="116" t="s">
        <v>531</v>
      </c>
      <c r="B96" s="35" t="s">
        <v>350</v>
      </c>
      <c r="C96" s="101">
        <v>54097</v>
      </c>
      <c r="D96" s="102" t="s">
        <v>525</v>
      </c>
      <c r="E96" s="103" t="s">
        <v>46</v>
      </c>
      <c r="F96" s="103" t="s">
        <v>412</v>
      </c>
      <c r="G96" s="103" t="s">
        <v>427</v>
      </c>
      <c r="H96" s="103" t="s">
        <v>423</v>
      </c>
      <c r="I96" s="104">
        <v>42073</v>
      </c>
      <c r="J96" s="104">
        <v>42073</v>
      </c>
      <c r="K96" s="105">
        <v>53460.02</v>
      </c>
      <c r="L96" s="95"/>
      <c r="M96"/>
      <c r="N96" s="95"/>
      <c r="P96" s="95"/>
      <c r="Q96" s="112" t="s">
        <v>946</v>
      </c>
      <c r="R96" s="121">
        <f t="shared" si="27"/>
        <v>2257089.1299999994</v>
      </c>
      <c r="S96" s="133">
        <f t="shared" si="28"/>
        <v>2.0984250232373023E-2</v>
      </c>
      <c r="T96" s="95"/>
      <c r="U96" s="95"/>
      <c r="V96" s="95"/>
      <c r="W96" s="95"/>
      <c r="X96" s="95"/>
      <c r="Y96" s="95"/>
      <c r="Z96" s="95"/>
      <c r="AA96" s="95"/>
      <c r="AB96" s="95"/>
      <c r="AC96" s="95"/>
      <c r="AF96" s="95"/>
      <c r="AG96" s="112" t="s">
        <v>2531</v>
      </c>
      <c r="AH96" s="121">
        <v>1258392.42</v>
      </c>
      <c r="AI96" s="133">
        <v>1.2125628348890725E-2</v>
      </c>
      <c r="AJ96" s="95"/>
      <c r="AK96" s="95"/>
      <c r="AL96" s="95"/>
      <c r="AM96" s="95"/>
      <c r="AN96" s="95"/>
      <c r="AO96" s="95"/>
      <c r="AP96" s="95"/>
      <c r="AQ96" s="95"/>
      <c r="AR96" s="95"/>
      <c r="AS96" s="95"/>
    </row>
    <row r="97" spans="1:45" ht="15" customHeight="1" x14ac:dyDescent="0.25">
      <c r="A97" s="116" t="s">
        <v>531</v>
      </c>
      <c r="B97" s="35" t="s">
        <v>350</v>
      </c>
      <c r="C97" s="101">
        <v>60402</v>
      </c>
      <c r="D97" s="102" t="s">
        <v>526</v>
      </c>
      <c r="E97" s="103" t="s">
        <v>46</v>
      </c>
      <c r="F97" s="103" t="s">
        <v>412</v>
      </c>
      <c r="G97" s="103" t="s">
        <v>422</v>
      </c>
      <c r="H97" s="103" t="s">
        <v>423</v>
      </c>
      <c r="I97" s="104">
        <v>44377</v>
      </c>
      <c r="J97" s="104">
        <v>44330</v>
      </c>
      <c r="K97" s="105">
        <v>74266.080000000002</v>
      </c>
      <c r="L97" s="95"/>
      <c r="M97"/>
      <c r="N97" s="95"/>
      <c r="P97" s="95"/>
      <c r="Q97" s="112" t="s">
        <v>1840</v>
      </c>
      <c r="R97" s="121">
        <f t="shared" si="27"/>
        <v>1550698.8399999996</v>
      </c>
      <c r="S97" s="133">
        <f t="shared" si="28"/>
        <v>1.4416910728558857E-2</v>
      </c>
      <c r="T97" s="95"/>
      <c r="U97" s="95"/>
      <c r="V97" s="95"/>
      <c r="W97" s="95"/>
      <c r="X97" s="95"/>
      <c r="Y97" s="95"/>
      <c r="Z97" s="95"/>
      <c r="AA97" s="95"/>
      <c r="AB97" s="95"/>
      <c r="AC97" s="95"/>
      <c r="AF97" s="95"/>
      <c r="AG97" s="112" t="s">
        <v>2530</v>
      </c>
      <c r="AH97" s="121">
        <v>1252209.33</v>
      </c>
      <c r="AI97" s="133">
        <v>1.2066049277850436E-2</v>
      </c>
      <c r="AJ97" s="95"/>
      <c r="AK97" s="95"/>
      <c r="AL97" s="95"/>
      <c r="AM97" s="95"/>
      <c r="AN97" s="95"/>
      <c r="AO97" s="95"/>
      <c r="AP97" s="95"/>
      <c r="AQ97" s="95"/>
      <c r="AR97" s="95"/>
      <c r="AS97" s="95"/>
    </row>
    <row r="98" spans="1:45" ht="15" customHeight="1" x14ac:dyDescent="0.25">
      <c r="A98" s="116" t="s">
        <v>531</v>
      </c>
      <c r="B98" s="35" t="s">
        <v>350</v>
      </c>
      <c r="C98" s="101">
        <v>56458</v>
      </c>
      <c r="D98" s="102" t="s">
        <v>527</v>
      </c>
      <c r="E98" s="103" t="s">
        <v>46</v>
      </c>
      <c r="F98" s="103" t="s">
        <v>412</v>
      </c>
      <c r="G98" s="103" t="s">
        <v>425</v>
      </c>
      <c r="H98" s="103" t="s">
        <v>528</v>
      </c>
      <c r="I98" s="104">
        <v>42307</v>
      </c>
      <c r="J98" s="104">
        <v>42307</v>
      </c>
      <c r="K98" s="105">
        <v>65400.08</v>
      </c>
      <c r="L98" s="94"/>
      <c r="M98"/>
      <c r="N98" s="95"/>
      <c r="P98" s="95"/>
      <c r="Q98" s="112" t="s">
        <v>1840</v>
      </c>
      <c r="R98" s="121">
        <f t="shared" si="27"/>
        <v>1550698.8399999996</v>
      </c>
      <c r="S98" s="133">
        <f t="shared" si="28"/>
        <v>1.4416910728558857E-2</v>
      </c>
      <c r="T98" s="95"/>
      <c r="U98" s="95"/>
      <c r="V98" s="95"/>
      <c r="W98" s="95"/>
      <c r="X98" s="95"/>
      <c r="Y98" s="95"/>
      <c r="Z98" s="95"/>
      <c r="AA98" s="95"/>
      <c r="AB98" s="95"/>
      <c r="AC98" s="95"/>
      <c r="AF98" s="95"/>
      <c r="AG98" s="112" t="s">
        <v>2528</v>
      </c>
      <c r="AH98" s="121">
        <v>859831.29</v>
      </c>
      <c r="AI98" s="133">
        <v>8.2851696335609556E-3</v>
      </c>
      <c r="AJ98" s="95"/>
      <c r="AK98" s="95"/>
      <c r="AL98" s="95"/>
      <c r="AM98" s="95"/>
      <c r="AN98" s="95"/>
      <c r="AO98" s="95"/>
      <c r="AP98" s="95"/>
      <c r="AQ98" s="95"/>
      <c r="AR98" s="95"/>
      <c r="AS98" s="95"/>
    </row>
    <row r="99" spans="1:45" ht="15" customHeight="1" x14ac:dyDescent="0.25">
      <c r="A99" s="116" t="s">
        <v>531</v>
      </c>
      <c r="B99" s="35" t="s">
        <v>350</v>
      </c>
      <c r="C99" s="101">
        <v>59060</v>
      </c>
      <c r="D99" s="102" t="s">
        <v>529</v>
      </c>
      <c r="E99" s="103" t="s">
        <v>510</v>
      </c>
      <c r="F99" s="103" t="s">
        <v>397</v>
      </c>
      <c r="G99" s="103" t="s">
        <v>954</v>
      </c>
      <c r="H99" s="103" t="s">
        <v>437</v>
      </c>
      <c r="I99" s="104">
        <v>44134</v>
      </c>
      <c r="J99" s="103"/>
      <c r="K99" s="105">
        <v>750000</v>
      </c>
      <c r="L99" s="95"/>
      <c r="M99"/>
      <c r="N99" s="95"/>
      <c r="P99" s="95"/>
      <c r="Q99" s="112" t="s">
        <v>945</v>
      </c>
      <c r="R99" s="121">
        <f t="shared" si="27"/>
        <v>1252209.33</v>
      </c>
      <c r="S99" s="133">
        <f t="shared" si="28"/>
        <v>1.164184150939231E-2</v>
      </c>
      <c r="T99" s="95"/>
      <c r="U99" s="95"/>
      <c r="V99" s="95"/>
      <c r="W99" s="95"/>
      <c r="X99" s="95"/>
      <c r="Y99" s="95"/>
      <c r="Z99" s="95"/>
      <c r="AA99" s="95"/>
      <c r="AB99" s="95"/>
      <c r="AC99" s="95"/>
      <c r="AF99" s="95"/>
      <c r="AG99" s="112" t="s">
        <v>2522</v>
      </c>
      <c r="AH99" s="121">
        <v>791850</v>
      </c>
      <c r="AI99" s="133">
        <v>7.6301149430549825E-3</v>
      </c>
      <c r="AJ99" s="95"/>
      <c r="AK99" s="95"/>
      <c r="AL99" s="95"/>
      <c r="AM99" s="95"/>
      <c r="AN99" s="95"/>
      <c r="AO99" s="95"/>
      <c r="AP99" s="95"/>
      <c r="AQ99" s="95"/>
      <c r="AR99" s="95"/>
      <c r="AS99" s="95"/>
    </row>
    <row r="100" spans="1:45" ht="15" customHeight="1" x14ac:dyDescent="0.25">
      <c r="A100" s="116" t="s">
        <v>531</v>
      </c>
      <c r="B100" s="35" t="s">
        <v>350</v>
      </c>
      <c r="C100" s="101">
        <v>62956</v>
      </c>
      <c r="D100" s="102" t="s">
        <v>530</v>
      </c>
      <c r="E100" s="103" t="s">
        <v>67</v>
      </c>
      <c r="F100" s="103" t="s">
        <v>397</v>
      </c>
      <c r="G100" s="103" t="s">
        <v>422</v>
      </c>
      <c r="H100" s="103" t="s">
        <v>437</v>
      </c>
      <c r="I100" s="104">
        <v>44895</v>
      </c>
      <c r="J100" s="103"/>
      <c r="K100" s="105">
        <v>490625.89</v>
      </c>
      <c r="L100" s="95"/>
      <c r="M100"/>
      <c r="N100" s="95"/>
      <c r="P100" s="95"/>
      <c r="Q100" s="112" t="s">
        <v>943</v>
      </c>
      <c r="R100" s="121">
        <f t="shared" si="27"/>
        <v>859831.29</v>
      </c>
      <c r="S100" s="133">
        <f t="shared" si="28"/>
        <v>7.9938867753016479E-3</v>
      </c>
      <c r="T100" s="95"/>
      <c r="U100" s="95"/>
      <c r="V100" s="95"/>
      <c r="W100" s="95"/>
      <c r="X100" s="95"/>
      <c r="Y100" s="95"/>
      <c r="Z100" s="95"/>
      <c r="AA100" s="95"/>
      <c r="AB100" s="95"/>
      <c r="AC100" s="95"/>
      <c r="AF100" s="95"/>
      <c r="AG100" s="112" t="s">
        <v>2525</v>
      </c>
      <c r="AH100" s="121">
        <v>603935.01</v>
      </c>
      <c r="AI100" s="136">
        <v>5.8194020893288633E-3</v>
      </c>
      <c r="AJ100" s="95"/>
      <c r="AK100" s="95"/>
      <c r="AL100" s="95"/>
      <c r="AM100" s="95"/>
      <c r="AN100" s="95"/>
      <c r="AO100" s="95"/>
      <c r="AP100" s="95"/>
      <c r="AQ100" s="95"/>
      <c r="AR100" s="95"/>
      <c r="AS100" s="95"/>
    </row>
    <row r="101" spans="1:45" ht="15" customHeight="1" x14ac:dyDescent="0.25">
      <c r="A101" s="116" t="s">
        <v>531</v>
      </c>
      <c r="B101" s="35" t="s">
        <v>350</v>
      </c>
      <c r="C101" s="101">
        <v>57057</v>
      </c>
      <c r="D101" s="102" t="s">
        <v>532</v>
      </c>
      <c r="E101" s="103" t="s">
        <v>484</v>
      </c>
      <c r="F101" s="103" t="s">
        <v>397</v>
      </c>
      <c r="G101" s="103" t="s">
        <v>427</v>
      </c>
      <c r="H101" s="103" t="s">
        <v>437</v>
      </c>
      <c r="I101" s="103"/>
      <c r="J101" s="103"/>
      <c r="K101" s="105">
        <v>0</v>
      </c>
      <c r="L101" s="95"/>
      <c r="M101"/>
      <c r="N101" s="95"/>
      <c r="P101" s="95"/>
      <c r="Q101" s="112" t="s">
        <v>947</v>
      </c>
      <c r="R101" s="121">
        <f t="shared" si="27"/>
        <v>791850</v>
      </c>
      <c r="S101" s="133">
        <f t="shared" si="28"/>
        <v>7.3618619334295332E-3</v>
      </c>
      <c r="T101" s="95"/>
      <c r="U101" s="95"/>
      <c r="V101" s="95"/>
      <c r="W101" s="95"/>
      <c r="X101" s="95"/>
      <c r="Y101" s="95"/>
      <c r="Z101" s="95"/>
      <c r="AA101" s="95"/>
      <c r="AB101" s="95"/>
      <c r="AC101" s="95"/>
      <c r="AF101" s="95"/>
      <c r="AG101" s="112" t="s">
        <v>2526</v>
      </c>
      <c r="AH101" s="121">
        <v>511423.87999999989</v>
      </c>
      <c r="AI101" s="136">
        <v>4.9279825585946289E-3</v>
      </c>
      <c r="AJ101" s="95"/>
      <c r="AK101" s="95"/>
      <c r="AL101" s="95"/>
      <c r="AM101" s="95"/>
      <c r="AN101" s="95"/>
      <c r="AO101" s="95"/>
      <c r="AP101" s="95"/>
      <c r="AQ101" s="95"/>
      <c r="AR101" s="95"/>
      <c r="AS101" s="95"/>
    </row>
    <row r="102" spans="1:45" ht="15" customHeight="1" x14ac:dyDescent="0.25">
      <c r="A102" s="116" t="s">
        <v>531</v>
      </c>
      <c r="B102" s="35" t="s">
        <v>350</v>
      </c>
      <c r="C102" s="101">
        <v>59396</v>
      </c>
      <c r="D102" s="102" t="s">
        <v>533</v>
      </c>
      <c r="E102" s="103" t="s">
        <v>67</v>
      </c>
      <c r="F102" s="103" t="s">
        <v>412</v>
      </c>
      <c r="G102" s="103" t="s">
        <v>427</v>
      </c>
      <c r="H102" s="103" t="s">
        <v>437</v>
      </c>
      <c r="I102" s="104">
        <v>44135</v>
      </c>
      <c r="J102" s="104">
        <v>44133</v>
      </c>
      <c r="K102" s="105">
        <v>164880</v>
      </c>
      <c r="L102" s="95"/>
      <c r="M102"/>
      <c r="N102" s="95"/>
      <c r="P102" s="95"/>
      <c r="Q102" s="112" t="s">
        <v>1917</v>
      </c>
      <c r="R102" s="121">
        <f t="shared" si="27"/>
        <v>511423.87999999989</v>
      </c>
      <c r="S102" s="136">
        <f t="shared" si="28"/>
        <v>4.7547287920929882E-3</v>
      </c>
      <c r="AC102" s="95"/>
      <c r="AF102" s="95"/>
      <c r="AG102" s="112" t="s">
        <v>2529</v>
      </c>
      <c r="AH102" s="121">
        <v>121285.55000000002</v>
      </c>
      <c r="AI102" s="136">
        <v>1.1686843309107057E-3</v>
      </c>
      <c r="AO102" s="96"/>
      <c r="AP102" s="96"/>
      <c r="AQ102" s="96"/>
      <c r="AR102" s="96"/>
      <c r="AS102" s="95"/>
    </row>
    <row r="103" spans="1:45" ht="15" customHeight="1" x14ac:dyDescent="0.25">
      <c r="A103" s="116" t="s">
        <v>531</v>
      </c>
      <c r="B103" s="35" t="s">
        <v>350</v>
      </c>
      <c r="C103" s="101">
        <v>52701</v>
      </c>
      <c r="D103" s="102" t="s">
        <v>534</v>
      </c>
      <c r="E103" s="103" t="s">
        <v>46</v>
      </c>
      <c r="F103" s="103" t="s">
        <v>397</v>
      </c>
      <c r="G103" s="103" t="s">
        <v>425</v>
      </c>
      <c r="H103" s="103" t="s">
        <v>437</v>
      </c>
      <c r="I103" s="103"/>
      <c r="J103" s="104">
        <v>43602</v>
      </c>
      <c r="K103" s="105">
        <v>0</v>
      </c>
      <c r="L103" s="95"/>
      <c r="M103"/>
      <c r="N103" s="95"/>
      <c r="P103" s="95"/>
      <c r="Q103" s="112" t="s">
        <v>944</v>
      </c>
      <c r="R103" s="121">
        <f t="shared" si="27"/>
        <v>121285.55000000002</v>
      </c>
      <c r="S103" s="136">
        <f t="shared" si="28"/>
        <v>1.1275967337501603E-3</v>
      </c>
      <c r="AC103" s="95"/>
      <c r="AF103" s="95"/>
      <c r="AG103" s="112" t="s">
        <v>2527</v>
      </c>
      <c r="AH103" s="121">
        <v>83897.15</v>
      </c>
      <c r="AI103" s="136">
        <v>8.0841686922362218E-4</v>
      </c>
      <c r="AO103" s="96"/>
      <c r="AP103" s="96"/>
      <c r="AQ103" s="96"/>
      <c r="AR103" s="96"/>
      <c r="AS103" s="95"/>
    </row>
    <row r="104" spans="1:45" ht="15" customHeight="1" x14ac:dyDescent="0.25">
      <c r="A104" s="116" t="s">
        <v>531</v>
      </c>
      <c r="B104" s="35" t="s">
        <v>350</v>
      </c>
      <c r="C104" s="101">
        <v>57704</v>
      </c>
      <c r="D104" s="102" t="s">
        <v>533</v>
      </c>
      <c r="E104" s="103" t="s">
        <v>46</v>
      </c>
      <c r="F104" s="103" t="s">
        <v>397</v>
      </c>
      <c r="G104" s="103" t="s">
        <v>427</v>
      </c>
      <c r="H104" s="103" t="s">
        <v>437</v>
      </c>
      <c r="I104" s="104">
        <v>43799</v>
      </c>
      <c r="J104" s="103"/>
      <c r="K104" s="105">
        <v>138221.4</v>
      </c>
      <c r="L104" s="95"/>
      <c r="M104"/>
      <c r="N104" s="95"/>
      <c r="P104" s="95"/>
      <c r="Q104" s="120" t="s">
        <v>404</v>
      </c>
      <c r="R104" s="121">
        <f t="shared" si="27"/>
        <v>83897.15</v>
      </c>
      <c r="S104" s="136">
        <f t="shared" si="28"/>
        <v>7.7999524519571574E-4</v>
      </c>
      <c r="AC104" s="95"/>
      <c r="AF104" s="95"/>
      <c r="AO104" s="96"/>
      <c r="AP104" s="96"/>
      <c r="AQ104" s="96"/>
      <c r="AR104" s="96"/>
      <c r="AS104" s="95"/>
    </row>
    <row r="105" spans="1:45" ht="15" customHeight="1" x14ac:dyDescent="0.25">
      <c r="A105" s="116" t="s">
        <v>531</v>
      </c>
      <c r="B105" s="35" t="s">
        <v>350</v>
      </c>
      <c r="C105" s="101">
        <v>59414</v>
      </c>
      <c r="D105" s="102" t="s">
        <v>535</v>
      </c>
      <c r="E105" s="103" t="s">
        <v>67</v>
      </c>
      <c r="F105" s="103" t="s">
        <v>397</v>
      </c>
      <c r="G105" s="103" t="s">
        <v>954</v>
      </c>
      <c r="H105" s="103" t="s">
        <v>437</v>
      </c>
      <c r="I105" s="104">
        <v>44195</v>
      </c>
      <c r="J105" s="103"/>
      <c r="K105" s="105">
        <v>82224</v>
      </c>
      <c r="L105" s="95"/>
      <c r="M105"/>
      <c r="N105" s="95"/>
      <c r="P105" s="95"/>
      <c r="AF105" s="95"/>
      <c r="AG105" s="123" t="s">
        <v>942</v>
      </c>
      <c r="AH105" s="126">
        <f>SUM(AH88:AH103)</f>
        <v>103779563.73000002</v>
      </c>
      <c r="AO105" s="96"/>
      <c r="AP105" s="96"/>
      <c r="AQ105" s="96"/>
      <c r="AR105" s="96"/>
      <c r="AS105" s="95"/>
    </row>
    <row r="106" spans="1:45" ht="15" customHeight="1" x14ac:dyDescent="0.25">
      <c r="A106" s="116" t="s">
        <v>531</v>
      </c>
      <c r="B106" s="35" t="s">
        <v>350</v>
      </c>
      <c r="C106" s="101">
        <v>61066</v>
      </c>
      <c r="D106" s="102" t="s">
        <v>536</v>
      </c>
      <c r="E106" s="103" t="s">
        <v>67</v>
      </c>
      <c r="F106" s="103" t="s">
        <v>397</v>
      </c>
      <c r="G106" s="103" t="s">
        <v>422</v>
      </c>
      <c r="H106" s="103" t="s">
        <v>437</v>
      </c>
      <c r="I106" s="104">
        <v>44499</v>
      </c>
      <c r="J106" s="103"/>
      <c r="K106" s="105">
        <v>229916.61</v>
      </c>
      <c r="L106" s="95"/>
      <c r="M106"/>
      <c r="N106" s="95"/>
      <c r="P106" s="95"/>
      <c r="Q106" s="123" t="s">
        <v>942</v>
      </c>
      <c r="R106" s="126">
        <f>SUM(R88:R104)</f>
        <v>107561104.40000002</v>
      </c>
      <c r="AF106" s="95"/>
      <c r="AJ106" s="95"/>
      <c r="AK106" s="95"/>
      <c r="AL106" s="95"/>
      <c r="AM106" s="95"/>
      <c r="AN106" s="95"/>
      <c r="AO106" s="95"/>
      <c r="AP106" s="95"/>
      <c r="AQ106" s="95"/>
      <c r="AR106" s="95"/>
      <c r="AS106" s="95"/>
    </row>
    <row r="107" spans="1:45" ht="15" customHeight="1" x14ac:dyDescent="0.25">
      <c r="A107" s="116" t="s">
        <v>531</v>
      </c>
      <c r="B107" s="35" t="s">
        <v>350</v>
      </c>
      <c r="C107" s="101">
        <v>61069</v>
      </c>
      <c r="D107" s="102" t="s">
        <v>537</v>
      </c>
      <c r="E107" s="103" t="s">
        <v>510</v>
      </c>
      <c r="F107" s="103" t="s">
        <v>412</v>
      </c>
      <c r="G107" s="103" t="s">
        <v>447</v>
      </c>
      <c r="H107" s="103" t="s">
        <v>437</v>
      </c>
      <c r="I107" s="104">
        <v>44590</v>
      </c>
      <c r="J107" s="104">
        <v>44588</v>
      </c>
      <c r="K107" s="105">
        <v>674694.83</v>
      </c>
      <c r="M107"/>
      <c r="P107" s="95"/>
      <c r="AC107" s="95"/>
      <c r="AF107" s="95"/>
      <c r="AJ107" s="95"/>
      <c r="AK107" s="95"/>
      <c r="AL107" s="95"/>
      <c r="AM107" s="95"/>
      <c r="AN107" s="95"/>
      <c r="AO107" s="95"/>
      <c r="AP107" s="95"/>
      <c r="AQ107" s="95"/>
      <c r="AR107" s="95"/>
      <c r="AS107" s="95"/>
    </row>
    <row r="108" spans="1:45" ht="15" customHeight="1" x14ac:dyDescent="0.25">
      <c r="A108" s="116" t="s">
        <v>531</v>
      </c>
      <c r="B108" s="35" t="s">
        <v>350</v>
      </c>
      <c r="C108" s="101">
        <v>62780</v>
      </c>
      <c r="D108" s="102" t="s">
        <v>538</v>
      </c>
      <c r="E108" s="103" t="s">
        <v>510</v>
      </c>
      <c r="F108" s="103" t="s">
        <v>397</v>
      </c>
      <c r="G108" s="103" t="s">
        <v>422</v>
      </c>
      <c r="H108" s="103" t="s">
        <v>437</v>
      </c>
      <c r="I108" s="104">
        <v>45290</v>
      </c>
      <c r="J108" s="103"/>
      <c r="K108" s="105">
        <v>330962.76</v>
      </c>
      <c r="M108"/>
      <c r="N108" s="95"/>
      <c r="O108" s="95"/>
      <c r="P108" s="95"/>
      <c r="T108" s="95"/>
      <c r="U108" s="95"/>
      <c r="V108" s="95"/>
      <c r="W108" s="95"/>
      <c r="X108" s="95"/>
      <c r="Y108" s="95"/>
      <c r="Z108" s="95"/>
      <c r="AA108" s="95"/>
      <c r="AB108" s="95"/>
      <c r="AC108" s="95"/>
      <c r="AF108" s="95"/>
      <c r="AG108" s="100" t="s">
        <v>949</v>
      </c>
      <c r="AH108" s="135" t="s">
        <v>412</v>
      </c>
      <c r="AI108" s="133" t="s">
        <v>1283</v>
      </c>
      <c r="AJ108" s="95"/>
      <c r="AK108" s="95"/>
      <c r="AL108" s="95"/>
      <c r="AM108" s="95"/>
      <c r="AN108" s="95"/>
      <c r="AO108" s="95"/>
      <c r="AP108" s="95"/>
      <c r="AQ108" s="95"/>
      <c r="AR108" s="95"/>
      <c r="AS108" s="95"/>
    </row>
    <row r="109" spans="1:45" ht="15" customHeight="1" x14ac:dyDescent="0.25">
      <c r="A109" s="116" t="s">
        <v>531</v>
      </c>
      <c r="B109" s="35" t="s">
        <v>350</v>
      </c>
      <c r="C109" s="101">
        <v>61046</v>
      </c>
      <c r="D109" s="102" t="s">
        <v>539</v>
      </c>
      <c r="E109" s="103" t="s">
        <v>67</v>
      </c>
      <c r="F109" s="103" t="s">
        <v>397</v>
      </c>
      <c r="G109" s="103" t="s">
        <v>422</v>
      </c>
      <c r="H109" s="103" t="s">
        <v>437</v>
      </c>
      <c r="I109" s="104">
        <v>44499</v>
      </c>
      <c r="J109" s="103"/>
      <c r="K109" s="105">
        <v>166340.76999999999</v>
      </c>
      <c r="M109"/>
      <c r="N109" s="95"/>
      <c r="O109" s="95"/>
      <c r="P109" s="95"/>
      <c r="T109" s="95"/>
      <c r="U109" s="95"/>
      <c r="V109" s="95"/>
      <c r="W109" s="95"/>
      <c r="X109" s="95"/>
      <c r="Y109" s="95"/>
      <c r="Z109" s="95"/>
      <c r="AA109" s="95"/>
      <c r="AB109" s="95"/>
      <c r="AC109" s="95"/>
      <c r="AF109" s="95"/>
      <c r="AG109" s="112" t="s">
        <v>2534</v>
      </c>
      <c r="AH109" s="132">
        <v>161</v>
      </c>
      <c r="AI109" s="133">
        <v>0.24922600619195046</v>
      </c>
      <c r="AJ109" s="95"/>
      <c r="AK109" s="95"/>
      <c r="AL109" s="95"/>
      <c r="AM109" s="95"/>
      <c r="AN109" s="95"/>
      <c r="AO109" s="95"/>
      <c r="AP109" s="95"/>
      <c r="AQ109" s="95"/>
      <c r="AR109" s="95"/>
      <c r="AS109" s="95"/>
    </row>
    <row r="110" spans="1:45" ht="15" customHeight="1" x14ac:dyDescent="0.25">
      <c r="A110" s="116" t="s">
        <v>531</v>
      </c>
      <c r="B110" s="35" t="s">
        <v>350</v>
      </c>
      <c r="C110" s="101">
        <v>57703</v>
      </c>
      <c r="D110" s="102" t="s">
        <v>540</v>
      </c>
      <c r="E110" s="103" t="s">
        <v>46</v>
      </c>
      <c r="F110" s="103" t="s">
        <v>397</v>
      </c>
      <c r="G110" s="103" t="s">
        <v>427</v>
      </c>
      <c r="H110" s="103" t="s">
        <v>437</v>
      </c>
      <c r="I110" s="103"/>
      <c r="J110" s="103"/>
      <c r="K110" s="105">
        <v>0</v>
      </c>
      <c r="M110"/>
      <c r="N110" s="94"/>
      <c r="O110" s="95"/>
      <c r="P110" s="95"/>
      <c r="Q110" s="100" t="s">
        <v>949</v>
      </c>
      <c r="R110" s="135" t="s">
        <v>412</v>
      </c>
      <c r="S110" s="133" t="s">
        <v>1283</v>
      </c>
      <c r="T110" s="95"/>
      <c r="U110" s="95"/>
      <c r="W110" s="95"/>
      <c r="X110" s="95"/>
      <c r="Y110" s="95"/>
      <c r="Z110" s="95"/>
      <c r="AA110" s="95"/>
      <c r="AB110" s="95"/>
      <c r="AC110" s="95"/>
      <c r="AF110" s="95"/>
      <c r="AG110" s="112" t="s">
        <v>2532</v>
      </c>
      <c r="AH110" s="132">
        <v>92</v>
      </c>
      <c r="AI110" s="133">
        <v>0.14241486068111456</v>
      </c>
      <c r="AJ110" s="95"/>
      <c r="AK110" s="95"/>
      <c r="AL110" s="95"/>
      <c r="AM110" s="95"/>
      <c r="AN110" s="95"/>
      <c r="AO110" s="95"/>
      <c r="AP110" s="95"/>
      <c r="AQ110" s="95"/>
      <c r="AR110" s="95"/>
      <c r="AS110" s="95"/>
    </row>
    <row r="111" spans="1:45" ht="15" customHeight="1" x14ac:dyDescent="0.25">
      <c r="A111" s="116" t="s">
        <v>531</v>
      </c>
      <c r="B111" s="35" t="s">
        <v>350</v>
      </c>
      <c r="C111" s="101">
        <v>63773</v>
      </c>
      <c r="D111" s="102" t="s">
        <v>541</v>
      </c>
      <c r="E111" s="103" t="s">
        <v>67</v>
      </c>
      <c r="F111" s="103" t="s">
        <v>397</v>
      </c>
      <c r="G111" s="103" t="s">
        <v>954</v>
      </c>
      <c r="H111" s="103" t="s">
        <v>437</v>
      </c>
      <c r="I111" s="104">
        <v>45044</v>
      </c>
      <c r="J111" s="103"/>
      <c r="K111" s="105">
        <v>0</v>
      </c>
      <c r="M111"/>
      <c r="N111" s="95"/>
      <c r="O111" s="95"/>
      <c r="P111" s="95"/>
      <c r="Q111" s="112" t="s">
        <v>688</v>
      </c>
      <c r="R111" s="132">
        <f t="shared" ref="R111:R127" si="29">COUNTIFS(B:B,Q111,F:F,$R$110)</f>
        <v>161</v>
      </c>
      <c r="S111" s="133">
        <f t="shared" ref="S111:S127" si="30">R111/$R$129</f>
        <v>0.22708039492242596</v>
      </c>
      <c r="T111" s="95"/>
      <c r="U111" s="95"/>
      <c r="V111" s="95"/>
      <c r="W111" s="95"/>
      <c r="X111" s="95"/>
      <c r="Y111" s="95"/>
      <c r="Z111" s="95"/>
      <c r="AA111" s="95"/>
      <c r="AB111" s="95"/>
      <c r="AC111" s="95"/>
      <c r="AF111" s="95"/>
      <c r="AG111" s="112" t="s">
        <v>2535</v>
      </c>
      <c r="AH111" s="132">
        <v>91</v>
      </c>
      <c r="AI111" s="133">
        <v>0.14086687306501547</v>
      </c>
      <c r="AJ111" s="95"/>
      <c r="AK111" s="95"/>
      <c r="AL111" s="95"/>
      <c r="AM111" s="95"/>
      <c r="AN111" s="95"/>
      <c r="AO111" s="95"/>
      <c r="AP111" s="95"/>
      <c r="AQ111" s="95"/>
      <c r="AR111" s="95"/>
      <c r="AS111" s="95"/>
    </row>
    <row r="112" spans="1:45" ht="15" customHeight="1" x14ac:dyDescent="0.25">
      <c r="A112" s="116" t="s">
        <v>531</v>
      </c>
      <c r="B112" s="35" t="s">
        <v>350</v>
      </c>
      <c r="C112" s="101">
        <v>63677</v>
      </c>
      <c r="D112" s="102" t="s">
        <v>542</v>
      </c>
      <c r="E112" s="103" t="s">
        <v>46</v>
      </c>
      <c r="F112" s="103" t="s">
        <v>397</v>
      </c>
      <c r="G112" s="103" t="s">
        <v>422</v>
      </c>
      <c r="H112" s="103" t="s">
        <v>437</v>
      </c>
      <c r="I112" s="104">
        <v>45044</v>
      </c>
      <c r="J112" s="103"/>
      <c r="K112" s="105">
        <v>119310</v>
      </c>
      <c r="M112"/>
      <c r="N112" s="95"/>
      <c r="O112" s="95"/>
      <c r="P112" s="95"/>
      <c r="Q112" s="112" t="s">
        <v>252</v>
      </c>
      <c r="R112" s="132">
        <f t="shared" si="29"/>
        <v>92</v>
      </c>
      <c r="S112" s="133">
        <f t="shared" si="30"/>
        <v>0.12976022566995768</v>
      </c>
      <c r="T112" s="95"/>
      <c r="U112" s="95"/>
      <c r="V112" s="95"/>
      <c r="W112" s="95"/>
      <c r="X112" s="95"/>
      <c r="Y112" s="95"/>
      <c r="Z112" s="95"/>
      <c r="AA112" s="95"/>
      <c r="AB112" s="95"/>
      <c r="AC112" s="95"/>
      <c r="AF112" s="95"/>
      <c r="AG112" s="112" t="s">
        <v>2533</v>
      </c>
      <c r="AH112" s="132">
        <v>88</v>
      </c>
      <c r="AI112" s="133">
        <v>0.13622291021671826</v>
      </c>
      <c r="AJ112" s="95"/>
      <c r="AK112" s="95"/>
      <c r="AL112" s="95"/>
      <c r="AM112" s="95"/>
      <c r="AN112" s="95"/>
      <c r="AO112" s="95"/>
      <c r="AP112" s="95"/>
      <c r="AQ112" s="95"/>
      <c r="AR112" s="95"/>
      <c r="AS112" s="95"/>
    </row>
    <row r="113" spans="1:45" ht="15" customHeight="1" x14ac:dyDescent="0.25">
      <c r="A113" s="116" t="s">
        <v>531</v>
      </c>
      <c r="B113" s="35" t="s">
        <v>350</v>
      </c>
      <c r="C113" s="101">
        <v>59023</v>
      </c>
      <c r="D113" s="102" t="s">
        <v>543</v>
      </c>
      <c r="E113" s="103" t="s">
        <v>67</v>
      </c>
      <c r="F113" s="103" t="s">
        <v>397</v>
      </c>
      <c r="G113" s="103" t="s">
        <v>427</v>
      </c>
      <c r="H113" s="103" t="s">
        <v>437</v>
      </c>
      <c r="I113" s="104">
        <v>44286</v>
      </c>
      <c r="J113" s="103"/>
      <c r="K113" s="105">
        <v>11522210.98</v>
      </c>
      <c r="M113"/>
      <c r="N113" s="95"/>
      <c r="O113" s="95"/>
      <c r="P113" s="95"/>
      <c r="Q113" s="112" t="s">
        <v>1139</v>
      </c>
      <c r="R113" s="132">
        <f t="shared" si="29"/>
        <v>91</v>
      </c>
      <c r="S113" s="133">
        <f t="shared" si="30"/>
        <v>0.12834978843441466</v>
      </c>
      <c r="T113" s="95"/>
      <c r="U113" s="95"/>
      <c r="V113" s="95"/>
      <c r="W113" s="95"/>
      <c r="X113" s="95"/>
      <c r="Y113" s="95"/>
      <c r="Z113" s="95"/>
      <c r="AA113" s="95"/>
      <c r="AB113" s="95"/>
      <c r="AC113" s="95"/>
      <c r="AF113" s="95"/>
      <c r="AG113" s="112" t="s">
        <v>2524</v>
      </c>
      <c r="AH113" s="132">
        <v>60</v>
      </c>
      <c r="AI113" s="133">
        <v>9.2879256965944276E-2</v>
      </c>
      <c r="AJ113" s="95"/>
      <c r="AK113" s="95"/>
      <c r="AL113" s="95"/>
      <c r="AM113" s="95"/>
      <c r="AN113" s="95"/>
      <c r="AO113" s="95"/>
      <c r="AP113" s="95"/>
      <c r="AQ113" s="95"/>
      <c r="AR113" s="95"/>
      <c r="AS113" s="95"/>
    </row>
    <row r="114" spans="1:45" ht="15" customHeight="1" x14ac:dyDescent="0.25">
      <c r="A114" s="116" t="s">
        <v>531</v>
      </c>
      <c r="B114" s="35" t="s">
        <v>350</v>
      </c>
      <c r="C114" s="101">
        <v>59397</v>
      </c>
      <c r="D114" s="102" t="s">
        <v>544</v>
      </c>
      <c r="E114" s="103" t="s">
        <v>67</v>
      </c>
      <c r="F114" s="103" t="s">
        <v>397</v>
      </c>
      <c r="G114" s="103" t="s">
        <v>427</v>
      </c>
      <c r="H114" s="103" t="s">
        <v>437</v>
      </c>
      <c r="I114" s="104">
        <v>44163</v>
      </c>
      <c r="J114" s="103"/>
      <c r="K114" s="105">
        <v>140785</v>
      </c>
      <c r="M114"/>
      <c r="N114" s="95"/>
      <c r="O114" s="95"/>
      <c r="P114" s="95"/>
      <c r="Q114" s="112" t="s">
        <v>549</v>
      </c>
      <c r="R114" s="132">
        <f t="shared" si="29"/>
        <v>88</v>
      </c>
      <c r="S114" s="133">
        <f t="shared" si="30"/>
        <v>0.12411847672778561</v>
      </c>
      <c r="T114" s="95"/>
      <c r="U114" s="95"/>
      <c r="V114" s="95"/>
      <c r="W114" s="95"/>
      <c r="X114" s="95"/>
      <c r="Y114" s="95"/>
      <c r="Z114" s="95"/>
      <c r="AA114" s="95"/>
      <c r="AB114" s="95"/>
      <c r="AC114" s="95"/>
      <c r="AF114" s="95"/>
      <c r="AG114" s="112" t="s">
        <v>2523</v>
      </c>
      <c r="AH114" s="132">
        <v>31</v>
      </c>
      <c r="AI114" s="136">
        <v>4.7987616099071206E-2</v>
      </c>
      <c r="AJ114" s="95"/>
      <c r="AK114" s="95"/>
      <c r="AL114" s="95"/>
      <c r="AM114" s="95"/>
      <c r="AN114" s="95"/>
      <c r="AO114" s="95"/>
      <c r="AP114" s="95"/>
      <c r="AQ114" s="95"/>
      <c r="AR114" s="95"/>
      <c r="AS114" s="95"/>
    </row>
    <row r="115" spans="1:45" ht="15" customHeight="1" x14ac:dyDescent="0.25">
      <c r="A115" s="116" t="s">
        <v>531</v>
      </c>
      <c r="B115" s="35" t="s">
        <v>350</v>
      </c>
      <c r="C115" s="101">
        <v>61041</v>
      </c>
      <c r="D115" s="102" t="s">
        <v>545</v>
      </c>
      <c r="E115" s="103" t="s">
        <v>67</v>
      </c>
      <c r="F115" s="103" t="s">
        <v>397</v>
      </c>
      <c r="G115" s="103" t="s">
        <v>954</v>
      </c>
      <c r="H115" s="103" t="s">
        <v>437</v>
      </c>
      <c r="I115" s="104">
        <v>44469</v>
      </c>
      <c r="J115" s="103"/>
      <c r="K115" s="105">
        <v>82747.199999999997</v>
      </c>
      <c r="M115"/>
      <c r="N115" s="95"/>
      <c r="O115" s="95"/>
      <c r="P115" s="95"/>
      <c r="Q115" s="112" t="s">
        <v>1543</v>
      </c>
      <c r="R115" s="132">
        <f t="shared" si="29"/>
        <v>60</v>
      </c>
      <c r="S115" s="133">
        <f t="shared" si="30"/>
        <v>8.4626234132581094E-2</v>
      </c>
      <c r="T115" s="95"/>
      <c r="U115" s="95"/>
      <c r="V115" s="95"/>
      <c r="W115" s="95"/>
      <c r="X115" s="95"/>
      <c r="Y115" s="95"/>
      <c r="Z115" s="95"/>
      <c r="AA115" s="95"/>
      <c r="AB115" s="95"/>
      <c r="AC115" s="95"/>
      <c r="AF115" s="95"/>
      <c r="AG115" s="112" t="s">
        <v>2526</v>
      </c>
      <c r="AH115" s="132">
        <v>27</v>
      </c>
      <c r="AI115" s="133">
        <v>4.1795665634674919E-2</v>
      </c>
      <c r="AJ115" s="95"/>
      <c r="AK115" s="95"/>
      <c r="AL115" s="95"/>
      <c r="AM115" s="95"/>
      <c r="AN115" s="95"/>
      <c r="AO115" s="95"/>
      <c r="AP115" s="95"/>
      <c r="AQ115" s="95"/>
      <c r="AR115" s="95"/>
      <c r="AS115" s="95"/>
    </row>
    <row r="116" spans="1:45" ht="15" customHeight="1" x14ac:dyDescent="0.25">
      <c r="A116" s="116" t="s">
        <v>531</v>
      </c>
      <c r="B116" s="35" t="s">
        <v>350</v>
      </c>
      <c r="C116" s="101">
        <v>60321</v>
      </c>
      <c r="D116" s="102" t="s">
        <v>546</v>
      </c>
      <c r="E116" s="103" t="s">
        <v>67</v>
      </c>
      <c r="F116" s="103" t="s">
        <v>397</v>
      </c>
      <c r="G116" s="103" t="s">
        <v>954</v>
      </c>
      <c r="H116" s="103" t="s">
        <v>437</v>
      </c>
      <c r="I116" s="104">
        <v>44347</v>
      </c>
      <c r="J116" s="103"/>
      <c r="K116" s="105">
        <v>240</v>
      </c>
      <c r="M116"/>
      <c r="N116" s="95"/>
      <c r="O116" s="95"/>
      <c r="P116" s="95"/>
      <c r="Q116" s="112" t="s">
        <v>1138</v>
      </c>
      <c r="R116" s="132">
        <f t="shared" si="29"/>
        <v>31</v>
      </c>
      <c r="S116" s="136">
        <f t="shared" si="30"/>
        <v>4.372355430183357E-2</v>
      </c>
      <c r="T116" s="95"/>
      <c r="U116" s="95"/>
      <c r="V116" s="95"/>
      <c r="W116" s="95"/>
      <c r="X116" s="95"/>
      <c r="Y116" s="95"/>
      <c r="Z116" s="95"/>
      <c r="AA116" s="95"/>
      <c r="AB116" s="95"/>
      <c r="AC116" s="95"/>
      <c r="AF116" s="95"/>
      <c r="AG116" s="112" t="s">
        <v>2530</v>
      </c>
      <c r="AH116" s="132">
        <v>20</v>
      </c>
      <c r="AI116" s="133">
        <v>3.0959752321981424E-2</v>
      </c>
      <c r="AJ116" s="95"/>
      <c r="AK116" s="95"/>
      <c r="AL116" s="95"/>
      <c r="AM116" s="95"/>
      <c r="AN116" s="95"/>
      <c r="AO116" s="95"/>
      <c r="AP116" s="95"/>
      <c r="AQ116" s="95"/>
      <c r="AR116" s="95"/>
      <c r="AS116" s="95"/>
    </row>
    <row r="117" spans="1:45" ht="15" customHeight="1" x14ac:dyDescent="0.25">
      <c r="A117" s="116" t="s">
        <v>807</v>
      </c>
      <c r="B117" s="112" t="s">
        <v>945</v>
      </c>
      <c r="C117" s="101">
        <v>57824</v>
      </c>
      <c r="D117" s="102" t="s">
        <v>808</v>
      </c>
      <c r="E117" s="103" t="s">
        <v>46</v>
      </c>
      <c r="F117" s="103" t="s">
        <v>412</v>
      </c>
      <c r="G117" s="103" t="s">
        <v>413</v>
      </c>
      <c r="H117" s="103" t="s">
        <v>414</v>
      </c>
      <c r="I117" s="104">
        <v>43766</v>
      </c>
      <c r="J117" s="104">
        <v>43766</v>
      </c>
      <c r="K117" s="105">
        <v>29701.01</v>
      </c>
      <c r="M117"/>
      <c r="N117" s="95"/>
      <c r="O117" s="95"/>
      <c r="P117" s="95"/>
      <c r="Q117" s="112" t="s">
        <v>1840</v>
      </c>
      <c r="R117" s="132">
        <f t="shared" si="29"/>
        <v>29</v>
      </c>
      <c r="S117" s="133">
        <f t="shared" si="30"/>
        <v>4.0902679830747531E-2</v>
      </c>
      <c r="T117" s="95"/>
      <c r="U117" s="95"/>
      <c r="V117" s="95"/>
      <c r="W117" s="95"/>
      <c r="X117" s="95"/>
      <c r="Y117" s="95"/>
      <c r="Z117" s="95"/>
      <c r="AA117" s="95"/>
      <c r="AB117" s="95"/>
      <c r="AC117" s="95"/>
      <c r="AF117" s="95"/>
      <c r="AG117" s="112" t="s">
        <v>2521</v>
      </c>
      <c r="AH117" s="132">
        <v>19</v>
      </c>
      <c r="AI117" s="133">
        <v>2.9411764705882353E-2</v>
      </c>
      <c r="AJ117" s="95"/>
      <c r="AK117" s="95"/>
      <c r="AL117" s="95"/>
      <c r="AM117" s="95"/>
      <c r="AN117" s="95"/>
      <c r="AO117" s="95"/>
      <c r="AP117" s="95"/>
      <c r="AQ117" s="95"/>
      <c r="AR117" s="95"/>
      <c r="AS117" s="95"/>
    </row>
    <row r="118" spans="1:45" ht="15" customHeight="1" x14ac:dyDescent="0.25">
      <c r="A118" s="116" t="s">
        <v>807</v>
      </c>
      <c r="B118" s="112" t="s">
        <v>945</v>
      </c>
      <c r="C118" s="101">
        <v>58833</v>
      </c>
      <c r="D118" s="102" t="s">
        <v>809</v>
      </c>
      <c r="E118" s="103" t="s">
        <v>46</v>
      </c>
      <c r="F118" s="103" t="s">
        <v>412</v>
      </c>
      <c r="G118" s="103" t="s">
        <v>413</v>
      </c>
      <c r="H118" s="103" t="s">
        <v>414</v>
      </c>
      <c r="I118" s="103"/>
      <c r="J118" s="104">
        <v>44161</v>
      </c>
      <c r="K118" s="105">
        <v>22500</v>
      </c>
      <c r="M118"/>
      <c r="N118" s="95"/>
      <c r="O118" s="95"/>
      <c r="P118" s="95"/>
      <c r="Q118" s="112" t="s">
        <v>1840</v>
      </c>
      <c r="R118" s="132">
        <f t="shared" si="29"/>
        <v>29</v>
      </c>
      <c r="S118" s="133">
        <f t="shared" si="30"/>
        <v>4.0902679830747531E-2</v>
      </c>
      <c r="T118" s="95"/>
      <c r="U118" s="95"/>
      <c r="V118" s="95"/>
      <c r="W118" s="95"/>
      <c r="X118" s="95"/>
      <c r="Y118" s="95"/>
      <c r="Z118" s="95"/>
      <c r="AA118" s="95"/>
      <c r="AB118" s="95"/>
      <c r="AC118" s="95"/>
      <c r="AF118" s="95"/>
      <c r="AG118" s="112" t="s">
        <v>2529</v>
      </c>
      <c r="AH118" s="132">
        <v>16</v>
      </c>
      <c r="AI118" s="133">
        <v>2.4767801857585141E-2</v>
      </c>
      <c r="AJ118" s="95"/>
      <c r="AK118" s="95"/>
      <c r="AL118" s="95"/>
      <c r="AM118" s="95"/>
      <c r="AN118" s="95"/>
      <c r="AO118" s="95"/>
      <c r="AP118" s="95"/>
      <c r="AQ118" s="95"/>
      <c r="AR118" s="95"/>
      <c r="AS118" s="95"/>
    </row>
    <row r="119" spans="1:45" ht="15" customHeight="1" x14ac:dyDescent="0.25">
      <c r="A119" s="116" t="s">
        <v>807</v>
      </c>
      <c r="B119" s="112" t="s">
        <v>945</v>
      </c>
      <c r="C119" s="101">
        <v>61075</v>
      </c>
      <c r="D119" s="102" t="s">
        <v>810</v>
      </c>
      <c r="E119" s="103" t="s">
        <v>46</v>
      </c>
      <c r="F119" s="103" t="s">
        <v>397</v>
      </c>
      <c r="G119" s="103" t="s">
        <v>413</v>
      </c>
      <c r="H119" s="103" t="s">
        <v>414</v>
      </c>
      <c r="I119" s="104">
        <v>44561</v>
      </c>
      <c r="J119" s="103"/>
      <c r="K119" s="105">
        <v>32746.43</v>
      </c>
      <c r="M119"/>
      <c r="N119" s="95"/>
      <c r="O119" s="95"/>
      <c r="P119" s="95"/>
      <c r="Q119" s="112" t="s">
        <v>1917</v>
      </c>
      <c r="R119" s="132">
        <f t="shared" si="29"/>
        <v>27</v>
      </c>
      <c r="S119" s="136">
        <f t="shared" si="30"/>
        <v>3.8081805359661498E-2</v>
      </c>
      <c r="T119" s="95"/>
      <c r="U119" s="95"/>
      <c r="V119" s="95"/>
      <c r="W119" s="95"/>
      <c r="X119" s="95"/>
      <c r="Y119" s="95"/>
      <c r="Z119" s="95"/>
      <c r="AA119" s="95"/>
      <c r="AB119" s="95"/>
      <c r="AC119" s="95"/>
      <c r="AF119" s="95"/>
      <c r="AG119" s="120" t="s">
        <v>2520</v>
      </c>
      <c r="AH119" s="132">
        <v>14</v>
      </c>
      <c r="AI119" s="133">
        <v>2.1671826625386997E-2</v>
      </c>
      <c r="AJ119" s="95"/>
      <c r="AK119" s="95"/>
      <c r="AL119" s="95"/>
      <c r="AM119" s="95"/>
      <c r="AN119" s="95"/>
      <c r="AO119" s="95"/>
      <c r="AP119" s="95"/>
      <c r="AQ119" s="95"/>
      <c r="AR119" s="95"/>
      <c r="AS119" s="95"/>
    </row>
    <row r="120" spans="1:45" ht="15" customHeight="1" x14ac:dyDescent="0.25">
      <c r="A120" s="116" t="s">
        <v>807</v>
      </c>
      <c r="B120" s="112" t="s">
        <v>945</v>
      </c>
      <c r="C120" s="101">
        <v>50089</v>
      </c>
      <c r="D120" s="102" t="s">
        <v>811</v>
      </c>
      <c r="E120" s="103" t="s">
        <v>46</v>
      </c>
      <c r="F120" s="103" t="s">
        <v>412</v>
      </c>
      <c r="G120" s="103" t="s">
        <v>413</v>
      </c>
      <c r="H120" s="103" t="s">
        <v>414</v>
      </c>
      <c r="I120" s="104">
        <v>42746</v>
      </c>
      <c r="J120" s="104">
        <v>42746</v>
      </c>
      <c r="K120" s="105">
        <v>22481.64</v>
      </c>
      <c r="M120"/>
      <c r="O120" s="95"/>
      <c r="P120" s="95"/>
      <c r="Q120" s="112" t="s">
        <v>611</v>
      </c>
      <c r="R120" s="132">
        <f t="shared" si="29"/>
        <v>23</v>
      </c>
      <c r="S120" s="133">
        <f t="shared" si="30"/>
        <v>3.244005641748942E-2</v>
      </c>
      <c r="T120" s="95"/>
      <c r="U120" s="95"/>
      <c r="V120" s="95"/>
      <c r="W120" s="95"/>
      <c r="X120" s="95"/>
      <c r="Y120" s="95"/>
      <c r="Z120" s="95"/>
      <c r="AA120" s="95"/>
      <c r="AB120" s="95"/>
      <c r="AC120" s="95"/>
      <c r="AF120" s="95"/>
      <c r="AG120" s="112" t="s">
        <v>2525</v>
      </c>
      <c r="AH120" s="132">
        <v>13</v>
      </c>
      <c r="AI120" s="133">
        <v>2.0123839009287926E-2</v>
      </c>
      <c r="AJ120" s="95"/>
      <c r="AK120" s="95"/>
      <c r="AL120" s="95"/>
      <c r="AM120" s="95"/>
      <c r="AN120" s="95"/>
      <c r="AO120" s="95"/>
      <c r="AP120" s="95"/>
      <c r="AQ120" s="95"/>
      <c r="AR120" s="95"/>
      <c r="AS120" s="95"/>
    </row>
    <row r="121" spans="1:45" ht="15" customHeight="1" x14ac:dyDescent="0.25">
      <c r="A121" s="116" t="s">
        <v>807</v>
      </c>
      <c r="B121" s="112" t="s">
        <v>945</v>
      </c>
      <c r="C121" s="101">
        <v>50088</v>
      </c>
      <c r="D121" s="102" t="s">
        <v>812</v>
      </c>
      <c r="E121" s="103" t="s">
        <v>46</v>
      </c>
      <c r="F121" s="103" t="s">
        <v>412</v>
      </c>
      <c r="G121" s="103" t="s">
        <v>413</v>
      </c>
      <c r="H121" s="103" t="s">
        <v>414</v>
      </c>
      <c r="I121" s="104">
        <v>42380</v>
      </c>
      <c r="J121" s="104">
        <v>42380</v>
      </c>
      <c r="K121" s="105">
        <v>22482.240000000002</v>
      </c>
      <c r="M121"/>
      <c r="O121" s="95"/>
      <c r="P121" s="95"/>
      <c r="Q121" s="112" t="s">
        <v>945</v>
      </c>
      <c r="R121" s="132">
        <f t="shared" si="29"/>
        <v>20</v>
      </c>
      <c r="S121" s="133">
        <f t="shared" si="30"/>
        <v>2.8208744710860368E-2</v>
      </c>
      <c r="T121" s="95"/>
      <c r="U121" s="95"/>
      <c r="V121" s="95"/>
      <c r="W121" s="95"/>
      <c r="X121" s="95"/>
      <c r="Y121" s="95"/>
      <c r="Z121" s="95"/>
      <c r="AA121" s="95"/>
      <c r="AB121" s="95"/>
      <c r="AC121" s="95"/>
      <c r="AF121" s="95"/>
      <c r="AG121" s="112" t="s">
        <v>2531</v>
      </c>
      <c r="AH121" s="132">
        <v>5</v>
      </c>
      <c r="AI121" s="133">
        <v>7.7399380804953561E-3</v>
      </c>
      <c r="AJ121" s="95"/>
      <c r="AK121" s="95"/>
      <c r="AL121" s="95"/>
      <c r="AM121" s="95"/>
      <c r="AN121" s="95"/>
      <c r="AO121" s="95"/>
      <c r="AP121" s="95"/>
      <c r="AQ121" s="95"/>
      <c r="AR121" s="95"/>
      <c r="AS121" s="95"/>
    </row>
    <row r="122" spans="1:45" ht="15" customHeight="1" x14ac:dyDescent="0.25">
      <c r="A122" s="116" t="s">
        <v>807</v>
      </c>
      <c r="B122" s="112" t="s">
        <v>945</v>
      </c>
      <c r="C122" s="101">
        <v>50087</v>
      </c>
      <c r="D122" s="102" t="s">
        <v>813</v>
      </c>
      <c r="E122" s="103" t="s">
        <v>46</v>
      </c>
      <c r="F122" s="103" t="s">
        <v>412</v>
      </c>
      <c r="G122" s="103" t="s">
        <v>413</v>
      </c>
      <c r="H122" s="103" t="s">
        <v>414</v>
      </c>
      <c r="I122" s="104">
        <v>43112</v>
      </c>
      <c r="J122" s="104">
        <v>43112</v>
      </c>
      <c r="K122" s="105">
        <v>22482</v>
      </c>
      <c r="M122"/>
      <c r="N122" s="95"/>
      <c r="O122" s="95"/>
      <c r="P122" s="95"/>
      <c r="Q122" s="112" t="s">
        <v>946</v>
      </c>
      <c r="R122" s="132">
        <f t="shared" si="29"/>
        <v>19</v>
      </c>
      <c r="S122" s="133">
        <f t="shared" si="30"/>
        <v>2.6798307475317348E-2</v>
      </c>
      <c r="T122" s="95"/>
      <c r="U122" s="95"/>
      <c r="V122" s="95"/>
      <c r="W122" s="95"/>
      <c r="X122" s="95"/>
      <c r="Y122" s="95"/>
      <c r="Z122" s="95"/>
      <c r="AA122" s="95"/>
      <c r="AB122" s="95"/>
      <c r="AC122" s="95"/>
      <c r="AF122" s="95"/>
      <c r="AG122" s="112" t="s">
        <v>2522</v>
      </c>
      <c r="AH122" s="132">
        <v>4</v>
      </c>
      <c r="AI122" s="133">
        <v>6.1919504643962852E-3</v>
      </c>
      <c r="AJ122" s="95"/>
      <c r="AK122" s="95"/>
      <c r="AL122" s="95"/>
      <c r="AM122" s="95"/>
      <c r="AN122" s="95"/>
      <c r="AO122" s="95"/>
      <c r="AP122" s="95"/>
      <c r="AQ122" s="95"/>
      <c r="AR122" s="95"/>
      <c r="AS122" s="95"/>
    </row>
    <row r="123" spans="1:45" ht="15" customHeight="1" x14ac:dyDescent="0.25">
      <c r="A123" s="116" t="s">
        <v>807</v>
      </c>
      <c r="B123" s="112" t="s">
        <v>945</v>
      </c>
      <c r="C123" s="101">
        <v>54491</v>
      </c>
      <c r="D123" s="102" t="s">
        <v>814</v>
      </c>
      <c r="E123" s="103" t="s">
        <v>46</v>
      </c>
      <c r="F123" s="103" t="s">
        <v>412</v>
      </c>
      <c r="G123" s="103" t="s">
        <v>427</v>
      </c>
      <c r="H123" s="103" t="s">
        <v>423</v>
      </c>
      <c r="I123" s="104">
        <v>42367</v>
      </c>
      <c r="J123" s="104">
        <v>42367</v>
      </c>
      <c r="K123" s="105">
        <v>168420.1</v>
      </c>
      <c r="M123"/>
      <c r="N123" s="95"/>
      <c r="O123" s="95"/>
      <c r="P123" s="95"/>
      <c r="Q123" s="112" t="s">
        <v>944</v>
      </c>
      <c r="R123" s="132">
        <f t="shared" si="29"/>
        <v>16</v>
      </c>
      <c r="S123" s="136">
        <f t="shared" si="30"/>
        <v>2.2566995768688293E-2</v>
      </c>
      <c r="T123" s="95"/>
      <c r="U123" s="95"/>
      <c r="V123" s="95"/>
      <c r="W123" s="95"/>
      <c r="X123" s="95"/>
      <c r="Y123" s="95"/>
      <c r="Z123" s="95"/>
      <c r="AA123" s="95"/>
      <c r="AB123" s="95"/>
      <c r="AC123" s="95"/>
      <c r="AF123" s="95"/>
      <c r="AG123" s="112" t="s">
        <v>2527</v>
      </c>
      <c r="AH123" s="132">
        <v>3</v>
      </c>
      <c r="AI123" s="136">
        <v>4.6439628482972135E-3</v>
      </c>
      <c r="AK123" s="95"/>
      <c r="AL123" s="95"/>
      <c r="AM123" s="95"/>
      <c r="AN123" s="95"/>
      <c r="AO123" s="95"/>
      <c r="AP123" s="95"/>
      <c r="AQ123" s="95"/>
      <c r="AR123" s="95"/>
      <c r="AS123" s="95"/>
    </row>
    <row r="124" spans="1:45" ht="15" customHeight="1" x14ac:dyDescent="0.25">
      <c r="A124" s="116" t="s">
        <v>807</v>
      </c>
      <c r="B124" s="112" t="s">
        <v>945</v>
      </c>
      <c r="C124" s="101">
        <v>56478</v>
      </c>
      <c r="D124" s="102" t="s">
        <v>815</v>
      </c>
      <c r="E124" s="103" t="s">
        <v>46</v>
      </c>
      <c r="F124" s="103" t="s">
        <v>397</v>
      </c>
      <c r="G124" s="103" t="s">
        <v>425</v>
      </c>
      <c r="H124" s="103" t="s">
        <v>423</v>
      </c>
      <c r="I124" s="103"/>
      <c r="J124" s="103"/>
      <c r="K124" s="105">
        <v>0</v>
      </c>
      <c r="M124"/>
      <c r="N124" s="95"/>
      <c r="O124" s="95"/>
      <c r="P124" s="95"/>
      <c r="Q124" s="112" t="s">
        <v>350</v>
      </c>
      <c r="R124" s="132">
        <f t="shared" si="29"/>
        <v>14</v>
      </c>
      <c r="S124" s="133">
        <f t="shared" si="30"/>
        <v>1.9746121297602257E-2</v>
      </c>
      <c r="T124" s="95"/>
      <c r="U124" s="95"/>
      <c r="V124" s="95"/>
      <c r="W124" s="95"/>
      <c r="X124" s="95"/>
      <c r="Y124" s="95"/>
      <c r="Z124" s="95"/>
      <c r="AA124" s="95"/>
      <c r="AB124" s="95"/>
      <c r="AC124" s="95"/>
      <c r="AF124" s="95"/>
      <c r="AG124" s="112" t="s">
        <v>2528</v>
      </c>
      <c r="AH124" s="132">
        <v>2</v>
      </c>
      <c r="AI124" s="136">
        <v>3.0959752321981426E-3</v>
      </c>
      <c r="AK124" s="95"/>
      <c r="AL124" s="95"/>
      <c r="AM124" s="95"/>
      <c r="AN124" s="95"/>
      <c r="AO124" s="95"/>
      <c r="AP124" s="95"/>
      <c r="AQ124" s="95"/>
      <c r="AR124" s="95"/>
      <c r="AS124" s="95"/>
    </row>
    <row r="125" spans="1:45" ht="15" customHeight="1" x14ac:dyDescent="0.25">
      <c r="A125" s="116" t="s">
        <v>807</v>
      </c>
      <c r="B125" s="112" t="s">
        <v>945</v>
      </c>
      <c r="C125" s="101">
        <v>56475</v>
      </c>
      <c r="D125" s="102" t="s">
        <v>816</v>
      </c>
      <c r="E125" s="103" t="s">
        <v>46</v>
      </c>
      <c r="F125" s="103" t="s">
        <v>397</v>
      </c>
      <c r="G125" s="103" t="s">
        <v>425</v>
      </c>
      <c r="H125" s="103" t="s">
        <v>423</v>
      </c>
      <c r="I125" s="104">
        <v>43738</v>
      </c>
      <c r="J125" s="103"/>
      <c r="K125" s="105">
        <v>73680.039999999994</v>
      </c>
      <c r="M125"/>
      <c r="N125" s="95"/>
      <c r="O125" s="95"/>
      <c r="P125" s="95"/>
      <c r="Q125" s="112" t="s">
        <v>947</v>
      </c>
      <c r="R125" s="132">
        <f t="shared" si="29"/>
        <v>4</v>
      </c>
      <c r="S125" s="133">
        <f t="shared" si="30"/>
        <v>5.6417489421720732E-3</v>
      </c>
      <c r="U125" s="95"/>
      <c r="V125" s="95"/>
      <c r="W125" s="95"/>
      <c r="X125" s="95"/>
      <c r="Y125" s="95"/>
      <c r="Z125" s="95"/>
      <c r="AA125" s="95"/>
      <c r="AB125" s="95"/>
      <c r="AC125" s="95"/>
      <c r="AF125" s="95"/>
      <c r="AI125" s="165"/>
      <c r="AK125" s="95"/>
      <c r="AL125" s="95"/>
      <c r="AM125" s="95"/>
      <c r="AN125" s="95"/>
      <c r="AO125" s="95"/>
      <c r="AP125" s="95"/>
      <c r="AQ125" s="95"/>
      <c r="AR125" s="95"/>
      <c r="AS125" s="95"/>
    </row>
    <row r="126" spans="1:45" ht="15" customHeight="1" x14ac:dyDescent="0.25">
      <c r="A126" s="116" t="s">
        <v>807</v>
      </c>
      <c r="B126" s="112" t="s">
        <v>945</v>
      </c>
      <c r="C126" s="101">
        <v>57756</v>
      </c>
      <c r="D126" s="102" t="s">
        <v>817</v>
      </c>
      <c r="E126" s="103" t="s">
        <v>46</v>
      </c>
      <c r="F126" s="103" t="s">
        <v>412</v>
      </c>
      <c r="G126" s="103" t="s">
        <v>953</v>
      </c>
      <c r="H126" s="103" t="s">
        <v>433</v>
      </c>
      <c r="I126" s="104">
        <v>43779</v>
      </c>
      <c r="J126" s="104">
        <v>43773</v>
      </c>
      <c r="K126" s="105">
        <v>6400</v>
      </c>
      <c r="M126"/>
      <c r="N126" s="95"/>
      <c r="O126" s="95"/>
      <c r="P126" s="95"/>
      <c r="Q126" s="120" t="s">
        <v>404</v>
      </c>
      <c r="R126" s="132">
        <f t="shared" si="29"/>
        <v>3</v>
      </c>
      <c r="S126" s="136">
        <f t="shared" si="30"/>
        <v>4.2313117066290554E-3</v>
      </c>
      <c r="U126" s="95"/>
      <c r="V126" s="95"/>
      <c r="W126" s="95"/>
      <c r="X126" s="95"/>
      <c r="Y126" s="95"/>
      <c r="Z126" s="95"/>
      <c r="AA126" s="95"/>
      <c r="AB126" s="95"/>
      <c r="AC126" s="95"/>
      <c r="AF126" s="95"/>
      <c r="AG126" s="123" t="s">
        <v>942</v>
      </c>
      <c r="AH126" s="134">
        <f>SUM(AH109:AH124)</f>
        <v>646</v>
      </c>
      <c r="AI126" s="95"/>
      <c r="AJ126" s="95"/>
      <c r="AK126" s="95"/>
      <c r="AL126" s="95"/>
      <c r="AM126" s="95"/>
      <c r="AN126" s="95"/>
      <c r="AO126" s="95"/>
      <c r="AP126" s="95"/>
      <c r="AQ126" s="95"/>
      <c r="AR126" s="95"/>
      <c r="AS126" s="95"/>
    </row>
    <row r="127" spans="1:45" ht="15" customHeight="1" x14ac:dyDescent="0.25">
      <c r="A127" s="116" t="s">
        <v>807</v>
      </c>
      <c r="B127" s="112" t="s">
        <v>945</v>
      </c>
      <c r="C127" s="101">
        <v>52062</v>
      </c>
      <c r="D127" s="102" t="s">
        <v>818</v>
      </c>
      <c r="E127" s="103" t="s">
        <v>46</v>
      </c>
      <c r="F127" s="103" t="s">
        <v>412</v>
      </c>
      <c r="G127" s="103" t="s">
        <v>953</v>
      </c>
      <c r="H127" s="103" t="s">
        <v>433</v>
      </c>
      <c r="I127" s="104">
        <v>43110</v>
      </c>
      <c r="J127" s="104">
        <v>43110</v>
      </c>
      <c r="K127" s="105">
        <v>2322</v>
      </c>
      <c r="M127"/>
      <c r="N127" s="95"/>
      <c r="O127" s="95"/>
      <c r="P127" s="95"/>
      <c r="Q127" s="112" t="s">
        <v>943</v>
      </c>
      <c r="R127" s="132">
        <f t="shared" si="29"/>
        <v>2</v>
      </c>
      <c r="S127" s="136">
        <f t="shared" si="30"/>
        <v>2.8208744710860366E-3</v>
      </c>
      <c r="U127" s="95"/>
      <c r="V127" s="95"/>
      <c r="W127" s="95"/>
      <c r="X127" s="95"/>
      <c r="Y127" s="95"/>
      <c r="Z127" s="95"/>
      <c r="AA127" s="95"/>
      <c r="AB127" s="95"/>
      <c r="AC127" s="95"/>
      <c r="AF127" s="95"/>
      <c r="AG127" s="95"/>
      <c r="AH127" s="95"/>
      <c r="AI127" s="95"/>
      <c r="AJ127" s="95"/>
      <c r="AK127" s="95"/>
      <c r="AL127" s="95"/>
      <c r="AM127" s="95"/>
      <c r="AN127" s="95"/>
      <c r="AO127" s="95"/>
      <c r="AP127" s="95"/>
      <c r="AQ127" s="95"/>
      <c r="AR127" s="95"/>
      <c r="AS127" s="95"/>
    </row>
    <row r="128" spans="1:45" ht="15" customHeight="1" x14ac:dyDescent="0.25">
      <c r="A128" s="116" t="s">
        <v>807</v>
      </c>
      <c r="B128" s="112" t="s">
        <v>945</v>
      </c>
      <c r="C128" s="101">
        <v>57822</v>
      </c>
      <c r="D128" s="102" t="s">
        <v>819</v>
      </c>
      <c r="E128" s="103" t="s">
        <v>46</v>
      </c>
      <c r="F128" s="103" t="s">
        <v>412</v>
      </c>
      <c r="G128" s="103" t="s">
        <v>953</v>
      </c>
      <c r="H128" s="103" t="s">
        <v>433</v>
      </c>
      <c r="I128" s="104">
        <v>43784</v>
      </c>
      <c r="J128" s="104">
        <v>43773</v>
      </c>
      <c r="K128" s="105">
        <v>1800</v>
      </c>
      <c r="M128"/>
      <c r="N128" s="95"/>
      <c r="O128" s="95"/>
      <c r="P128" s="95"/>
      <c r="S128" s="95"/>
      <c r="T128" s="95"/>
      <c r="U128" s="95"/>
      <c r="V128" s="95"/>
      <c r="W128" s="95"/>
      <c r="X128" s="95"/>
      <c r="Y128" s="95"/>
      <c r="Z128" s="95"/>
      <c r="AA128" s="95"/>
      <c r="AB128" s="95"/>
      <c r="AC128" s="95"/>
      <c r="AG128"/>
      <c r="AK128"/>
    </row>
    <row r="129" spans="1:37" ht="15" customHeight="1" x14ac:dyDescent="0.25">
      <c r="A129" s="116" t="s">
        <v>807</v>
      </c>
      <c r="B129" s="112" t="s">
        <v>945</v>
      </c>
      <c r="C129" s="101">
        <v>65273</v>
      </c>
      <c r="D129" s="102" t="s">
        <v>820</v>
      </c>
      <c r="E129" s="103" t="s">
        <v>821</v>
      </c>
      <c r="F129" s="103" t="s">
        <v>412</v>
      </c>
      <c r="G129" s="103" t="s">
        <v>954</v>
      </c>
      <c r="H129" s="103" t="s">
        <v>437</v>
      </c>
      <c r="I129" s="104">
        <v>45287</v>
      </c>
      <c r="J129" s="104">
        <v>45279</v>
      </c>
      <c r="K129" s="105">
        <v>352800.04</v>
      </c>
      <c r="M129"/>
      <c r="N129" s="95"/>
      <c r="O129" s="95"/>
      <c r="P129" s="95"/>
      <c r="Q129" s="123" t="s">
        <v>942</v>
      </c>
      <c r="R129" s="134">
        <f>SUM(R111:R127)</f>
        <v>709</v>
      </c>
      <c r="V129" s="95"/>
      <c r="W129" s="95"/>
      <c r="X129" s="95"/>
      <c r="Y129" s="95"/>
      <c r="Z129" s="95"/>
      <c r="AA129" s="95"/>
      <c r="AB129" s="95"/>
      <c r="AC129" s="95"/>
      <c r="AG129"/>
      <c r="AK129"/>
    </row>
    <row r="130" spans="1:37" ht="15" customHeight="1" x14ac:dyDescent="0.25">
      <c r="A130" s="116" t="s">
        <v>807</v>
      </c>
      <c r="B130" s="112" t="s">
        <v>945</v>
      </c>
      <c r="C130" s="101">
        <v>62752</v>
      </c>
      <c r="D130" s="102" t="s">
        <v>822</v>
      </c>
      <c r="E130" s="103" t="s">
        <v>821</v>
      </c>
      <c r="F130" s="103" t="s">
        <v>412</v>
      </c>
      <c r="G130" s="103" t="s">
        <v>954</v>
      </c>
      <c r="H130" s="103" t="s">
        <v>437</v>
      </c>
      <c r="I130" s="104">
        <v>44862</v>
      </c>
      <c r="J130" s="104">
        <v>44862</v>
      </c>
      <c r="K130" s="105">
        <v>405720</v>
      </c>
      <c r="M130"/>
      <c r="N130" s="95"/>
      <c r="O130" s="95"/>
      <c r="P130" s="95"/>
      <c r="V130" s="95"/>
      <c r="W130" s="95"/>
      <c r="X130" s="95"/>
      <c r="Y130" s="95"/>
      <c r="Z130" s="95"/>
      <c r="AA130" s="95"/>
      <c r="AB130" s="95"/>
      <c r="AC130" s="95"/>
      <c r="AG130"/>
      <c r="AK130"/>
    </row>
    <row r="131" spans="1:37" ht="15" customHeight="1" x14ac:dyDescent="0.25">
      <c r="A131" s="116" t="s">
        <v>807</v>
      </c>
      <c r="B131" s="112" t="s">
        <v>945</v>
      </c>
      <c r="C131" s="101">
        <v>63723</v>
      </c>
      <c r="D131" s="102" t="s">
        <v>823</v>
      </c>
      <c r="E131" s="103" t="s">
        <v>451</v>
      </c>
      <c r="F131" s="103" t="s">
        <v>397</v>
      </c>
      <c r="G131" s="103" t="s">
        <v>954</v>
      </c>
      <c r="H131" s="103" t="s">
        <v>437</v>
      </c>
      <c r="I131" s="104">
        <v>45379</v>
      </c>
      <c r="J131" s="103"/>
      <c r="K131" s="105">
        <v>44000</v>
      </c>
      <c r="M131"/>
      <c r="N131" s="95"/>
      <c r="O131" s="95"/>
      <c r="P131" s="95"/>
      <c r="V131" s="95"/>
      <c r="W131" s="95"/>
      <c r="X131" s="95"/>
      <c r="Y131" s="95"/>
      <c r="Z131" s="95"/>
      <c r="AA131" s="95"/>
      <c r="AB131" s="95"/>
      <c r="AC131" s="95"/>
      <c r="AG131"/>
      <c r="AK131"/>
    </row>
    <row r="132" spans="1:37" ht="15" customHeight="1" x14ac:dyDescent="0.25">
      <c r="A132" s="116" t="s">
        <v>807</v>
      </c>
      <c r="B132" s="112" t="s">
        <v>945</v>
      </c>
      <c r="C132" s="101">
        <v>56482</v>
      </c>
      <c r="D132" s="102" t="s">
        <v>824</v>
      </c>
      <c r="E132" s="103" t="s">
        <v>46</v>
      </c>
      <c r="F132" s="103" t="s">
        <v>397</v>
      </c>
      <c r="G132" s="103" t="s">
        <v>427</v>
      </c>
      <c r="H132" s="103" t="s">
        <v>437</v>
      </c>
      <c r="I132" s="104">
        <v>43585</v>
      </c>
      <c r="J132" s="103"/>
      <c r="K132" s="105">
        <v>59200.69</v>
      </c>
      <c r="M132"/>
      <c r="N132" s="95"/>
      <c r="O132" s="95"/>
      <c r="P132" s="95"/>
      <c r="Q132" s="158" t="s">
        <v>1489</v>
      </c>
      <c r="T132" s="112" t="s">
        <v>1487</v>
      </c>
      <c r="U132" s="112" t="s">
        <v>1488</v>
      </c>
      <c r="V132" s="95"/>
      <c r="W132" s="95"/>
      <c r="X132" s="95"/>
      <c r="Y132" s="95"/>
      <c r="Z132" s="95"/>
      <c r="AA132" s="95"/>
      <c r="AB132" s="95"/>
      <c r="AC132" s="95"/>
      <c r="AG132"/>
      <c r="AK132"/>
    </row>
    <row r="133" spans="1:37" ht="15" customHeight="1" x14ac:dyDescent="0.25">
      <c r="A133" s="116" t="s">
        <v>807</v>
      </c>
      <c r="B133" s="112" t="s">
        <v>945</v>
      </c>
      <c r="C133" s="101">
        <v>53539</v>
      </c>
      <c r="D133" s="102" t="s">
        <v>825</v>
      </c>
      <c r="E133" s="103" t="s">
        <v>46</v>
      </c>
      <c r="F133" s="103" t="s">
        <v>412</v>
      </c>
      <c r="G133" s="103" t="s">
        <v>954</v>
      </c>
      <c r="H133" s="103" t="s">
        <v>437</v>
      </c>
      <c r="I133" s="104">
        <v>43069</v>
      </c>
      <c r="J133" s="104">
        <v>43069</v>
      </c>
      <c r="K133" s="105">
        <v>15000.3</v>
      </c>
      <c r="M133"/>
      <c r="N133" s="95"/>
      <c r="O133" s="95"/>
      <c r="P133" s="95"/>
      <c r="Q133" s="112" t="s">
        <v>196</v>
      </c>
      <c r="T133" s="112">
        <v>17</v>
      </c>
      <c r="U133" s="112">
        <v>19</v>
      </c>
      <c r="V133" s="95"/>
      <c r="W133" s="95"/>
      <c r="X133" s="95"/>
      <c r="Y133" s="95"/>
      <c r="Z133" s="95"/>
      <c r="AA133" s="95"/>
      <c r="AB133" s="95"/>
      <c r="AC133" s="95"/>
      <c r="AG133"/>
      <c r="AK133"/>
    </row>
    <row r="134" spans="1:37" ht="15" customHeight="1" x14ac:dyDescent="0.25">
      <c r="A134" s="116" t="s">
        <v>807</v>
      </c>
      <c r="B134" s="112" t="s">
        <v>945</v>
      </c>
      <c r="C134" s="101">
        <v>64522</v>
      </c>
      <c r="D134" s="102" t="s">
        <v>826</v>
      </c>
      <c r="E134" s="103" t="s">
        <v>46</v>
      </c>
      <c r="F134" s="103" t="s">
        <v>412</v>
      </c>
      <c r="G134" s="103" t="s">
        <v>954</v>
      </c>
      <c r="H134" s="103" t="s">
        <v>437</v>
      </c>
      <c r="I134" s="104">
        <v>45155</v>
      </c>
      <c r="J134" s="104">
        <v>45155</v>
      </c>
      <c r="K134" s="105">
        <v>92000</v>
      </c>
      <c r="M134"/>
      <c r="N134" s="95"/>
      <c r="O134" s="95"/>
      <c r="P134" s="95"/>
      <c r="Q134" s="112" t="s">
        <v>468</v>
      </c>
      <c r="T134" s="112">
        <v>7</v>
      </c>
      <c r="U134" s="112">
        <v>7</v>
      </c>
      <c r="V134" s="95"/>
      <c r="W134" s="95"/>
      <c r="X134" s="95"/>
      <c r="Y134" s="95"/>
      <c r="Z134" s="95"/>
      <c r="AA134" s="95"/>
      <c r="AB134" s="95"/>
      <c r="AC134" s="95"/>
      <c r="AG134"/>
      <c r="AK134"/>
    </row>
    <row r="135" spans="1:37" ht="15" customHeight="1" x14ac:dyDescent="0.25">
      <c r="A135" s="116" t="s">
        <v>807</v>
      </c>
      <c r="B135" s="112" t="s">
        <v>945</v>
      </c>
      <c r="C135" s="101">
        <v>59999</v>
      </c>
      <c r="D135" s="102" t="s">
        <v>827</v>
      </c>
      <c r="E135" s="103" t="s">
        <v>67</v>
      </c>
      <c r="F135" s="103" t="s">
        <v>397</v>
      </c>
      <c r="G135" s="103" t="s">
        <v>954</v>
      </c>
      <c r="H135" s="103" t="s">
        <v>437</v>
      </c>
      <c r="I135" s="103"/>
      <c r="J135" s="103"/>
      <c r="K135" s="105">
        <v>97969.42</v>
      </c>
      <c r="M135"/>
      <c r="N135" s="94"/>
      <c r="O135" s="95"/>
      <c r="P135" s="95"/>
      <c r="Q135" s="112" t="s">
        <v>240</v>
      </c>
      <c r="T135" s="112">
        <v>23</v>
      </c>
      <c r="U135" s="112">
        <v>33</v>
      </c>
      <c r="V135" s="95"/>
      <c r="W135" s="95"/>
      <c r="X135" s="95"/>
      <c r="Y135" s="95"/>
      <c r="Z135" s="95"/>
      <c r="AA135" s="95"/>
      <c r="AB135" s="95"/>
      <c r="AC135" s="95"/>
      <c r="AG135"/>
      <c r="AK135"/>
    </row>
    <row r="136" spans="1:37" ht="15" customHeight="1" x14ac:dyDescent="0.25">
      <c r="A136" s="116" t="s">
        <v>807</v>
      </c>
      <c r="B136" s="112" t="s">
        <v>945</v>
      </c>
      <c r="C136" s="101">
        <v>57165</v>
      </c>
      <c r="D136" s="102" t="s">
        <v>828</v>
      </c>
      <c r="E136" s="103" t="s">
        <v>60</v>
      </c>
      <c r="F136" s="103" t="s">
        <v>397</v>
      </c>
      <c r="G136" s="103" t="s">
        <v>425</v>
      </c>
      <c r="H136" s="103" t="s">
        <v>437</v>
      </c>
      <c r="I136" s="104">
        <v>43683</v>
      </c>
      <c r="J136" s="103"/>
      <c r="K136" s="105">
        <v>59200.13</v>
      </c>
      <c r="M136"/>
      <c r="N136" s="95"/>
      <c r="O136" s="95"/>
      <c r="P136" s="95"/>
      <c r="Q136" s="112" t="s">
        <v>288</v>
      </c>
      <c r="T136" s="112">
        <v>11</v>
      </c>
      <c r="U136" s="112">
        <v>14</v>
      </c>
      <c r="V136" s="95"/>
      <c r="W136" s="95"/>
      <c r="X136" s="95"/>
      <c r="Y136" s="95"/>
      <c r="Z136" s="95"/>
      <c r="AA136" s="95"/>
      <c r="AB136" s="95"/>
      <c r="AC136" s="95"/>
      <c r="AG136"/>
      <c r="AK136"/>
    </row>
    <row r="137" spans="1:37" ht="15" customHeight="1" x14ac:dyDescent="0.25">
      <c r="A137" s="116" t="s">
        <v>687</v>
      </c>
      <c r="B137" s="112" t="s">
        <v>688</v>
      </c>
      <c r="C137" s="101">
        <v>63645</v>
      </c>
      <c r="D137" s="102" t="s">
        <v>829</v>
      </c>
      <c r="E137" s="103" t="s">
        <v>830</v>
      </c>
      <c r="F137" s="103" t="s">
        <v>397</v>
      </c>
      <c r="G137" s="103" t="s">
        <v>417</v>
      </c>
      <c r="H137" s="103" t="s">
        <v>414</v>
      </c>
      <c r="I137" s="104">
        <v>45291</v>
      </c>
      <c r="J137" s="103"/>
      <c r="K137" s="105">
        <v>0</v>
      </c>
      <c r="M137"/>
      <c r="N137" s="95"/>
      <c r="O137" s="95"/>
      <c r="P137" s="95"/>
      <c r="Q137" s="112" t="s">
        <v>309</v>
      </c>
      <c r="T137" s="112">
        <v>19</v>
      </c>
      <c r="U137" s="112">
        <v>20</v>
      </c>
      <c r="V137" s="95"/>
      <c r="W137" s="95"/>
      <c r="X137" s="95"/>
      <c r="Y137" s="95"/>
      <c r="Z137" s="95"/>
      <c r="AA137" s="95"/>
      <c r="AB137" s="95"/>
      <c r="AC137" s="95"/>
      <c r="AG137"/>
      <c r="AK137"/>
    </row>
    <row r="138" spans="1:37" ht="15" customHeight="1" x14ac:dyDescent="0.25">
      <c r="A138" s="116" t="s">
        <v>687</v>
      </c>
      <c r="B138" s="112" t="s">
        <v>688</v>
      </c>
      <c r="C138" s="101">
        <v>64360</v>
      </c>
      <c r="D138" s="102" t="s">
        <v>831</v>
      </c>
      <c r="E138" s="103" t="s">
        <v>579</v>
      </c>
      <c r="F138" s="103" t="s">
        <v>398</v>
      </c>
      <c r="G138" s="103" t="s">
        <v>447</v>
      </c>
      <c r="H138" s="103" t="s">
        <v>437</v>
      </c>
      <c r="I138" s="104">
        <v>45471</v>
      </c>
      <c r="J138" s="103"/>
      <c r="K138" s="105">
        <v>108590.76</v>
      </c>
      <c r="M138"/>
      <c r="N138" s="95"/>
      <c r="O138" s="95"/>
      <c r="P138" s="95"/>
      <c r="Q138" s="112" t="s">
        <v>146</v>
      </c>
      <c r="T138" s="112">
        <v>12</v>
      </c>
      <c r="U138" s="112">
        <v>11</v>
      </c>
      <c r="V138" s="95"/>
      <c r="W138" s="95"/>
      <c r="X138" s="95"/>
      <c r="Y138" s="95"/>
      <c r="Z138" s="95"/>
      <c r="AA138" s="95"/>
      <c r="AB138" s="95"/>
      <c r="AC138" s="95"/>
      <c r="AG138"/>
      <c r="AK138"/>
    </row>
    <row r="139" spans="1:37" ht="15" customHeight="1" x14ac:dyDescent="0.25">
      <c r="A139" s="116" t="s">
        <v>687</v>
      </c>
      <c r="B139" s="112" t="s">
        <v>688</v>
      </c>
      <c r="C139" s="101">
        <v>60970</v>
      </c>
      <c r="D139" s="102" t="s">
        <v>832</v>
      </c>
      <c r="E139" s="103" t="s">
        <v>833</v>
      </c>
      <c r="F139" s="103" t="s">
        <v>397</v>
      </c>
      <c r="G139" s="103" t="s">
        <v>447</v>
      </c>
      <c r="H139" s="103" t="s">
        <v>437</v>
      </c>
      <c r="I139" s="104">
        <v>44620</v>
      </c>
      <c r="J139" s="103"/>
      <c r="K139" s="105">
        <v>188035.20000000001</v>
      </c>
      <c r="M139"/>
      <c r="N139" s="94"/>
      <c r="O139" s="95"/>
      <c r="P139" s="95"/>
      <c r="Q139" s="112" t="s">
        <v>174</v>
      </c>
      <c r="T139" s="112">
        <v>12</v>
      </c>
      <c r="U139" s="112">
        <v>12</v>
      </c>
      <c r="V139" s="95"/>
      <c r="W139" s="95"/>
      <c r="X139" s="95"/>
      <c r="Y139" s="95"/>
      <c r="Z139" s="95"/>
      <c r="AA139" s="95"/>
      <c r="AB139" s="95"/>
      <c r="AC139" s="95"/>
      <c r="AG139"/>
      <c r="AK139"/>
    </row>
    <row r="140" spans="1:37" ht="15" customHeight="1" x14ac:dyDescent="0.25">
      <c r="A140" s="116" t="s">
        <v>687</v>
      </c>
      <c r="B140" s="112" t="s">
        <v>688</v>
      </c>
      <c r="C140" s="101">
        <v>65250</v>
      </c>
      <c r="D140" s="102" t="s">
        <v>834</v>
      </c>
      <c r="E140" s="103" t="s">
        <v>46</v>
      </c>
      <c r="F140" s="103" t="s">
        <v>412</v>
      </c>
      <c r="G140" s="103" t="s">
        <v>954</v>
      </c>
      <c r="H140" s="103" t="s">
        <v>437</v>
      </c>
      <c r="I140" s="104">
        <v>45336</v>
      </c>
      <c r="J140" s="104">
        <v>45336</v>
      </c>
      <c r="K140" s="105">
        <v>501120</v>
      </c>
      <c r="M140"/>
      <c r="N140" s="95"/>
      <c r="O140" s="95"/>
      <c r="P140" s="95"/>
      <c r="Q140" s="112" t="s">
        <v>807</v>
      </c>
      <c r="T140" s="112">
        <v>9</v>
      </c>
      <c r="U140" s="112">
        <v>9</v>
      </c>
      <c r="V140" s="95"/>
      <c r="W140" s="95"/>
      <c r="X140" s="95"/>
      <c r="Y140" s="95"/>
      <c r="Z140" s="95"/>
      <c r="AA140" s="95"/>
      <c r="AB140" s="95"/>
      <c r="AC140" s="95"/>
      <c r="AG140"/>
      <c r="AK140"/>
    </row>
    <row r="141" spans="1:37" ht="15" customHeight="1" x14ac:dyDescent="0.25">
      <c r="A141" s="116" t="s">
        <v>687</v>
      </c>
      <c r="B141" s="112" t="s">
        <v>688</v>
      </c>
      <c r="C141" s="101">
        <v>64404</v>
      </c>
      <c r="D141" s="102" t="s">
        <v>835</v>
      </c>
      <c r="E141" s="103" t="s">
        <v>46</v>
      </c>
      <c r="F141" s="103" t="s">
        <v>446</v>
      </c>
      <c r="G141" s="103" t="s">
        <v>954</v>
      </c>
      <c r="H141" s="103" t="s">
        <v>437</v>
      </c>
      <c r="I141" s="104">
        <v>45289</v>
      </c>
      <c r="J141" s="103"/>
      <c r="K141" s="105">
        <v>66000</v>
      </c>
      <c r="M141"/>
      <c r="N141" s="95"/>
      <c r="O141" s="95"/>
      <c r="P141" s="95"/>
      <c r="Q141" s="112" t="s">
        <v>687</v>
      </c>
      <c r="T141" s="112">
        <v>19</v>
      </c>
      <c r="U141" s="112">
        <v>12</v>
      </c>
      <c r="V141" s="95"/>
      <c r="W141" s="95"/>
      <c r="X141" s="95"/>
      <c r="Y141" s="95"/>
      <c r="Z141" s="95"/>
      <c r="AA141" s="95"/>
      <c r="AB141" s="95"/>
      <c r="AC141" s="95"/>
      <c r="AG141"/>
      <c r="AK141"/>
    </row>
    <row r="142" spans="1:37" ht="15" customHeight="1" x14ac:dyDescent="0.25">
      <c r="A142" s="116" t="s">
        <v>687</v>
      </c>
      <c r="B142" s="112" t="s">
        <v>688</v>
      </c>
      <c r="C142" s="101">
        <v>64994</v>
      </c>
      <c r="D142" s="102" t="s">
        <v>836</v>
      </c>
      <c r="E142" s="103" t="s">
        <v>837</v>
      </c>
      <c r="F142" s="103" t="s">
        <v>397</v>
      </c>
      <c r="G142" s="103" t="s">
        <v>954</v>
      </c>
      <c r="H142" s="103" t="s">
        <v>437</v>
      </c>
      <c r="I142" s="104">
        <v>45380</v>
      </c>
      <c r="J142" s="103"/>
      <c r="K142" s="105">
        <v>150696</v>
      </c>
      <c r="M142"/>
      <c r="N142" s="95"/>
      <c r="O142" s="95"/>
      <c r="P142" s="95"/>
      <c r="Q142" s="112" t="s">
        <v>721</v>
      </c>
      <c r="T142" s="112">
        <v>27</v>
      </c>
      <c r="U142" s="112">
        <v>26</v>
      </c>
      <c r="V142" s="95"/>
      <c r="W142" s="95"/>
      <c r="X142" s="95"/>
      <c r="Y142" s="95"/>
      <c r="Z142" s="95"/>
      <c r="AA142" s="95"/>
      <c r="AB142" s="95"/>
      <c r="AC142" s="95"/>
      <c r="AG142"/>
      <c r="AK142"/>
    </row>
    <row r="143" spans="1:37" ht="15" customHeight="1" x14ac:dyDescent="0.25">
      <c r="A143" s="116" t="s">
        <v>687</v>
      </c>
      <c r="B143" s="112" t="s">
        <v>688</v>
      </c>
      <c r="C143" s="101">
        <v>64026</v>
      </c>
      <c r="D143" s="102" t="s">
        <v>838</v>
      </c>
      <c r="E143" s="103" t="s">
        <v>46</v>
      </c>
      <c r="F143" s="103" t="s">
        <v>412</v>
      </c>
      <c r="G143" s="103" t="s">
        <v>954</v>
      </c>
      <c r="H143" s="103" t="s">
        <v>437</v>
      </c>
      <c r="I143" s="104">
        <v>45107</v>
      </c>
      <c r="J143" s="104">
        <v>45090</v>
      </c>
      <c r="K143" s="105">
        <v>219828.16</v>
      </c>
      <c r="M143"/>
      <c r="N143" s="95"/>
      <c r="O143" s="95"/>
      <c r="P143" s="95"/>
      <c r="Q143" s="112" t="s">
        <v>755</v>
      </c>
      <c r="T143" s="112">
        <v>18</v>
      </c>
      <c r="U143" s="112">
        <v>18</v>
      </c>
      <c r="V143" s="95"/>
      <c r="W143" s="95"/>
      <c r="X143" s="95"/>
      <c r="Y143" s="95"/>
      <c r="Z143" s="95"/>
      <c r="AA143" s="95"/>
      <c r="AB143" s="95"/>
      <c r="AC143" s="95"/>
      <c r="AG143"/>
      <c r="AK143"/>
    </row>
    <row r="144" spans="1:37" ht="15" customHeight="1" x14ac:dyDescent="0.25">
      <c r="A144" s="116" t="s">
        <v>687</v>
      </c>
      <c r="B144" s="112" t="s">
        <v>688</v>
      </c>
      <c r="C144" s="101">
        <v>65467</v>
      </c>
      <c r="D144" s="102" t="s">
        <v>839</v>
      </c>
      <c r="E144" s="103" t="s">
        <v>821</v>
      </c>
      <c r="F144" s="103" t="s">
        <v>400</v>
      </c>
      <c r="G144" s="103" t="s">
        <v>954</v>
      </c>
      <c r="H144" s="103" t="s">
        <v>437</v>
      </c>
      <c r="I144" s="104">
        <v>45443</v>
      </c>
      <c r="J144" s="103"/>
      <c r="K144" s="105">
        <v>31200</v>
      </c>
      <c r="M144"/>
      <c r="N144" s="95"/>
      <c r="O144" s="95"/>
      <c r="P144" s="95"/>
      <c r="Q144" s="112" t="s">
        <v>548</v>
      </c>
      <c r="T144" s="112">
        <v>24</v>
      </c>
      <c r="U144" s="112">
        <v>23</v>
      </c>
      <c r="V144" s="95"/>
      <c r="W144" s="95"/>
      <c r="X144" s="95"/>
      <c r="Y144" s="95"/>
      <c r="Z144" s="95"/>
      <c r="AA144" s="95"/>
      <c r="AB144" s="95"/>
      <c r="AC144" s="95"/>
      <c r="AG144"/>
      <c r="AK144"/>
    </row>
    <row r="145" spans="1:37" ht="15" customHeight="1" x14ac:dyDescent="0.25">
      <c r="A145" s="116" t="s">
        <v>687</v>
      </c>
      <c r="B145" s="112" t="s">
        <v>688</v>
      </c>
      <c r="C145" s="101">
        <v>60240</v>
      </c>
      <c r="D145" s="102" t="s">
        <v>840</v>
      </c>
      <c r="E145" s="103" t="s">
        <v>830</v>
      </c>
      <c r="F145" s="103" t="s">
        <v>412</v>
      </c>
      <c r="G145" s="103" t="s">
        <v>447</v>
      </c>
      <c r="H145" s="103" t="s">
        <v>437</v>
      </c>
      <c r="I145" s="104">
        <v>44377</v>
      </c>
      <c r="J145" s="104">
        <v>44364</v>
      </c>
      <c r="K145" s="105">
        <v>283608.65000000002</v>
      </c>
      <c r="M145"/>
      <c r="N145" s="95"/>
      <c r="O145" s="95"/>
      <c r="P145" s="95"/>
      <c r="Q145" s="112" t="s">
        <v>576</v>
      </c>
      <c r="T145" s="112">
        <v>11</v>
      </c>
      <c r="U145" s="112">
        <v>11</v>
      </c>
      <c r="V145" s="95"/>
      <c r="W145" s="95"/>
      <c r="X145" s="95"/>
      <c r="Y145" s="95"/>
      <c r="Z145" s="95"/>
      <c r="AA145" s="95"/>
      <c r="AB145" s="95"/>
      <c r="AC145" s="95"/>
      <c r="AG145"/>
      <c r="AK145"/>
    </row>
    <row r="146" spans="1:37" ht="15" customHeight="1" x14ac:dyDescent="0.25">
      <c r="A146" s="116" t="s">
        <v>687</v>
      </c>
      <c r="B146" s="112" t="s">
        <v>688</v>
      </c>
      <c r="C146" s="101">
        <v>64180</v>
      </c>
      <c r="D146" s="102" t="s">
        <v>841</v>
      </c>
      <c r="E146" s="103" t="s">
        <v>68</v>
      </c>
      <c r="F146" s="103" t="s">
        <v>397</v>
      </c>
      <c r="G146" s="103" t="s">
        <v>422</v>
      </c>
      <c r="H146" s="103" t="s">
        <v>437</v>
      </c>
      <c r="I146" s="104">
        <v>45229</v>
      </c>
      <c r="J146" s="103"/>
      <c r="K146" s="105">
        <v>0</v>
      </c>
      <c r="M146"/>
      <c r="N146" s="95"/>
      <c r="O146" s="95"/>
      <c r="P146" s="95"/>
      <c r="Q146" s="112" t="s">
        <v>930</v>
      </c>
      <c r="T146" s="112">
        <v>0</v>
      </c>
      <c r="U146" s="112">
        <v>0</v>
      </c>
      <c r="V146" s="95"/>
      <c r="W146" s="95"/>
      <c r="X146" s="95"/>
      <c r="Y146" s="95"/>
      <c r="Z146" s="95"/>
      <c r="AA146" s="95"/>
      <c r="AB146" s="95"/>
      <c r="AC146" s="95"/>
      <c r="AG146"/>
      <c r="AK146"/>
    </row>
    <row r="147" spans="1:37" ht="15" customHeight="1" x14ac:dyDescent="0.25">
      <c r="A147" s="116" t="s">
        <v>687</v>
      </c>
      <c r="B147" s="112" t="s">
        <v>688</v>
      </c>
      <c r="C147" s="101">
        <v>64303</v>
      </c>
      <c r="D147" s="102" t="s">
        <v>842</v>
      </c>
      <c r="E147" s="103" t="s">
        <v>451</v>
      </c>
      <c r="F147" s="103" t="s">
        <v>398</v>
      </c>
      <c r="G147" s="103" t="s">
        <v>954</v>
      </c>
      <c r="H147" s="103" t="s">
        <v>437</v>
      </c>
      <c r="I147" s="104">
        <v>45412</v>
      </c>
      <c r="J147" s="103"/>
      <c r="K147" s="105">
        <v>58291.199999999997</v>
      </c>
      <c r="M147"/>
      <c r="N147" s="94"/>
      <c r="O147" s="95"/>
      <c r="P147" s="95"/>
      <c r="Q147" s="112" t="s">
        <v>610</v>
      </c>
      <c r="T147" s="112">
        <v>37</v>
      </c>
      <c r="U147" s="112">
        <v>37</v>
      </c>
      <c r="V147" s="95"/>
      <c r="W147" s="95"/>
      <c r="X147" s="95"/>
      <c r="Y147" s="95"/>
      <c r="Z147" s="95"/>
      <c r="AA147" s="95"/>
      <c r="AB147" s="95"/>
      <c r="AC147" s="95"/>
      <c r="AG147"/>
      <c r="AK147"/>
    </row>
    <row r="148" spans="1:37" ht="15" customHeight="1" x14ac:dyDescent="0.25">
      <c r="A148" s="116" t="s">
        <v>687</v>
      </c>
      <c r="B148" s="112" t="s">
        <v>688</v>
      </c>
      <c r="C148" s="101">
        <v>60701</v>
      </c>
      <c r="D148" s="102" t="s">
        <v>843</v>
      </c>
      <c r="E148" s="103" t="s">
        <v>67</v>
      </c>
      <c r="F148" s="103" t="s">
        <v>397</v>
      </c>
      <c r="G148" s="103" t="s">
        <v>954</v>
      </c>
      <c r="H148" s="103" t="s">
        <v>437</v>
      </c>
      <c r="I148" s="103"/>
      <c r="J148" s="103"/>
      <c r="K148" s="105">
        <v>141120</v>
      </c>
      <c r="M148"/>
      <c r="N148" s="95"/>
      <c r="O148" s="95"/>
      <c r="P148" s="95"/>
      <c r="Q148" s="112" t="s">
        <v>349</v>
      </c>
      <c r="T148" s="112">
        <v>10</v>
      </c>
      <c r="U148" s="112">
        <v>10</v>
      </c>
      <c r="V148" s="95"/>
      <c r="W148" s="95"/>
      <c r="X148" s="95"/>
      <c r="Y148" s="95"/>
      <c r="Z148" s="95"/>
      <c r="AA148" s="95"/>
      <c r="AB148" s="95"/>
      <c r="AC148" s="95"/>
      <c r="AG148"/>
      <c r="AK148"/>
    </row>
    <row r="149" spans="1:37" ht="15" customHeight="1" x14ac:dyDescent="0.25">
      <c r="A149" s="116" t="s">
        <v>721</v>
      </c>
      <c r="B149" s="112" t="s">
        <v>946</v>
      </c>
      <c r="C149" s="101">
        <v>58308</v>
      </c>
      <c r="D149" s="102" t="s">
        <v>844</v>
      </c>
      <c r="E149" s="103" t="s">
        <v>46</v>
      </c>
      <c r="F149" s="103" t="s">
        <v>412</v>
      </c>
      <c r="G149" s="103" t="s">
        <v>413</v>
      </c>
      <c r="H149" s="103" t="s">
        <v>414</v>
      </c>
      <c r="I149" s="104">
        <v>43866</v>
      </c>
      <c r="J149" s="104">
        <v>43866</v>
      </c>
      <c r="K149" s="105">
        <v>220000.01</v>
      </c>
      <c r="M149"/>
      <c r="N149" s="94"/>
      <c r="O149" s="95"/>
      <c r="P149" s="95"/>
      <c r="Q149" s="112" t="s">
        <v>959</v>
      </c>
      <c r="T149" s="112">
        <v>18</v>
      </c>
      <c r="U149" s="112">
        <v>18</v>
      </c>
      <c r="V149" s="95"/>
      <c r="W149" s="95"/>
      <c r="X149" s="95"/>
      <c r="Y149" s="95"/>
      <c r="Z149" s="95"/>
      <c r="AA149" s="95"/>
      <c r="AB149" s="95"/>
      <c r="AC149" s="95"/>
      <c r="AG149"/>
      <c r="AK149"/>
    </row>
    <row r="150" spans="1:37" ht="15" customHeight="1" x14ac:dyDescent="0.25">
      <c r="A150" s="116" t="s">
        <v>721</v>
      </c>
      <c r="B150" s="112" t="s">
        <v>946</v>
      </c>
      <c r="C150" s="101">
        <v>62460</v>
      </c>
      <c r="D150" s="102" t="s">
        <v>845</v>
      </c>
      <c r="E150" s="103" t="s">
        <v>46</v>
      </c>
      <c r="F150" s="103" t="s">
        <v>401</v>
      </c>
      <c r="G150" s="103" t="s">
        <v>417</v>
      </c>
      <c r="H150" s="103" t="s">
        <v>414</v>
      </c>
      <c r="I150" s="104">
        <v>45746</v>
      </c>
      <c r="J150" s="103"/>
      <c r="K150" s="105">
        <v>231001.15</v>
      </c>
      <c r="M150"/>
      <c r="N150" s="95"/>
      <c r="O150" s="95"/>
      <c r="P150" s="95"/>
      <c r="Q150" s="112" t="s">
        <v>974</v>
      </c>
      <c r="T150" s="112">
        <v>13</v>
      </c>
      <c r="U150" s="112">
        <v>13</v>
      </c>
      <c r="V150" s="95"/>
      <c r="W150" s="95"/>
      <c r="X150" s="95"/>
      <c r="Y150" s="95"/>
      <c r="Z150" s="95"/>
      <c r="AA150" s="95"/>
      <c r="AB150" s="95"/>
      <c r="AC150" s="95"/>
      <c r="AG150"/>
      <c r="AK150"/>
    </row>
    <row r="151" spans="1:37" ht="15" customHeight="1" x14ac:dyDescent="0.25">
      <c r="A151" s="116" t="s">
        <v>721</v>
      </c>
      <c r="B151" s="112" t="s">
        <v>946</v>
      </c>
      <c r="C151" s="101">
        <v>65079</v>
      </c>
      <c r="D151" s="102" t="s">
        <v>846</v>
      </c>
      <c r="E151" s="103" t="s">
        <v>46</v>
      </c>
      <c r="F151" s="103" t="s">
        <v>440</v>
      </c>
      <c r="G151" s="103" t="s">
        <v>417</v>
      </c>
      <c r="H151" s="103" t="s">
        <v>414</v>
      </c>
      <c r="I151" s="104">
        <v>46314</v>
      </c>
      <c r="J151" s="103"/>
      <c r="K151" s="105">
        <v>513063.1</v>
      </c>
      <c r="M151"/>
      <c r="N151" s="95"/>
      <c r="O151" s="95"/>
      <c r="P151" s="95"/>
      <c r="Q151" s="112" t="s">
        <v>1017</v>
      </c>
      <c r="T151" s="112">
        <v>25</v>
      </c>
      <c r="U151" s="112">
        <v>26</v>
      </c>
      <c r="V151" s="95"/>
      <c r="W151" s="95"/>
      <c r="X151" s="95"/>
      <c r="Y151" s="95"/>
      <c r="Z151" s="95"/>
      <c r="AA151" s="95"/>
      <c r="AB151" s="95"/>
      <c r="AC151" s="95"/>
      <c r="AG151"/>
      <c r="AK151"/>
    </row>
    <row r="152" spans="1:37" ht="15" customHeight="1" x14ac:dyDescent="0.25">
      <c r="A152" s="116" t="s">
        <v>721</v>
      </c>
      <c r="B152" s="112" t="s">
        <v>946</v>
      </c>
      <c r="C152" s="101">
        <v>59578</v>
      </c>
      <c r="D152" s="102" t="s">
        <v>847</v>
      </c>
      <c r="E152" s="103" t="s">
        <v>46</v>
      </c>
      <c r="F152" s="103" t="s">
        <v>412</v>
      </c>
      <c r="G152" s="103" t="s">
        <v>413</v>
      </c>
      <c r="H152" s="103" t="s">
        <v>414</v>
      </c>
      <c r="I152" s="104">
        <v>44255</v>
      </c>
      <c r="J152" s="104">
        <v>44208</v>
      </c>
      <c r="K152" s="105">
        <v>232000.12</v>
      </c>
      <c r="M152"/>
      <c r="N152" s="95"/>
      <c r="O152" s="95"/>
      <c r="P152" s="95"/>
      <c r="Q152" s="112" t="s">
        <v>1055</v>
      </c>
      <c r="T152" s="112">
        <v>32</v>
      </c>
      <c r="U152" s="112">
        <v>32</v>
      </c>
      <c r="V152" s="95"/>
      <c r="W152" s="95"/>
      <c r="X152" s="95"/>
      <c r="Y152" s="95"/>
      <c r="Z152" s="95"/>
      <c r="AA152" s="95"/>
      <c r="AB152" s="95"/>
      <c r="AC152" s="95"/>
      <c r="AG152"/>
      <c r="AK152"/>
    </row>
    <row r="153" spans="1:37" ht="15" customHeight="1" x14ac:dyDescent="0.25">
      <c r="A153" s="116" t="s">
        <v>721</v>
      </c>
      <c r="B153" s="112" t="s">
        <v>946</v>
      </c>
      <c r="C153" s="101">
        <v>56545</v>
      </c>
      <c r="D153" s="102" t="s">
        <v>848</v>
      </c>
      <c r="E153" s="103" t="s">
        <v>46</v>
      </c>
      <c r="F153" s="103" t="s">
        <v>412</v>
      </c>
      <c r="G153" s="103" t="s">
        <v>413</v>
      </c>
      <c r="H153" s="103" t="s">
        <v>414</v>
      </c>
      <c r="I153" s="104">
        <v>43487</v>
      </c>
      <c r="J153" s="104">
        <v>43487</v>
      </c>
      <c r="K153" s="105">
        <v>210000.02</v>
      </c>
      <c r="M153"/>
      <c r="P153" s="95"/>
      <c r="Q153" s="112" t="s">
        <v>1100</v>
      </c>
      <c r="T153" s="112">
        <v>26</v>
      </c>
      <c r="U153" s="112">
        <v>23</v>
      </c>
      <c r="V153" s="95"/>
      <c r="W153" s="95"/>
      <c r="X153" s="95"/>
      <c r="Y153" s="95"/>
      <c r="Z153" s="95"/>
      <c r="AA153" s="95"/>
      <c r="AB153" s="95"/>
      <c r="AC153" s="95"/>
      <c r="AG153"/>
      <c r="AK153"/>
    </row>
    <row r="154" spans="1:37" ht="15" customHeight="1" x14ac:dyDescent="0.25">
      <c r="A154" s="116" t="s">
        <v>721</v>
      </c>
      <c r="B154" s="112" t="s">
        <v>946</v>
      </c>
      <c r="C154" s="101">
        <v>60501</v>
      </c>
      <c r="D154" s="102" t="s">
        <v>849</v>
      </c>
      <c r="E154" s="103" t="s">
        <v>46</v>
      </c>
      <c r="F154" s="103" t="s">
        <v>412</v>
      </c>
      <c r="G154" s="103" t="s">
        <v>417</v>
      </c>
      <c r="H154" s="103" t="s">
        <v>414</v>
      </c>
      <c r="I154" s="104">
        <v>44651</v>
      </c>
      <c r="J154" s="104">
        <v>44651</v>
      </c>
      <c r="K154" s="105">
        <v>660000</v>
      </c>
      <c r="M154"/>
      <c r="P154" s="95"/>
      <c r="Q154" s="112" t="s">
        <v>1285</v>
      </c>
      <c r="T154" s="112">
        <v>34</v>
      </c>
      <c r="U154" s="112">
        <v>34</v>
      </c>
      <c r="V154" s="95"/>
      <c r="W154" s="95"/>
      <c r="X154" s="95"/>
      <c r="Y154" s="95"/>
      <c r="Z154" s="95"/>
      <c r="AA154" s="95"/>
      <c r="AB154" s="95"/>
      <c r="AC154" s="95"/>
      <c r="AG154"/>
      <c r="AK154"/>
    </row>
    <row r="155" spans="1:37" ht="15" customHeight="1" x14ac:dyDescent="0.25">
      <c r="A155" s="116" t="s">
        <v>721</v>
      </c>
      <c r="B155" s="112" t="s">
        <v>946</v>
      </c>
      <c r="C155" s="101">
        <v>50571</v>
      </c>
      <c r="D155" s="102" t="s">
        <v>850</v>
      </c>
      <c r="E155" s="103" t="s">
        <v>46</v>
      </c>
      <c r="F155" s="103" t="s">
        <v>412</v>
      </c>
      <c r="G155" s="103" t="s">
        <v>413</v>
      </c>
      <c r="H155" s="103" t="s">
        <v>414</v>
      </c>
      <c r="I155" s="104">
        <v>43104</v>
      </c>
      <c r="J155" s="104">
        <v>43104</v>
      </c>
      <c r="K155" s="105">
        <v>100001.47</v>
      </c>
      <c r="M155"/>
      <c r="P155" s="95"/>
      <c r="Q155" s="112" t="s">
        <v>1376</v>
      </c>
      <c r="T155" s="112">
        <v>12</v>
      </c>
      <c r="U155" s="112">
        <v>11</v>
      </c>
      <c r="V155" s="95"/>
      <c r="W155" s="95"/>
      <c r="X155" s="95"/>
      <c r="Y155" s="95"/>
      <c r="Z155" s="95"/>
      <c r="AA155" s="95"/>
      <c r="AB155" s="95"/>
      <c r="AC155" s="95"/>
      <c r="AG155"/>
      <c r="AK155"/>
    </row>
    <row r="156" spans="1:37" ht="15" customHeight="1" x14ac:dyDescent="0.25">
      <c r="A156" s="116" t="s">
        <v>721</v>
      </c>
      <c r="B156" s="112" t="s">
        <v>946</v>
      </c>
      <c r="C156" s="101">
        <v>64488</v>
      </c>
      <c r="D156" s="102" t="s">
        <v>851</v>
      </c>
      <c r="E156" s="103" t="s">
        <v>46</v>
      </c>
      <c r="F156" s="103" t="s">
        <v>412</v>
      </c>
      <c r="G156" s="103" t="s">
        <v>422</v>
      </c>
      <c r="H156" s="103" t="s">
        <v>423</v>
      </c>
      <c r="I156" s="104">
        <v>45219</v>
      </c>
      <c r="J156" s="104">
        <v>45229</v>
      </c>
      <c r="K156" s="105">
        <v>443525</v>
      </c>
      <c r="M156"/>
      <c r="N156" s="95"/>
      <c r="O156" s="95"/>
      <c r="P156" s="95"/>
      <c r="Q156" s="112" t="s">
        <v>1390</v>
      </c>
      <c r="T156" s="112">
        <v>8</v>
      </c>
      <c r="U156" s="112">
        <v>8</v>
      </c>
      <c r="V156" s="95"/>
      <c r="W156" s="95"/>
      <c r="X156" s="95"/>
      <c r="Y156" s="95"/>
      <c r="Z156" s="95"/>
      <c r="AA156" s="95"/>
      <c r="AB156" s="95"/>
      <c r="AC156" s="95"/>
      <c r="AG156"/>
      <c r="AK156"/>
    </row>
    <row r="157" spans="1:37" ht="15" customHeight="1" x14ac:dyDescent="0.25">
      <c r="A157" s="116" t="s">
        <v>721</v>
      </c>
      <c r="B157" s="112" t="s">
        <v>946</v>
      </c>
      <c r="C157" s="101">
        <v>58999</v>
      </c>
      <c r="D157" s="102" t="s">
        <v>852</v>
      </c>
      <c r="E157" s="103" t="s">
        <v>46</v>
      </c>
      <c r="F157" s="103" t="s">
        <v>397</v>
      </c>
      <c r="G157" s="103" t="s">
        <v>422</v>
      </c>
      <c r="H157" s="103" t="s">
        <v>423</v>
      </c>
      <c r="I157" s="104">
        <v>44316</v>
      </c>
      <c r="J157" s="103"/>
      <c r="K157" s="105">
        <v>45900</v>
      </c>
      <c r="M157"/>
      <c r="N157" s="95"/>
      <c r="O157" s="95"/>
      <c r="P157" s="95"/>
      <c r="Q157" s="95"/>
      <c r="R157" s="95"/>
      <c r="S157" s="95"/>
      <c r="T157" s="95"/>
      <c r="U157" s="95"/>
      <c r="V157" s="95"/>
      <c r="W157" s="95"/>
      <c r="X157" s="95"/>
      <c r="Y157" s="95"/>
      <c r="Z157" s="95"/>
      <c r="AA157" s="95"/>
      <c r="AB157" s="95"/>
      <c r="AC157" s="95"/>
      <c r="AG157"/>
      <c r="AK157"/>
    </row>
    <row r="158" spans="1:37" ht="15" customHeight="1" x14ac:dyDescent="0.25">
      <c r="A158" s="116" t="s">
        <v>721</v>
      </c>
      <c r="B158" s="112" t="s">
        <v>946</v>
      </c>
      <c r="C158" s="101">
        <v>52204</v>
      </c>
      <c r="D158" s="102" t="s">
        <v>853</v>
      </c>
      <c r="E158" s="103" t="s">
        <v>46</v>
      </c>
      <c r="F158" s="103" t="s">
        <v>412</v>
      </c>
      <c r="G158" s="103" t="s">
        <v>425</v>
      </c>
      <c r="H158" s="103" t="s">
        <v>423</v>
      </c>
      <c r="I158" s="104">
        <v>43109</v>
      </c>
      <c r="J158" s="104">
        <v>43369</v>
      </c>
      <c r="K158" s="105">
        <v>121719.96</v>
      </c>
      <c r="M158"/>
      <c r="N158" s="95"/>
      <c r="O158" s="95"/>
      <c r="P158" s="95"/>
      <c r="Q158" s="123" t="s">
        <v>942</v>
      </c>
      <c r="R158" s="134">
        <f>SUM(T133:T156)</f>
        <v>424</v>
      </c>
      <c r="S158" s="134">
        <f>SUM(U133:U156)</f>
        <v>427</v>
      </c>
      <c r="T158" s="95"/>
      <c r="U158" s="95"/>
      <c r="V158" s="95"/>
      <c r="W158" s="95"/>
      <c r="X158" s="95"/>
      <c r="Y158" s="95"/>
      <c r="Z158" s="95"/>
      <c r="AA158" s="95"/>
      <c r="AB158" s="95"/>
      <c r="AC158" s="95"/>
      <c r="AG158"/>
      <c r="AK158"/>
    </row>
    <row r="159" spans="1:37" ht="15" customHeight="1" x14ac:dyDescent="0.25">
      <c r="A159" s="116" t="s">
        <v>721</v>
      </c>
      <c r="B159" s="112" t="s">
        <v>946</v>
      </c>
      <c r="C159" s="101">
        <v>53497</v>
      </c>
      <c r="D159" s="102" t="s">
        <v>854</v>
      </c>
      <c r="E159" s="103" t="s">
        <v>46</v>
      </c>
      <c r="F159" s="103" t="s">
        <v>412</v>
      </c>
      <c r="G159" s="103" t="s">
        <v>425</v>
      </c>
      <c r="H159" s="103" t="s">
        <v>423</v>
      </c>
      <c r="I159" s="104">
        <v>43039</v>
      </c>
      <c r="J159" s="104">
        <v>43039</v>
      </c>
      <c r="K159" s="105">
        <v>95000.01</v>
      </c>
      <c r="M159"/>
      <c r="N159" s="95"/>
      <c r="O159" s="95"/>
      <c r="P159" s="95"/>
      <c r="Q159" s="95"/>
      <c r="R159" s="95"/>
      <c r="S159" s="95"/>
      <c r="T159" s="95"/>
      <c r="U159" s="95"/>
      <c r="V159" s="95"/>
      <c r="W159" s="95"/>
      <c r="X159" s="95"/>
      <c r="Y159" s="95"/>
      <c r="Z159" s="95"/>
      <c r="AA159" s="95"/>
      <c r="AB159" s="95"/>
      <c r="AC159" s="95"/>
      <c r="AG159"/>
      <c r="AK159"/>
    </row>
    <row r="160" spans="1:37" ht="15" customHeight="1" x14ac:dyDescent="0.25">
      <c r="A160" s="116" t="s">
        <v>721</v>
      </c>
      <c r="B160" s="112" t="s">
        <v>946</v>
      </c>
      <c r="C160" s="101">
        <v>63230</v>
      </c>
      <c r="D160" s="102" t="s">
        <v>855</v>
      </c>
      <c r="E160" s="103" t="s">
        <v>46</v>
      </c>
      <c r="F160" s="103" t="s">
        <v>412</v>
      </c>
      <c r="G160" s="103" t="s">
        <v>953</v>
      </c>
      <c r="H160" s="103" t="s">
        <v>433</v>
      </c>
      <c r="I160" s="104">
        <v>44865</v>
      </c>
      <c r="J160" s="104">
        <v>44860</v>
      </c>
      <c r="K160" s="105">
        <v>4140</v>
      </c>
      <c r="M160"/>
      <c r="N160" s="95"/>
      <c r="O160" s="95"/>
      <c r="P160" s="95"/>
      <c r="Q160" s="95"/>
      <c r="R160" s="95"/>
      <c r="S160" s="95"/>
      <c r="T160" s="95"/>
      <c r="U160" s="95"/>
      <c r="V160" s="95"/>
      <c r="W160" s="95"/>
      <c r="X160" s="95"/>
      <c r="Y160" s="95"/>
      <c r="Z160" s="95"/>
      <c r="AA160" s="95"/>
      <c r="AB160" s="95"/>
      <c r="AC160" s="95"/>
      <c r="AG160"/>
      <c r="AK160"/>
    </row>
    <row r="161" spans="1:37" ht="15" customHeight="1" x14ac:dyDescent="0.25">
      <c r="A161" s="116" t="s">
        <v>721</v>
      </c>
      <c r="B161" s="112" t="s">
        <v>946</v>
      </c>
      <c r="C161" s="101">
        <v>52329</v>
      </c>
      <c r="D161" s="102" t="s">
        <v>856</v>
      </c>
      <c r="E161" s="103" t="s">
        <v>46</v>
      </c>
      <c r="F161" s="103" t="s">
        <v>412</v>
      </c>
      <c r="G161" s="103" t="s">
        <v>953</v>
      </c>
      <c r="H161" s="103" t="s">
        <v>433</v>
      </c>
      <c r="I161" s="104">
        <v>43109</v>
      </c>
      <c r="J161" s="104">
        <v>43109</v>
      </c>
      <c r="K161" s="105">
        <v>5000</v>
      </c>
      <c r="M161"/>
      <c r="N161" s="94"/>
      <c r="O161" s="95"/>
      <c r="P161" s="95"/>
      <c r="Q161" s="95"/>
      <c r="R161" s="95"/>
      <c r="S161" s="95"/>
      <c r="T161" s="95"/>
      <c r="U161" s="95"/>
      <c r="V161" s="95"/>
      <c r="W161" s="95"/>
      <c r="X161" s="95"/>
      <c r="Y161" s="95"/>
      <c r="Z161" s="95"/>
      <c r="AA161" s="95"/>
      <c r="AB161" s="95"/>
      <c r="AC161" s="95"/>
      <c r="AG161"/>
      <c r="AK161"/>
    </row>
    <row r="162" spans="1:37" ht="15" customHeight="1" x14ac:dyDescent="0.25">
      <c r="A162" s="116" t="s">
        <v>721</v>
      </c>
      <c r="B162" s="112" t="s">
        <v>946</v>
      </c>
      <c r="C162" s="101">
        <v>63831</v>
      </c>
      <c r="D162" s="102" t="s">
        <v>857</v>
      </c>
      <c r="E162" s="103" t="s">
        <v>46</v>
      </c>
      <c r="F162" s="103" t="s">
        <v>401</v>
      </c>
      <c r="G162" s="103" t="s">
        <v>954</v>
      </c>
      <c r="H162" s="103" t="s">
        <v>437</v>
      </c>
      <c r="I162" s="104">
        <v>45503</v>
      </c>
      <c r="J162" s="103"/>
      <c r="K162" s="105">
        <v>70100.399999999994</v>
      </c>
      <c r="M162"/>
      <c r="N162" s="95"/>
      <c r="O162" s="95"/>
      <c r="P162" s="95"/>
      <c r="Q162" s="95"/>
      <c r="R162" s="95"/>
      <c r="S162" s="95"/>
      <c r="T162" s="95"/>
      <c r="U162" s="95"/>
      <c r="V162" s="95"/>
      <c r="W162" s="95"/>
      <c r="X162" s="95"/>
      <c r="Y162" s="95"/>
      <c r="Z162" s="95"/>
      <c r="AA162" s="95"/>
      <c r="AB162" s="95"/>
      <c r="AC162" s="95"/>
      <c r="AG162"/>
      <c r="AK162"/>
    </row>
    <row r="163" spans="1:37" ht="15" customHeight="1" x14ac:dyDescent="0.25">
      <c r="A163" s="116" t="s">
        <v>721</v>
      </c>
      <c r="B163" s="112" t="s">
        <v>946</v>
      </c>
      <c r="C163" s="101">
        <v>62157</v>
      </c>
      <c r="D163" s="102" t="s">
        <v>858</v>
      </c>
      <c r="E163" s="103" t="s">
        <v>451</v>
      </c>
      <c r="F163" s="103" t="s">
        <v>397</v>
      </c>
      <c r="G163" s="103" t="s">
        <v>954</v>
      </c>
      <c r="H163" s="103" t="s">
        <v>437</v>
      </c>
      <c r="I163" s="104">
        <v>44742</v>
      </c>
      <c r="J163" s="103"/>
      <c r="K163" s="105">
        <v>14138.96</v>
      </c>
      <c r="M163"/>
      <c r="N163" s="94"/>
      <c r="O163" s="95"/>
      <c r="P163" s="95"/>
      <c r="Q163" s="95"/>
      <c r="R163" s="95"/>
      <c r="S163" s="95"/>
      <c r="T163" s="95"/>
      <c r="U163" s="95"/>
      <c r="V163" s="95"/>
      <c r="W163" s="95"/>
      <c r="X163" s="95"/>
      <c r="Y163" s="95"/>
      <c r="Z163" s="95"/>
      <c r="AA163" s="95"/>
      <c r="AB163" s="95"/>
      <c r="AC163" s="95"/>
      <c r="AG163"/>
      <c r="AK163"/>
    </row>
    <row r="164" spans="1:37" ht="15" customHeight="1" x14ac:dyDescent="0.25">
      <c r="A164" s="116" t="s">
        <v>721</v>
      </c>
      <c r="B164" s="112" t="s">
        <v>946</v>
      </c>
      <c r="C164" s="101">
        <v>61961</v>
      </c>
      <c r="D164" s="102" t="s">
        <v>859</v>
      </c>
      <c r="E164" s="103" t="s">
        <v>46</v>
      </c>
      <c r="F164" s="103" t="s">
        <v>412</v>
      </c>
      <c r="G164" s="103" t="s">
        <v>954</v>
      </c>
      <c r="H164" s="103" t="s">
        <v>437</v>
      </c>
      <c r="I164" s="104">
        <v>44651</v>
      </c>
      <c r="J164" s="104">
        <v>44649</v>
      </c>
      <c r="K164" s="105">
        <v>18000.36</v>
      </c>
      <c r="M164"/>
      <c r="N164" s="95"/>
      <c r="O164" s="95"/>
      <c r="P164" s="95"/>
      <c r="Q164" s="95"/>
      <c r="R164" s="95"/>
      <c r="S164" s="95"/>
      <c r="T164" s="95"/>
      <c r="U164" s="95"/>
      <c r="V164" s="95"/>
      <c r="W164" s="95"/>
      <c r="X164" s="95"/>
      <c r="Y164" s="95"/>
      <c r="Z164" s="95"/>
      <c r="AA164" s="95"/>
      <c r="AB164" s="95"/>
      <c r="AC164" s="95"/>
      <c r="AG164"/>
      <c r="AK164"/>
    </row>
    <row r="165" spans="1:37" ht="15" customHeight="1" x14ac:dyDescent="0.25">
      <c r="A165" s="116" t="s">
        <v>721</v>
      </c>
      <c r="B165" s="112" t="s">
        <v>946</v>
      </c>
      <c r="C165" s="101">
        <v>64785</v>
      </c>
      <c r="D165" s="102" t="s">
        <v>860</v>
      </c>
      <c r="E165" s="103" t="s">
        <v>451</v>
      </c>
      <c r="F165" s="103" t="s">
        <v>401</v>
      </c>
      <c r="G165" s="103" t="s">
        <v>954</v>
      </c>
      <c r="H165" s="103" t="s">
        <v>437</v>
      </c>
      <c r="I165" s="104">
        <v>45409</v>
      </c>
      <c r="J165" s="103"/>
      <c r="K165" s="105">
        <v>201277.44</v>
      </c>
      <c r="M165"/>
      <c r="N165" s="95"/>
      <c r="O165" s="95"/>
      <c r="P165" s="95"/>
      <c r="Q165" s="95"/>
      <c r="R165" s="95"/>
      <c r="S165" s="95"/>
      <c r="T165" s="95"/>
      <c r="U165" s="95"/>
      <c r="V165" s="95"/>
      <c r="W165" s="95"/>
      <c r="X165" s="95"/>
      <c r="Y165" s="95"/>
      <c r="Z165" s="95"/>
      <c r="AA165" s="95"/>
      <c r="AB165" s="95"/>
      <c r="AC165" s="95"/>
      <c r="AG165"/>
      <c r="AK165"/>
    </row>
    <row r="166" spans="1:37" ht="15" customHeight="1" x14ac:dyDescent="0.25">
      <c r="A166" s="116" t="s">
        <v>721</v>
      </c>
      <c r="B166" s="112" t="s">
        <v>946</v>
      </c>
      <c r="C166" s="101">
        <v>52203</v>
      </c>
      <c r="D166" s="102" t="s">
        <v>861</v>
      </c>
      <c r="E166" s="103" t="s">
        <v>46</v>
      </c>
      <c r="F166" s="103" t="s">
        <v>412</v>
      </c>
      <c r="G166" s="103" t="s">
        <v>954</v>
      </c>
      <c r="H166" s="103" t="s">
        <v>437</v>
      </c>
      <c r="I166" s="104">
        <v>43105</v>
      </c>
      <c r="J166" s="104">
        <v>43105</v>
      </c>
      <c r="K166" s="105">
        <v>62477.17</v>
      </c>
      <c r="M166"/>
      <c r="N166" s="95"/>
      <c r="O166" s="95"/>
      <c r="P166" s="95"/>
      <c r="Q166" s="95"/>
      <c r="R166" s="95"/>
      <c r="S166" s="95"/>
      <c r="T166" s="95"/>
      <c r="U166" s="95"/>
      <c r="V166" s="95"/>
      <c r="W166" s="95"/>
      <c r="X166" s="95"/>
      <c r="Y166" s="95"/>
      <c r="Z166" s="95"/>
      <c r="AA166" s="95"/>
      <c r="AB166" s="95"/>
      <c r="AC166" s="95"/>
      <c r="AG166"/>
      <c r="AK166"/>
    </row>
    <row r="167" spans="1:37" ht="15" customHeight="1" x14ac:dyDescent="0.25">
      <c r="A167" s="116" t="s">
        <v>721</v>
      </c>
      <c r="B167" s="112" t="s">
        <v>946</v>
      </c>
      <c r="C167" s="101">
        <v>52202</v>
      </c>
      <c r="D167" s="102" t="s">
        <v>862</v>
      </c>
      <c r="E167" s="103" t="s">
        <v>46</v>
      </c>
      <c r="F167" s="103" t="s">
        <v>412</v>
      </c>
      <c r="G167" s="103" t="s">
        <v>954</v>
      </c>
      <c r="H167" s="103" t="s">
        <v>437</v>
      </c>
      <c r="I167" s="104">
        <v>43104</v>
      </c>
      <c r="J167" s="104">
        <v>43104</v>
      </c>
      <c r="K167" s="105">
        <v>22400.01</v>
      </c>
      <c r="M167"/>
      <c r="N167" s="95"/>
      <c r="O167" s="95"/>
      <c r="P167" s="95"/>
      <c r="Q167" s="95"/>
      <c r="R167" s="95"/>
      <c r="S167" s="95"/>
      <c r="T167" s="95"/>
      <c r="U167" s="95"/>
      <c r="V167" s="95"/>
      <c r="W167" s="95"/>
      <c r="X167" s="95"/>
      <c r="Y167" s="95"/>
      <c r="Z167" s="95"/>
      <c r="AA167" s="95"/>
      <c r="AB167" s="95"/>
      <c r="AC167" s="95"/>
      <c r="AG167"/>
      <c r="AK167"/>
    </row>
    <row r="168" spans="1:37" ht="15" customHeight="1" x14ac:dyDescent="0.25">
      <c r="A168" s="116" t="s">
        <v>721</v>
      </c>
      <c r="B168" s="112" t="s">
        <v>946</v>
      </c>
      <c r="C168" s="101">
        <v>52145</v>
      </c>
      <c r="D168" s="102" t="s">
        <v>863</v>
      </c>
      <c r="E168" s="103" t="s">
        <v>46</v>
      </c>
      <c r="F168" s="103" t="s">
        <v>412</v>
      </c>
      <c r="G168" s="103" t="s">
        <v>954</v>
      </c>
      <c r="H168" s="103" t="s">
        <v>437</v>
      </c>
      <c r="I168" s="104">
        <v>43106</v>
      </c>
      <c r="J168" s="104">
        <v>43106</v>
      </c>
      <c r="K168" s="105">
        <v>3500</v>
      </c>
      <c r="M168"/>
      <c r="N168" s="95"/>
      <c r="O168" s="95"/>
      <c r="P168" s="95"/>
      <c r="Q168" s="95"/>
      <c r="R168" s="95"/>
      <c r="S168" s="95"/>
      <c r="T168" s="95"/>
      <c r="U168" s="95"/>
      <c r="V168" s="95"/>
      <c r="W168" s="95"/>
      <c r="X168" s="95"/>
      <c r="Y168" s="95"/>
      <c r="Z168" s="95"/>
      <c r="AA168" s="95"/>
      <c r="AB168" s="95"/>
      <c r="AC168" s="95"/>
      <c r="AG168"/>
      <c r="AK168"/>
    </row>
    <row r="169" spans="1:37" ht="15" customHeight="1" x14ac:dyDescent="0.25">
      <c r="A169" s="116" t="s">
        <v>721</v>
      </c>
      <c r="B169" s="112" t="s">
        <v>946</v>
      </c>
      <c r="C169" s="101">
        <v>60294</v>
      </c>
      <c r="D169" s="102" t="s">
        <v>864</v>
      </c>
      <c r="E169" s="103" t="s">
        <v>48</v>
      </c>
      <c r="F169" s="103" t="s">
        <v>397</v>
      </c>
      <c r="G169" s="103" t="s">
        <v>954</v>
      </c>
      <c r="H169" s="103" t="s">
        <v>437</v>
      </c>
      <c r="I169" s="104">
        <v>44469</v>
      </c>
      <c r="J169" s="103"/>
      <c r="K169" s="105">
        <v>124800</v>
      </c>
      <c r="M169"/>
      <c r="N169" s="95"/>
      <c r="O169" s="95"/>
      <c r="P169" s="95"/>
      <c r="Q169" s="95"/>
      <c r="R169" s="95"/>
      <c r="S169" s="95"/>
      <c r="T169" s="95"/>
      <c r="U169" s="95"/>
      <c r="V169" s="95"/>
      <c r="W169" s="95"/>
      <c r="X169" s="95"/>
      <c r="Y169" s="95"/>
      <c r="Z169" s="95"/>
      <c r="AA169" s="95"/>
      <c r="AB169" s="95"/>
      <c r="AC169" s="95"/>
      <c r="AG169"/>
      <c r="AK169"/>
    </row>
    <row r="170" spans="1:37" ht="15" customHeight="1" x14ac:dyDescent="0.25">
      <c r="A170" s="116" t="s">
        <v>721</v>
      </c>
      <c r="B170" s="112" t="s">
        <v>946</v>
      </c>
      <c r="C170" s="101">
        <v>61978</v>
      </c>
      <c r="D170" s="102" t="s">
        <v>865</v>
      </c>
      <c r="E170" s="103" t="s">
        <v>68</v>
      </c>
      <c r="F170" s="103" t="s">
        <v>397</v>
      </c>
      <c r="G170" s="103" t="s">
        <v>954</v>
      </c>
      <c r="H170" s="103" t="s">
        <v>437</v>
      </c>
      <c r="I170" s="104">
        <v>45107</v>
      </c>
      <c r="J170" s="103"/>
      <c r="K170" s="105">
        <v>19430.400000000001</v>
      </c>
      <c r="M170"/>
      <c r="N170" s="95"/>
      <c r="O170" s="95"/>
      <c r="P170" s="95"/>
      <c r="Q170" s="95"/>
      <c r="R170" s="95"/>
      <c r="S170" s="95"/>
      <c r="T170" s="95"/>
      <c r="U170" s="95"/>
      <c r="V170" s="95"/>
      <c r="W170" s="95"/>
      <c r="X170" s="95"/>
      <c r="Y170" s="95"/>
      <c r="Z170" s="95"/>
      <c r="AA170" s="95"/>
      <c r="AB170" s="95"/>
      <c r="AC170" s="95"/>
      <c r="AG170"/>
      <c r="AK170"/>
    </row>
    <row r="171" spans="1:37" ht="15" customHeight="1" x14ac:dyDescent="0.25">
      <c r="A171" s="116" t="s">
        <v>721</v>
      </c>
      <c r="B171" s="112" t="s">
        <v>946</v>
      </c>
      <c r="C171" s="101">
        <v>63286</v>
      </c>
      <c r="D171" s="102" t="s">
        <v>866</v>
      </c>
      <c r="E171" s="103" t="s">
        <v>484</v>
      </c>
      <c r="F171" s="103" t="s">
        <v>397</v>
      </c>
      <c r="G171" s="103" t="s">
        <v>954</v>
      </c>
      <c r="H171" s="103" t="s">
        <v>437</v>
      </c>
      <c r="I171" s="104">
        <v>45135</v>
      </c>
      <c r="J171" s="103"/>
      <c r="K171" s="105">
        <v>81000</v>
      </c>
      <c r="M171"/>
      <c r="N171" s="95"/>
      <c r="O171" s="95"/>
      <c r="P171" s="95"/>
      <c r="Q171" s="95"/>
      <c r="R171" s="95"/>
      <c r="S171" s="95"/>
      <c r="T171" s="95"/>
      <c r="U171" s="95"/>
      <c r="V171" s="95"/>
      <c r="W171" s="95"/>
      <c r="X171" s="95"/>
      <c r="Y171" s="95"/>
      <c r="Z171" s="95"/>
      <c r="AA171" s="95"/>
      <c r="AB171" s="95"/>
      <c r="AC171" s="95"/>
      <c r="AG171"/>
      <c r="AK171"/>
    </row>
    <row r="172" spans="1:37" ht="15" customHeight="1" x14ac:dyDescent="0.25">
      <c r="A172" s="116" t="s">
        <v>721</v>
      </c>
      <c r="B172" s="112" t="s">
        <v>946</v>
      </c>
      <c r="C172" s="101">
        <v>65433</v>
      </c>
      <c r="D172" s="102" t="s">
        <v>867</v>
      </c>
      <c r="E172" s="103" t="s">
        <v>399</v>
      </c>
      <c r="F172" s="103" t="s">
        <v>400</v>
      </c>
      <c r="G172" s="103" t="s">
        <v>422</v>
      </c>
      <c r="H172" s="103" t="s">
        <v>437</v>
      </c>
      <c r="I172" s="104">
        <v>45471</v>
      </c>
      <c r="J172" s="103"/>
      <c r="K172" s="105">
        <v>49050</v>
      </c>
      <c r="M172"/>
      <c r="N172" s="95"/>
      <c r="O172" s="95"/>
      <c r="P172" s="95"/>
      <c r="Q172" s="95"/>
      <c r="R172" s="95"/>
      <c r="S172" s="95"/>
      <c r="T172" s="95"/>
      <c r="U172" s="95"/>
      <c r="V172" s="95"/>
      <c r="W172" s="95"/>
      <c r="X172" s="95"/>
      <c r="Y172" s="95"/>
      <c r="Z172" s="95"/>
      <c r="AA172" s="95"/>
      <c r="AB172" s="95"/>
      <c r="AC172" s="95"/>
      <c r="AG172"/>
      <c r="AK172"/>
    </row>
    <row r="173" spans="1:37" ht="15" customHeight="1" x14ac:dyDescent="0.25">
      <c r="A173" s="116" t="s">
        <v>721</v>
      </c>
      <c r="B173" s="112" t="s">
        <v>946</v>
      </c>
      <c r="C173" s="101">
        <v>56947</v>
      </c>
      <c r="D173" s="102" t="s">
        <v>868</v>
      </c>
      <c r="E173" s="103" t="s">
        <v>46</v>
      </c>
      <c r="F173" s="103" t="s">
        <v>412</v>
      </c>
      <c r="G173" s="103" t="s">
        <v>954</v>
      </c>
      <c r="H173" s="103" t="s">
        <v>437</v>
      </c>
      <c r="I173" s="104">
        <v>43591</v>
      </c>
      <c r="J173" s="104">
        <v>43591</v>
      </c>
      <c r="K173" s="105">
        <v>6100</v>
      </c>
      <c r="M173"/>
      <c r="N173" s="95"/>
      <c r="O173" s="95"/>
      <c r="P173" s="95"/>
      <c r="Q173" s="95"/>
      <c r="R173" s="95"/>
      <c r="S173" s="95"/>
      <c r="T173" s="95"/>
      <c r="U173" s="95"/>
      <c r="V173" s="95"/>
      <c r="W173" s="95"/>
      <c r="X173" s="95"/>
      <c r="Y173" s="95"/>
      <c r="Z173" s="95"/>
      <c r="AA173" s="95"/>
      <c r="AB173" s="95"/>
      <c r="AC173" s="95"/>
      <c r="AG173"/>
      <c r="AK173"/>
    </row>
    <row r="174" spans="1:37" ht="15" customHeight="1" x14ac:dyDescent="0.25">
      <c r="A174" s="116" t="s">
        <v>721</v>
      </c>
      <c r="B174" s="112" t="s">
        <v>946</v>
      </c>
      <c r="C174" s="101">
        <v>64968</v>
      </c>
      <c r="D174" s="102" t="s">
        <v>869</v>
      </c>
      <c r="E174" s="103" t="s">
        <v>484</v>
      </c>
      <c r="F174" s="103" t="s">
        <v>412</v>
      </c>
      <c r="G174" s="103" t="s">
        <v>954</v>
      </c>
      <c r="H174" s="103" t="s">
        <v>437</v>
      </c>
      <c r="I174" s="104">
        <v>45260</v>
      </c>
      <c r="J174" s="104">
        <v>45231</v>
      </c>
      <c r="K174" s="105">
        <v>2375</v>
      </c>
      <c r="M174"/>
      <c r="N174" s="95"/>
      <c r="O174" s="95"/>
      <c r="P174" s="95"/>
      <c r="Q174" s="95"/>
      <c r="R174" s="95"/>
      <c r="S174" s="95"/>
      <c r="T174" s="95"/>
      <c r="U174" s="95"/>
      <c r="V174" s="95"/>
      <c r="W174" s="95"/>
      <c r="X174" s="95"/>
      <c r="Y174" s="95"/>
      <c r="Z174" s="95"/>
      <c r="AA174" s="95"/>
      <c r="AB174" s="95"/>
      <c r="AC174" s="95"/>
      <c r="AG174"/>
      <c r="AK174"/>
    </row>
    <row r="175" spans="1:37" ht="15" customHeight="1" x14ac:dyDescent="0.25">
      <c r="A175" s="116" t="s">
        <v>721</v>
      </c>
      <c r="B175" s="112" t="s">
        <v>946</v>
      </c>
      <c r="C175" s="101">
        <v>61833</v>
      </c>
      <c r="D175" s="102" t="s">
        <v>870</v>
      </c>
      <c r="E175" s="103" t="s">
        <v>46</v>
      </c>
      <c r="F175" s="103" t="s">
        <v>397</v>
      </c>
      <c r="G175" s="103" t="s">
        <v>954</v>
      </c>
      <c r="H175" s="103" t="s">
        <v>437</v>
      </c>
      <c r="I175" s="104">
        <v>44925</v>
      </c>
      <c r="J175" s="103"/>
      <c r="K175" s="105">
        <v>77101.2</v>
      </c>
      <c r="M175"/>
      <c r="N175" s="95"/>
      <c r="O175" s="95"/>
      <c r="P175" s="95"/>
      <c r="Q175" s="95"/>
      <c r="R175" s="95"/>
      <c r="S175" s="95"/>
      <c r="T175" s="95"/>
      <c r="U175" s="95"/>
      <c r="V175" s="95"/>
      <c r="W175" s="95"/>
      <c r="X175" s="95"/>
      <c r="Y175" s="95"/>
      <c r="Z175" s="95"/>
      <c r="AA175" s="95"/>
      <c r="AB175" s="95"/>
      <c r="AC175" s="95"/>
      <c r="AG175"/>
      <c r="AK175"/>
    </row>
    <row r="176" spans="1:37" ht="15" customHeight="1" x14ac:dyDescent="0.25">
      <c r="A176" s="116" t="s">
        <v>721</v>
      </c>
      <c r="B176" s="112" t="s">
        <v>946</v>
      </c>
      <c r="C176" s="101">
        <v>61969</v>
      </c>
      <c r="D176" s="102" t="s">
        <v>871</v>
      </c>
      <c r="E176" s="103" t="s">
        <v>46</v>
      </c>
      <c r="F176" s="103" t="s">
        <v>412</v>
      </c>
      <c r="G176" s="103" t="s">
        <v>954</v>
      </c>
      <c r="H176" s="103" t="s">
        <v>437</v>
      </c>
      <c r="I176" s="104">
        <v>44680</v>
      </c>
      <c r="J176" s="104">
        <v>44670</v>
      </c>
      <c r="K176" s="105">
        <v>17500</v>
      </c>
      <c r="M176"/>
      <c r="N176" s="95"/>
      <c r="O176" s="95"/>
      <c r="P176" s="95"/>
      <c r="Q176" s="95"/>
      <c r="R176" s="95"/>
      <c r="S176" s="95"/>
      <c r="T176" s="95"/>
      <c r="U176" s="95"/>
      <c r="V176" s="95"/>
      <c r="W176" s="95"/>
      <c r="X176" s="95"/>
      <c r="Y176" s="95"/>
      <c r="Z176" s="95"/>
      <c r="AA176" s="95"/>
      <c r="AB176" s="95"/>
      <c r="AC176" s="95"/>
      <c r="AG176"/>
      <c r="AK176"/>
    </row>
    <row r="177" spans="1:37" ht="15" customHeight="1" x14ac:dyDescent="0.25">
      <c r="A177" s="116" t="s">
        <v>721</v>
      </c>
      <c r="B177" s="112" t="s">
        <v>946</v>
      </c>
      <c r="C177" s="101">
        <v>57992</v>
      </c>
      <c r="D177" s="102" t="s">
        <v>872</v>
      </c>
      <c r="E177" s="103" t="s">
        <v>46</v>
      </c>
      <c r="F177" s="103" t="s">
        <v>412</v>
      </c>
      <c r="G177" s="103" t="s">
        <v>954</v>
      </c>
      <c r="H177" s="103" t="s">
        <v>437</v>
      </c>
      <c r="I177" s="104">
        <v>43801</v>
      </c>
      <c r="J177" s="104">
        <v>43802</v>
      </c>
      <c r="K177" s="105">
        <v>1350</v>
      </c>
      <c r="M177"/>
      <c r="N177" s="95"/>
      <c r="O177" s="95"/>
      <c r="P177" s="95"/>
      <c r="Q177" s="95"/>
      <c r="R177" s="95"/>
      <c r="S177" s="95"/>
      <c r="T177" s="95"/>
      <c r="U177" s="95"/>
      <c r="V177" s="95"/>
      <c r="W177" s="95"/>
      <c r="X177" s="95"/>
      <c r="Y177" s="95"/>
      <c r="Z177" s="95"/>
      <c r="AA177" s="95"/>
      <c r="AB177" s="95"/>
      <c r="AC177" s="95"/>
      <c r="AG177"/>
      <c r="AK177"/>
    </row>
    <row r="178" spans="1:37" ht="15" customHeight="1" x14ac:dyDescent="0.25">
      <c r="A178" s="116" t="s">
        <v>721</v>
      </c>
      <c r="B178" s="112" t="s">
        <v>946</v>
      </c>
      <c r="C178" s="101">
        <v>64888</v>
      </c>
      <c r="D178" s="102" t="s">
        <v>873</v>
      </c>
      <c r="E178" s="103" t="s">
        <v>46</v>
      </c>
      <c r="F178" s="103" t="s">
        <v>440</v>
      </c>
      <c r="G178" s="103" t="s">
        <v>954</v>
      </c>
      <c r="H178" s="103" t="s">
        <v>437</v>
      </c>
      <c r="I178" s="104">
        <v>45471</v>
      </c>
      <c r="J178" s="103"/>
      <c r="K178" s="105">
        <v>148500</v>
      </c>
      <c r="M178"/>
      <c r="N178" s="95"/>
      <c r="O178" s="95"/>
      <c r="P178" s="95"/>
      <c r="Q178" s="95"/>
      <c r="R178" s="95"/>
      <c r="S178" s="95"/>
      <c r="T178" s="95"/>
      <c r="U178" s="95"/>
      <c r="V178" s="95"/>
      <c r="W178" s="95"/>
      <c r="X178" s="95"/>
      <c r="Y178" s="95"/>
      <c r="Z178" s="95"/>
      <c r="AA178" s="95"/>
      <c r="AB178" s="95"/>
      <c r="AC178" s="95"/>
      <c r="AG178"/>
      <c r="AK178"/>
    </row>
    <row r="179" spans="1:37" ht="15" customHeight="1" x14ac:dyDescent="0.25">
      <c r="A179" s="116" t="s">
        <v>721</v>
      </c>
      <c r="B179" s="112" t="s">
        <v>946</v>
      </c>
      <c r="C179" s="101">
        <v>59290</v>
      </c>
      <c r="D179" s="102" t="s">
        <v>874</v>
      </c>
      <c r="E179" s="103" t="s">
        <v>46</v>
      </c>
      <c r="F179" s="103" t="s">
        <v>412</v>
      </c>
      <c r="G179" s="103" t="s">
        <v>954</v>
      </c>
      <c r="H179" s="103" t="s">
        <v>437</v>
      </c>
      <c r="I179" s="104">
        <v>44104</v>
      </c>
      <c r="J179" s="104">
        <v>44070</v>
      </c>
      <c r="K179" s="105">
        <v>32000</v>
      </c>
      <c r="M179"/>
      <c r="N179" s="95"/>
      <c r="O179" s="95"/>
      <c r="P179" s="95"/>
      <c r="Q179" s="95"/>
      <c r="R179" s="95"/>
      <c r="S179" s="95"/>
      <c r="T179" s="95"/>
      <c r="U179" s="95"/>
      <c r="V179" s="95"/>
      <c r="W179" s="95"/>
      <c r="X179" s="95"/>
      <c r="Y179" s="95"/>
      <c r="Z179" s="95"/>
      <c r="AA179" s="95"/>
      <c r="AB179" s="95"/>
      <c r="AC179" s="95"/>
      <c r="AG179"/>
      <c r="AK179"/>
    </row>
    <row r="180" spans="1:37" ht="15" customHeight="1" x14ac:dyDescent="0.25">
      <c r="A180" s="116" t="s">
        <v>755</v>
      </c>
      <c r="B180" s="112" t="s">
        <v>1139</v>
      </c>
      <c r="C180" s="101">
        <v>65098</v>
      </c>
      <c r="D180" s="102" t="s">
        <v>875</v>
      </c>
      <c r="E180" s="103" t="s">
        <v>46</v>
      </c>
      <c r="F180" s="103" t="s">
        <v>412</v>
      </c>
      <c r="G180" s="103" t="s">
        <v>422</v>
      </c>
      <c r="H180" s="103" t="s">
        <v>423</v>
      </c>
      <c r="I180" s="104">
        <v>45322</v>
      </c>
      <c r="J180" s="104">
        <v>45321</v>
      </c>
      <c r="K180" s="105">
        <v>64543.39</v>
      </c>
      <c r="M180"/>
      <c r="N180" s="95"/>
      <c r="O180" s="95"/>
      <c r="P180" s="95"/>
      <c r="Q180" s="95"/>
      <c r="R180" s="95"/>
      <c r="S180" s="95"/>
      <c r="T180" s="95"/>
      <c r="U180" s="95"/>
      <c r="V180" s="95"/>
      <c r="W180" s="95"/>
      <c r="X180" s="95"/>
      <c r="Y180" s="95"/>
      <c r="Z180" s="95"/>
      <c r="AA180" s="95"/>
      <c r="AB180" s="95"/>
      <c r="AC180" s="95"/>
      <c r="AG180"/>
      <c r="AK180"/>
    </row>
    <row r="181" spans="1:37" ht="15" customHeight="1" x14ac:dyDescent="0.25">
      <c r="A181" s="116" t="s">
        <v>755</v>
      </c>
      <c r="B181" s="112" t="s">
        <v>1139</v>
      </c>
      <c r="C181" s="101">
        <v>57563</v>
      </c>
      <c r="D181" s="102" t="s">
        <v>876</v>
      </c>
      <c r="E181" s="103" t="s">
        <v>46</v>
      </c>
      <c r="F181" s="103" t="s">
        <v>412</v>
      </c>
      <c r="G181" s="103" t="s">
        <v>953</v>
      </c>
      <c r="H181" s="103" t="s">
        <v>433</v>
      </c>
      <c r="I181" s="104">
        <v>43719</v>
      </c>
      <c r="J181" s="104">
        <v>43719</v>
      </c>
      <c r="K181" s="105">
        <v>14450</v>
      </c>
      <c r="M181"/>
      <c r="N181" s="95"/>
      <c r="O181" s="95"/>
      <c r="P181" s="95"/>
      <c r="Q181" s="95"/>
      <c r="R181" s="95"/>
      <c r="S181" s="95"/>
      <c r="T181" s="95"/>
      <c r="U181" s="95"/>
      <c r="V181" s="95"/>
      <c r="W181" s="95"/>
      <c r="X181" s="95"/>
      <c r="Y181" s="95"/>
      <c r="Z181" s="95"/>
      <c r="AA181" s="95"/>
      <c r="AB181" s="95"/>
      <c r="AC181" s="95"/>
      <c r="AG181"/>
      <c r="AK181"/>
    </row>
    <row r="182" spans="1:37" ht="15" customHeight="1" x14ac:dyDescent="0.25">
      <c r="A182" s="116" t="s">
        <v>755</v>
      </c>
      <c r="B182" s="112" t="s">
        <v>1139</v>
      </c>
      <c r="C182" s="101">
        <v>61254</v>
      </c>
      <c r="D182" s="102" t="s">
        <v>877</v>
      </c>
      <c r="E182" s="103" t="s">
        <v>46</v>
      </c>
      <c r="F182" s="103" t="s">
        <v>397</v>
      </c>
      <c r="G182" s="103" t="s">
        <v>422</v>
      </c>
      <c r="H182" s="103" t="s">
        <v>459</v>
      </c>
      <c r="I182" s="104">
        <v>44926</v>
      </c>
      <c r="J182" s="103"/>
      <c r="K182" s="105">
        <v>39129.96</v>
      </c>
      <c r="M182"/>
      <c r="N182" s="95"/>
      <c r="O182" s="95"/>
      <c r="P182" s="95"/>
      <c r="Q182" s="95"/>
      <c r="R182" s="95"/>
      <c r="S182" s="95"/>
      <c r="T182" s="95"/>
      <c r="U182" s="95"/>
      <c r="V182" s="95"/>
      <c r="W182" s="95"/>
      <c r="X182" s="95"/>
      <c r="Y182" s="95"/>
      <c r="Z182" s="95"/>
      <c r="AA182" s="95"/>
      <c r="AB182" s="95"/>
      <c r="AC182" s="95"/>
      <c r="AG182"/>
      <c r="AK182"/>
    </row>
    <row r="183" spans="1:37" ht="15" customHeight="1" x14ac:dyDescent="0.25">
      <c r="A183" s="116" t="s">
        <v>755</v>
      </c>
      <c r="B183" s="112" t="s">
        <v>1139</v>
      </c>
      <c r="C183" s="101">
        <v>60623</v>
      </c>
      <c r="D183" s="102" t="s">
        <v>878</v>
      </c>
      <c r="E183" s="103" t="s">
        <v>67</v>
      </c>
      <c r="F183" s="103" t="s">
        <v>412</v>
      </c>
      <c r="G183" s="103" t="s">
        <v>953</v>
      </c>
      <c r="H183" s="103" t="s">
        <v>481</v>
      </c>
      <c r="I183" s="104">
        <v>44469</v>
      </c>
      <c r="J183" s="104">
        <v>44454</v>
      </c>
      <c r="K183" s="105">
        <v>1450</v>
      </c>
      <c r="L183" s="95"/>
      <c r="M183"/>
      <c r="N183" s="95"/>
      <c r="O183" s="95"/>
      <c r="P183" s="95"/>
      <c r="Q183" s="95"/>
      <c r="R183" s="95"/>
      <c r="S183" s="95"/>
      <c r="T183" s="95"/>
      <c r="U183" s="95"/>
      <c r="V183" s="95"/>
      <c r="W183" s="95"/>
      <c r="X183" s="95"/>
      <c r="Y183" s="95"/>
      <c r="Z183" s="95"/>
      <c r="AA183" s="95"/>
      <c r="AB183" s="95"/>
      <c r="AC183" s="95"/>
      <c r="AG183"/>
      <c r="AK183"/>
    </row>
    <row r="184" spans="1:37" ht="15" customHeight="1" x14ac:dyDescent="0.25">
      <c r="A184" s="116" t="s">
        <v>755</v>
      </c>
      <c r="B184" s="112" t="s">
        <v>1139</v>
      </c>
      <c r="C184" s="101">
        <v>59824</v>
      </c>
      <c r="D184" s="102" t="s">
        <v>879</v>
      </c>
      <c r="E184" s="103" t="s">
        <v>46</v>
      </c>
      <c r="F184" s="103" t="s">
        <v>412</v>
      </c>
      <c r="G184" s="103" t="s">
        <v>954</v>
      </c>
      <c r="H184" s="103" t="s">
        <v>437</v>
      </c>
      <c r="I184" s="104">
        <v>44286</v>
      </c>
      <c r="J184" s="104">
        <v>44265</v>
      </c>
      <c r="K184" s="105">
        <v>50872.51</v>
      </c>
      <c r="L184" s="95"/>
      <c r="M184"/>
      <c r="N184" s="95"/>
      <c r="O184" s="95"/>
      <c r="P184" s="95"/>
      <c r="Q184" s="95"/>
      <c r="R184" s="95"/>
      <c r="S184" s="95"/>
      <c r="T184" s="95"/>
      <c r="U184" s="95"/>
      <c r="V184" s="95"/>
      <c r="W184" s="95"/>
      <c r="X184" s="95"/>
      <c r="Y184" s="95"/>
      <c r="Z184" s="95"/>
      <c r="AA184" s="95"/>
      <c r="AB184" s="95"/>
      <c r="AC184" s="95"/>
      <c r="AG184"/>
      <c r="AK184"/>
    </row>
    <row r="185" spans="1:37" ht="15" customHeight="1" x14ac:dyDescent="0.25">
      <c r="A185" s="116" t="s">
        <v>755</v>
      </c>
      <c r="B185" s="112" t="s">
        <v>1139</v>
      </c>
      <c r="C185" s="101">
        <v>61759</v>
      </c>
      <c r="D185" s="102" t="s">
        <v>880</v>
      </c>
      <c r="E185" s="103" t="s">
        <v>46</v>
      </c>
      <c r="F185" s="103" t="s">
        <v>397</v>
      </c>
      <c r="G185" s="103" t="s">
        <v>422</v>
      </c>
      <c r="H185" s="103" t="s">
        <v>437</v>
      </c>
      <c r="I185" s="104">
        <v>45077</v>
      </c>
      <c r="J185" s="103"/>
      <c r="K185" s="105">
        <v>42000</v>
      </c>
      <c r="L185" s="95"/>
      <c r="M185"/>
      <c r="N185" s="95"/>
      <c r="O185" s="95"/>
      <c r="P185" s="95"/>
      <c r="Q185" s="95"/>
      <c r="R185" s="95"/>
      <c r="S185" s="95"/>
      <c r="T185" s="95"/>
      <c r="U185" s="95"/>
      <c r="V185" s="95"/>
      <c r="W185" s="95"/>
      <c r="X185" s="95"/>
      <c r="Y185" s="95"/>
      <c r="Z185" s="95"/>
      <c r="AA185" s="95"/>
      <c r="AB185" s="95"/>
      <c r="AC185" s="95"/>
      <c r="AG185"/>
      <c r="AK185"/>
    </row>
    <row r="186" spans="1:37" ht="15" customHeight="1" x14ac:dyDescent="0.25">
      <c r="A186" s="116" t="s">
        <v>755</v>
      </c>
      <c r="B186" s="112" t="s">
        <v>1139</v>
      </c>
      <c r="C186" s="101">
        <v>65352</v>
      </c>
      <c r="D186" s="102" t="s">
        <v>881</v>
      </c>
      <c r="E186" s="103" t="s">
        <v>46</v>
      </c>
      <c r="F186" s="103" t="s">
        <v>400</v>
      </c>
      <c r="G186" s="103" t="s">
        <v>954</v>
      </c>
      <c r="H186" s="103" t="s">
        <v>437</v>
      </c>
      <c r="I186" s="104">
        <v>45471</v>
      </c>
      <c r="J186" s="103"/>
      <c r="K186" s="105">
        <v>16800</v>
      </c>
      <c r="L186" s="95"/>
      <c r="M186"/>
      <c r="N186" s="95"/>
      <c r="O186" s="95"/>
      <c r="P186" s="95"/>
      <c r="Q186" s="95"/>
      <c r="R186" s="95"/>
      <c r="S186" s="95"/>
      <c r="T186" s="95"/>
      <c r="U186" s="95"/>
      <c r="V186" s="95"/>
      <c r="W186" s="95"/>
      <c r="X186" s="95"/>
      <c r="Y186" s="95"/>
      <c r="Z186" s="95"/>
      <c r="AA186" s="95"/>
      <c r="AB186" s="95"/>
      <c r="AC186" s="95"/>
      <c r="AG186"/>
      <c r="AK186"/>
    </row>
    <row r="187" spans="1:37" ht="15" customHeight="1" x14ac:dyDescent="0.25">
      <c r="A187" s="116" t="s">
        <v>755</v>
      </c>
      <c r="B187" s="112" t="s">
        <v>1139</v>
      </c>
      <c r="C187" s="101">
        <v>65253</v>
      </c>
      <c r="D187" s="102" t="s">
        <v>882</v>
      </c>
      <c r="E187" s="103" t="s">
        <v>46</v>
      </c>
      <c r="F187" s="103" t="s">
        <v>412</v>
      </c>
      <c r="G187" s="103" t="s">
        <v>954</v>
      </c>
      <c r="H187" s="103" t="s">
        <v>437</v>
      </c>
      <c r="I187" s="104">
        <v>45351</v>
      </c>
      <c r="J187" s="104">
        <v>45344</v>
      </c>
      <c r="K187" s="105">
        <v>8400</v>
      </c>
      <c r="L187" s="95"/>
      <c r="M187"/>
      <c r="N187" s="95"/>
      <c r="O187" s="95"/>
      <c r="P187" s="95"/>
      <c r="Q187" s="95"/>
      <c r="R187" s="95"/>
      <c r="S187" s="95"/>
      <c r="T187" s="95"/>
      <c r="U187" s="95"/>
      <c r="V187" s="95"/>
      <c r="W187" s="95"/>
      <c r="X187" s="95"/>
      <c r="Y187" s="95"/>
      <c r="Z187" s="95"/>
      <c r="AA187" s="95"/>
      <c r="AB187" s="95"/>
      <c r="AC187" s="95"/>
      <c r="AG187"/>
      <c r="AK187"/>
    </row>
    <row r="188" spans="1:37" ht="15" customHeight="1" x14ac:dyDescent="0.25">
      <c r="A188" s="116" t="s">
        <v>755</v>
      </c>
      <c r="B188" s="112" t="s">
        <v>1139</v>
      </c>
      <c r="C188" s="101">
        <v>63974</v>
      </c>
      <c r="D188" s="102" t="s">
        <v>883</v>
      </c>
      <c r="E188" s="103" t="s">
        <v>484</v>
      </c>
      <c r="F188" s="103" t="s">
        <v>412</v>
      </c>
      <c r="G188" s="103" t="s">
        <v>954</v>
      </c>
      <c r="H188" s="103" t="s">
        <v>437</v>
      </c>
      <c r="I188" s="104">
        <v>45071</v>
      </c>
      <c r="J188" s="104">
        <v>45071</v>
      </c>
      <c r="K188" s="105">
        <v>3200</v>
      </c>
      <c r="L188" s="95"/>
      <c r="M188"/>
      <c r="N188" s="95"/>
      <c r="O188" s="95"/>
      <c r="P188" s="95"/>
      <c r="Q188" s="95"/>
      <c r="R188" s="95"/>
      <c r="S188" s="95"/>
      <c r="T188" s="95"/>
      <c r="U188" s="95"/>
      <c r="V188" s="95"/>
      <c r="W188" s="95"/>
      <c r="X188" s="95"/>
      <c r="Y188" s="95"/>
      <c r="Z188" s="95"/>
      <c r="AA188" s="95"/>
      <c r="AB188" s="95"/>
      <c r="AC188" s="95"/>
      <c r="AG188"/>
      <c r="AK188"/>
    </row>
    <row r="189" spans="1:37" ht="15" customHeight="1" x14ac:dyDescent="0.25">
      <c r="A189" s="116" t="s">
        <v>755</v>
      </c>
      <c r="B189" s="112" t="s">
        <v>1139</v>
      </c>
      <c r="C189" s="101">
        <v>57935</v>
      </c>
      <c r="D189" s="102" t="s">
        <v>884</v>
      </c>
      <c r="E189" s="103" t="s">
        <v>46</v>
      </c>
      <c r="F189" s="103" t="s">
        <v>397</v>
      </c>
      <c r="G189" s="103" t="s">
        <v>425</v>
      </c>
      <c r="H189" s="103" t="s">
        <v>437</v>
      </c>
      <c r="I189" s="104">
        <v>44012</v>
      </c>
      <c r="J189" s="103"/>
      <c r="K189" s="105">
        <v>15600</v>
      </c>
      <c r="L189" s="95"/>
      <c r="M189"/>
      <c r="N189" s="95"/>
      <c r="O189" s="95"/>
      <c r="P189" s="95"/>
      <c r="Q189" s="95"/>
      <c r="R189" s="95"/>
      <c r="S189" s="95"/>
      <c r="T189" s="95"/>
      <c r="U189" s="95"/>
      <c r="V189" s="95"/>
      <c r="W189" s="95"/>
      <c r="X189" s="95"/>
      <c r="Y189" s="95"/>
      <c r="Z189" s="95"/>
      <c r="AA189" s="95"/>
      <c r="AB189" s="95"/>
      <c r="AC189" s="95"/>
      <c r="AG189"/>
      <c r="AK189"/>
    </row>
    <row r="190" spans="1:37" ht="15" customHeight="1" x14ac:dyDescent="0.25">
      <c r="A190" s="116" t="s">
        <v>755</v>
      </c>
      <c r="B190" s="112" t="s">
        <v>1139</v>
      </c>
      <c r="C190" s="101">
        <v>60653</v>
      </c>
      <c r="D190" s="102" t="s">
        <v>885</v>
      </c>
      <c r="E190" s="103" t="s">
        <v>46</v>
      </c>
      <c r="F190" s="103" t="s">
        <v>412</v>
      </c>
      <c r="G190" s="103" t="s">
        <v>954</v>
      </c>
      <c r="H190" s="103" t="s">
        <v>437</v>
      </c>
      <c r="I190" s="104">
        <v>44469</v>
      </c>
      <c r="J190" s="104">
        <v>44454</v>
      </c>
      <c r="K190" s="105">
        <v>51100.03</v>
      </c>
      <c r="L190" s="95"/>
      <c r="M190"/>
      <c r="N190" s="95"/>
      <c r="O190" s="95"/>
      <c r="P190" s="95"/>
      <c r="Q190" s="95"/>
      <c r="R190" s="95"/>
      <c r="S190" s="95"/>
      <c r="T190" s="95"/>
      <c r="U190" s="95"/>
      <c r="V190" s="95"/>
      <c r="W190" s="95"/>
      <c r="X190" s="95"/>
      <c r="Y190" s="95"/>
      <c r="Z190" s="95"/>
      <c r="AA190" s="95"/>
      <c r="AB190" s="95"/>
      <c r="AC190" s="95"/>
      <c r="AG190"/>
      <c r="AK190"/>
    </row>
    <row r="191" spans="1:37" ht="15" customHeight="1" x14ac:dyDescent="0.25">
      <c r="A191" s="116" t="s">
        <v>755</v>
      </c>
      <c r="B191" s="112" t="s">
        <v>1139</v>
      </c>
      <c r="C191" s="101">
        <v>64450</v>
      </c>
      <c r="D191" s="102" t="s">
        <v>886</v>
      </c>
      <c r="E191" s="103" t="s">
        <v>46</v>
      </c>
      <c r="F191" s="103" t="s">
        <v>401</v>
      </c>
      <c r="G191" s="103" t="s">
        <v>422</v>
      </c>
      <c r="H191" s="103" t="s">
        <v>437</v>
      </c>
      <c r="I191" s="104">
        <v>45379</v>
      </c>
      <c r="J191" s="103"/>
      <c r="K191" s="105">
        <v>50400</v>
      </c>
      <c r="L191" s="95"/>
      <c r="M191"/>
      <c r="N191" s="95"/>
      <c r="O191" s="95"/>
      <c r="P191" s="95"/>
      <c r="Q191" s="95"/>
      <c r="R191" s="95"/>
      <c r="S191" s="95"/>
      <c r="T191" s="95"/>
      <c r="U191" s="95"/>
      <c r="V191" s="95"/>
      <c r="W191" s="95"/>
      <c r="X191" s="95"/>
      <c r="Y191" s="95"/>
      <c r="Z191" s="95"/>
      <c r="AA191" s="95"/>
      <c r="AB191" s="95"/>
      <c r="AC191" s="95"/>
      <c r="AG191"/>
      <c r="AK191"/>
    </row>
    <row r="192" spans="1:37" ht="15" customHeight="1" x14ac:dyDescent="0.25">
      <c r="A192" s="116" t="s">
        <v>548</v>
      </c>
      <c r="B192" s="112" t="s">
        <v>549</v>
      </c>
      <c r="C192" s="101">
        <v>65310</v>
      </c>
      <c r="D192" s="102" t="s">
        <v>887</v>
      </c>
      <c r="E192" s="103" t="s">
        <v>510</v>
      </c>
      <c r="F192" s="103" t="s">
        <v>440</v>
      </c>
      <c r="G192" s="103" t="s">
        <v>417</v>
      </c>
      <c r="H192" s="103" t="s">
        <v>414</v>
      </c>
      <c r="I192" s="104">
        <v>45894</v>
      </c>
      <c r="J192" s="103"/>
      <c r="K192" s="105">
        <v>875700</v>
      </c>
      <c r="L192" s="95"/>
      <c r="M192"/>
      <c r="N192" s="95"/>
      <c r="O192" s="95"/>
      <c r="P192" s="95"/>
      <c r="Q192" s="95"/>
      <c r="R192" s="95"/>
      <c r="S192" s="95"/>
      <c r="T192" s="95"/>
      <c r="U192" s="95"/>
      <c r="V192" s="95"/>
      <c r="W192" s="95"/>
      <c r="X192" s="95"/>
      <c r="Y192" s="95"/>
      <c r="Z192" s="95"/>
      <c r="AA192" s="95"/>
      <c r="AB192" s="95"/>
      <c r="AC192" s="95"/>
      <c r="AG192"/>
      <c r="AK192"/>
    </row>
    <row r="193" spans="1:37" ht="15" customHeight="1" x14ac:dyDescent="0.25">
      <c r="A193" s="116" t="s">
        <v>548</v>
      </c>
      <c r="B193" s="112" t="s">
        <v>549</v>
      </c>
      <c r="C193" s="101">
        <v>63641</v>
      </c>
      <c r="D193" s="102" t="s">
        <v>888</v>
      </c>
      <c r="E193" s="103" t="s">
        <v>510</v>
      </c>
      <c r="F193" s="103" t="s">
        <v>412</v>
      </c>
      <c r="G193" s="103" t="s">
        <v>417</v>
      </c>
      <c r="H193" s="103" t="s">
        <v>414</v>
      </c>
      <c r="I193" s="104">
        <v>45169</v>
      </c>
      <c r="J193" s="104">
        <v>45169</v>
      </c>
      <c r="K193" s="105">
        <v>834000</v>
      </c>
      <c r="L193" s="95"/>
      <c r="M193"/>
      <c r="N193" s="95"/>
      <c r="O193" s="95"/>
      <c r="P193" s="95"/>
      <c r="Q193" s="95"/>
      <c r="R193" s="95"/>
      <c r="S193" s="95"/>
      <c r="T193" s="95"/>
      <c r="U193" s="95"/>
      <c r="V193" s="95"/>
      <c r="W193" s="95"/>
      <c r="X193" s="95"/>
      <c r="Y193" s="95"/>
      <c r="Z193" s="95"/>
      <c r="AA193" s="95"/>
      <c r="AB193" s="95"/>
      <c r="AC193" s="95"/>
      <c r="AG193"/>
      <c r="AK193"/>
    </row>
    <row r="194" spans="1:37" ht="15" customHeight="1" x14ac:dyDescent="0.25">
      <c r="A194" s="116" t="s">
        <v>548</v>
      </c>
      <c r="B194" s="112" t="s">
        <v>549</v>
      </c>
      <c r="C194" s="101">
        <v>60923</v>
      </c>
      <c r="D194" s="102" t="s">
        <v>889</v>
      </c>
      <c r="E194" s="103" t="s">
        <v>510</v>
      </c>
      <c r="F194" s="103" t="s">
        <v>412</v>
      </c>
      <c r="G194" s="103" t="s">
        <v>447</v>
      </c>
      <c r="H194" s="103" t="s">
        <v>437</v>
      </c>
      <c r="I194" s="104">
        <v>44439</v>
      </c>
      <c r="J194" s="104">
        <v>44424</v>
      </c>
      <c r="K194" s="105">
        <v>795943.5</v>
      </c>
      <c r="L194" s="95"/>
      <c r="M194"/>
      <c r="N194" s="95"/>
      <c r="O194" s="95"/>
      <c r="P194" s="95"/>
      <c r="Q194" s="95"/>
      <c r="R194" s="95"/>
      <c r="S194" s="95"/>
      <c r="T194" s="95"/>
      <c r="U194" s="95"/>
      <c r="V194" s="95"/>
      <c r="W194" s="95"/>
      <c r="X194" s="95"/>
      <c r="Y194" s="95"/>
      <c r="Z194" s="95"/>
      <c r="AA194" s="95"/>
      <c r="AB194" s="95"/>
      <c r="AC194" s="95"/>
      <c r="AG194"/>
      <c r="AK194"/>
    </row>
    <row r="195" spans="1:37" ht="15" customHeight="1" x14ac:dyDescent="0.25">
      <c r="A195" s="116" t="s">
        <v>548</v>
      </c>
      <c r="B195" s="112" t="s">
        <v>549</v>
      </c>
      <c r="C195" s="101">
        <v>61732</v>
      </c>
      <c r="D195" s="102" t="s">
        <v>579</v>
      </c>
      <c r="E195" s="103" t="s">
        <v>579</v>
      </c>
      <c r="F195" s="103" t="s">
        <v>397</v>
      </c>
      <c r="G195" s="103" t="s">
        <v>447</v>
      </c>
      <c r="H195" s="103" t="s">
        <v>437</v>
      </c>
      <c r="I195" s="104">
        <v>44742</v>
      </c>
      <c r="J195" s="103"/>
      <c r="K195" s="105">
        <v>26185.8</v>
      </c>
      <c r="L195" s="95"/>
      <c r="M195"/>
      <c r="N195" s="95"/>
      <c r="O195" s="97"/>
      <c r="P195" s="95"/>
      <c r="Q195" s="95"/>
      <c r="R195" s="95"/>
      <c r="S195" s="95"/>
      <c r="T195" s="95"/>
      <c r="U195" s="95"/>
      <c r="V195" s="95"/>
      <c r="W195" s="95"/>
      <c r="X195" s="95"/>
      <c r="Y195" s="95"/>
      <c r="Z195" s="95"/>
      <c r="AA195" s="95"/>
      <c r="AB195" s="95"/>
      <c r="AC195" s="95"/>
      <c r="AG195"/>
      <c r="AK195"/>
    </row>
    <row r="196" spans="1:37" ht="15" customHeight="1" x14ac:dyDescent="0.25">
      <c r="A196" s="116" t="s">
        <v>548</v>
      </c>
      <c r="B196" s="112" t="s">
        <v>549</v>
      </c>
      <c r="C196" s="101">
        <v>63813</v>
      </c>
      <c r="D196" s="102" t="s">
        <v>890</v>
      </c>
      <c r="E196" s="103" t="s">
        <v>46</v>
      </c>
      <c r="F196" s="103" t="s">
        <v>446</v>
      </c>
      <c r="G196" s="103" t="s">
        <v>447</v>
      </c>
      <c r="H196" s="103" t="s">
        <v>437</v>
      </c>
      <c r="I196" s="104">
        <v>45289</v>
      </c>
      <c r="J196" s="103"/>
      <c r="K196" s="105">
        <v>0</v>
      </c>
      <c r="L196" s="95"/>
      <c r="M196"/>
      <c r="N196" s="95"/>
      <c r="O196" s="97"/>
      <c r="P196" s="95"/>
      <c r="Q196" s="95"/>
      <c r="R196" s="95"/>
      <c r="S196" s="95"/>
      <c r="T196" s="95"/>
      <c r="U196" s="95"/>
      <c r="V196" s="95"/>
      <c r="W196" s="95"/>
      <c r="X196" s="95"/>
      <c r="Y196" s="95"/>
      <c r="Z196" s="95"/>
      <c r="AA196" s="95"/>
      <c r="AB196" s="95"/>
      <c r="AC196" s="95"/>
      <c r="AG196"/>
      <c r="AK196"/>
    </row>
    <row r="197" spans="1:37" ht="15" customHeight="1" x14ac:dyDescent="0.25">
      <c r="A197" s="116" t="s">
        <v>548</v>
      </c>
      <c r="B197" s="112" t="s">
        <v>549</v>
      </c>
      <c r="C197" s="101">
        <v>63722</v>
      </c>
      <c r="D197" s="102" t="s">
        <v>891</v>
      </c>
      <c r="E197" s="103" t="s">
        <v>67</v>
      </c>
      <c r="F197" s="103" t="s">
        <v>397</v>
      </c>
      <c r="G197" s="103" t="s">
        <v>447</v>
      </c>
      <c r="H197" s="103" t="s">
        <v>437</v>
      </c>
      <c r="I197" s="104">
        <v>45291</v>
      </c>
      <c r="J197" s="103"/>
      <c r="K197" s="105">
        <v>0</v>
      </c>
      <c r="L197" s="95"/>
      <c r="M197"/>
      <c r="N197" s="95"/>
      <c r="O197" s="97"/>
      <c r="P197" s="95"/>
      <c r="Q197" s="95"/>
      <c r="R197" s="95"/>
      <c r="S197" s="95"/>
      <c r="T197" s="95"/>
      <c r="U197" s="95"/>
      <c r="V197" s="95"/>
      <c r="W197" s="95"/>
      <c r="X197" s="95"/>
      <c r="Y197" s="95"/>
      <c r="Z197" s="95"/>
      <c r="AA197" s="95"/>
      <c r="AB197" s="95"/>
      <c r="AC197" s="95"/>
      <c r="AG197"/>
      <c r="AK197"/>
    </row>
    <row r="198" spans="1:37" ht="15" customHeight="1" x14ac:dyDescent="0.25">
      <c r="A198" s="116" t="s">
        <v>548</v>
      </c>
      <c r="B198" s="112" t="s">
        <v>549</v>
      </c>
      <c r="C198" s="101">
        <v>64977</v>
      </c>
      <c r="D198" s="102" t="s">
        <v>892</v>
      </c>
      <c r="E198" s="103" t="s">
        <v>68</v>
      </c>
      <c r="F198" s="103" t="s">
        <v>397</v>
      </c>
      <c r="G198" s="103" t="s">
        <v>447</v>
      </c>
      <c r="H198" s="103" t="s">
        <v>437</v>
      </c>
      <c r="I198" s="104">
        <v>45291</v>
      </c>
      <c r="J198" s="103"/>
      <c r="K198" s="105">
        <v>240</v>
      </c>
      <c r="L198" s="95"/>
      <c r="M198"/>
      <c r="N198" s="95"/>
      <c r="O198" s="97"/>
      <c r="P198" s="95"/>
      <c r="Q198" s="95"/>
      <c r="R198" s="95"/>
      <c r="S198" s="95"/>
      <c r="T198" s="95"/>
      <c r="U198" s="95"/>
      <c r="V198" s="95"/>
      <c r="W198" s="95"/>
      <c r="X198" s="95"/>
      <c r="Y198" s="95"/>
      <c r="Z198" s="95"/>
      <c r="AA198" s="95"/>
      <c r="AB198" s="95"/>
      <c r="AC198" s="95"/>
      <c r="AG198"/>
      <c r="AK198"/>
    </row>
    <row r="199" spans="1:37" ht="15" customHeight="1" x14ac:dyDescent="0.25">
      <c r="A199" s="116" t="s">
        <v>548</v>
      </c>
      <c r="B199" s="112" t="s">
        <v>549</v>
      </c>
      <c r="C199" s="101">
        <v>62972</v>
      </c>
      <c r="D199" s="102" t="s">
        <v>893</v>
      </c>
      <c r="E199" s="103" t="s">
        <v>510</v>
      </c>
      <c r="F199" s="103" t="s">
        <v>397</v>
      </c>
      <c r="G199" s="103" t="s">
        <v>422</v>
      </c>
      <c r="H199" s="103" t="s">
        <v>437</v>
      </c>
      <c r="I199" s="104">
        <v>45138</v>
      </c>
      <c r="J199" s="103"/>
      <c r="K199" s="105">
        <v>0</v>
      </c>
      <c r="L199" s="95"/>
      <c r="M199"/>
      <c r="N199" s="95"/>
      <c r="O199" s="97"/>
      <c r="P199" s="95"/>
      <c r="Q199" s="95"/>
      <c r="R199" s="95"/>
      <c r="S199" s="95"/>
      <c r="T199" s="95"/>
      <c r="U199" s="95"/>
      <c r="V199" s="95"/>
      <c r="W199" s="95"/>
      <c r="X199" s="95"/>
      <c r="Y199" s="95"/>
      <c r="Z199" s="95"/>
      <c r="AA199" s="95"/>
      <c r="AB199" s="95"/>
      <c r="AC199" s="95"/>
      <c r="AG199"/>
      <c r="AK199"/>
    </row>
    <row r="200" spans="1:37" ht="15" customHeight="1" x14ac:dyDescent="0.25">
      <c r="A200" s="116" t="s">
        <v>548</v>
      </c>
      <c r="B200" s="112" t="s">
        <v>549</v>
      </c>
      <c r="C200" s="101">
        <v>63368</v>
      </c>
      <c r="D200" s="102" t="s">
        <v>894</v>
      </c>
      <c r="E200" s="103" t="s">
        <v>68</v>
      </c>
      <c r="F200" s="103" t="s">
        <v>440</v>
      </c>
      <c r="G200" s="103" t="s">
        <v>447</v>
      </c>
      <c r="H200" s="103" t="s">
        <v>437</v>
      </c>
      <c r="I200" s="104">
        <v>45657</v>
      </c>
      <c r="J200" s="103"/>
      <c r="K200" s="105">
        <v>0</v>
      </c>
      <c r="L200" s="95"/>
      <c r="M200"/>
      <c r="N200" s="95"/>
      <c r="O200" s="97"/>
      <c r="P200" s="95"/>
      <c r="Q200" s="95"/>
      <c r="R200" s="95"/>
      <c r="S200" s="95"/>
      <c r="T200" s="95"/>
      <c r="U200" s="95"/>
      <c r="V200" s="95"/>
      <c r="W200" s="95"/>
      <c r="X200" s="95"/>
      <c r="Y200" s="95"/>
      <c r="Z200" s="95"/>
      <c r="AA200" s="95"/>
      <c r="AB200" s="95"/>
      <c r="AC200" s="95"/>
      <c r="AG200"/>
      <c r="AK200"/>
    </row>
    <row r="201" spans="1:37" ht="15" customHeight="1" x14ac:dyDescent="0.25">
      <c r="A201" s="116" t="s">
        <v>548</v>
      </c>
      <c r="B201" s="112" t="s">
        <v>549</v>
      </c>
      <c r="C201" s="101">
        <v>64935</v>
      </c>
      <c r="D201" s="102" t="s">
        <v>895</v>
      </c>
      <c r="E201" s="103" t="s">
        <v>896</v>
      </c>
      <c r="F201" s="103" t="s">
        <v>397</v>
      </c>
      <c r="G201" s="103" t="s">
        <v>447</v>
      </c>
      <c r="H201" s="103" t="s">
        <v>437</v>
      </c>
      <c r="I201" s="104">
        <v>45291</v>
      </c>
      <c r="J201" s="103"/>
      <c r="K201" s="105">
        <v>0</v>
      </c>
      <c r="L201" s="95"/>
      <c r="M201"/>
      <c r="N201" s="95"/>
      <c r="O201" s="97"/>
      <c r="P201" s="95"/>
      <c r="Q201" s="95"/>
      <c r="R201" s="95"/>
      <c r="S201" s="95"/>
      <c r="T201" s="95"/>
      <c r="U201" s="95"/>
      <c r="V201" s="95"/>
      <c r="W201" s="95"/>
      <c r="X201" s="95"/>
      <c r="Y201" s="95"/>
      <c r="Z201" s="95"/>
      <c r="AA201" s="95"/>
      <c r="AB201" s="95"/>
      <c r="AC201" s="95"/>
      <c r="AG201"/>
      <c r="AK201"/>
    </row>
    <row r="202" spans="1:37" ht="15" customHeight="1" x14ac:dyDescent="0.25">
      <c r="A202" s="116" t="s">
        <v>576</v>
      </c>
      <c r="B202" s="112" t="s">
        <v>549</v>
      </c>
      <c r="C202" s="101">
        <v>63639</v>
      </c>
      <c r="D202" s="102" t="s">
        <v>897</v>
      </c>
      <c r="E202" s="103" t="s">
        <v>579</v>
      </c>
      <c r="F202" s="103" t="s">
        <v>401</v>
      </c>
      <c r="G202" s="103" t="s">
        <v>417</v>
      </c>
      <c r="H202" s="103" t="s">
        <v>414</v>
      </c>
      <c r="I202" s="104">
        <v>45472</v>
      </c>
      <c r="J202" s="103"/>
      <c r="K202" s="105">
        <v>25000</v>
      </c>
      <c r="L202" s="95"/>
      <c r="M202"/>
      <c r="N202" s="95"/>
      <c r="O202" s="97"/>
      <c r="P202" s="95"/>
      <c r="Q202" s="95"/>
      <c r="R202" s="95"/>
      <c r="S202" s="95"/>
      <c r="T202" s="95"/>
      <c r="U202" s="95"/>
      <c r="V202" s="95"/>
      <c r="W202" s="95"/>
      <c r="X202" s="95"/>
      <c r="Y202" s="95"/>
      <c r="Z202" s="95"/>
      <c r="AA202" s="95"/>
      <c r="AB202" s="95"/>
      <c r="AC202" s="95"/>
      <c r="AG202"/>
      <c r="AK202"/>
    </row>
    <row r="203" spans="1:37" ht="15" customHeight="1" x14ac:dyDescent="0.25">
      <c r="A203" s="116" t="s">
        <v>576</v>
      </c>
      <c r="B203" s="112" t="s">
        <v>549</v>
      </c>
      <c r="C203" s="101">
        <v>61648</v>
      </c>
      <c r="D203" s="102" t="s">
        <v>898</v>
      </c>
      <c r="E203" s="103" t="s">
        <v>579</v>
      </c>
      <c r="F203" s="103" t="s">
        <v>401</v>
      </c>
      <c r="G203" s="103" t="s">
        <v>417</v>
      </c>
      <c r="H203" s="103" t="s">
        <v>414</v>
      </c>
      <c r="I203" s="104">
        <v>45382</v>
      </c>
      <c r="J203" s="103"/>
      <c r="K203" s="105">
        <v>50000</v>
      </c>
      <c r="L203" s="95"/>
      <c r="M203"/>
      <c r="N203" s="95"/>
      <c r="O203" s="97"/>
      <c r="P203" s="95"/>
      <c r="Q203" s="95"/>
      <c r="R203" s="95"/>
      <c r="S203" s="95"/>
      <c r="T203" s="95"/>
      <c r="U203" s="95"/>
      <c r="V203" s="95"/>
      <c r="W203" s="95"/>
      <c r="X203" s="95"/>
      <c r="Y203" s="95"/>
      <c r="Z203" s="95"/>
      <c r="AA203" s="95"/>
      <c r="AB203" s="95"/>
      <c r="AC203" s="95"/>
      <c r="AG203"/>
      <c r="AK203"/>
    </row>
    <row r="204" spans="1:37" ht="15" customHeight="1" x14ac:dyDescent="0.25">
      <c r="A204" s="116" t="s">
        <v>576</v>
      </c>
      <c r="B204" s="112" t="s">
        <v>549</v>
      </c>
      <c r="C204" s="101">
        <v>63638</v>
      </c>
      <c r="D204" s="102" t="s">
        <v>899</v>
      </c>
      <c r="E204" s="103" t="s">
        <v>579</v>
      </c>
      <c r="F204" s="103" t="s">
        <v>412</v>
      </c>
      <c r="G204" s="103" t="s">
        <v>417</v>
      </c>
      <c r="H204" s="103" t="s">
        <v>414</v>
      </c>
      <c r="I204" s="104">
        <v>45282</v>
      </c>
      <c r="J204" s="104">
        <v>45282</v>
      </c>
      <c r="K204" s="105">
        <v>75000</v>
      </c>
      <c r="L204" s="95"/>
      <c r="M204"/>
      <c r="N204" s="95"/>
      <c r="O204" s="98"/>
      <c r="P204" s="95"/>
      <c r="Q204" s="95"/>
      <c r="R204" s="95"/>
      <c r="S204" s="95"/>
      <c r="T204" s="95"/>
      <c r="U204" s="95"/>
      <c r="V204" s="95"/>
      <c r="W204" s="95"/>
      <c r="X204" s="95"/>
      <c r="Y204" s="95"/>
      <c r="Z204" s="95"/>
      <c r="AA204" s="95"/>
      <c r="AB204" s="95"/>
      <c r="AC204" s="95"/>
      <c r="AG204"/>
      <c r="AK204"/>
    </row>
    <row r="205" spans="1:37" ht="15" customHeight="1" x14ac:dyDescent="0.25">
      <c r="A205" s="116" t="s">
        <v>576</v>
      </c>
      <c r="B205" s="112" t="s">
        <v>549</v>
      </c>
      <c r="C205" s="101">
        <v>61341</v>
      </c>
      <c r="D205" s="102" t="s">
        <v>900</v>
      </c>
      <c r="E205" s="103" t="s">
        <v>579</v>
      </c>
      <c r="F205" s="103" t="s">
        <v>397</v>
      </c>
      <c r="G205" s="103" t="s">
        <v>422</v>
      </c>
      <c r="H205" s="103" t="s">
        <v>437</v>
      </c>
      <c r="I205" s="104">
        <v>44926</v>
      </c>
      <c r="J205" s="103"/>
      <c r="K205" s="105">
        <v>355795.73</v>
      </c>
      <c r="L205" s="95"/>
      <c r="M205"/>
      <c r="N205" s="95"/>
      <c r="O205" s="97"/>
      <c r="P205" s="95"/>
      <c r="Q205" s="95"/>
      <c r="R205" s="95"/>
      <c r="S205" s="95"/>
      <c r="T205" s="95"/>
      <c r="U205" s="95"/>
      <c r="V205" s="95"/>
      <c r="W205" s="95"/>
      <c r="X205" s="95"/>
      <c r="Y205" s="95"/>
      <c r="Z205" s="95"/>
      <c r="AA205" s="95"/>
      <c r="AB205" s="95"/>
      <c r="AC205" s="95"/>
      <c r="AG205"/>
      <c r="AK205"/>
    </row>
    <row r="206" spans="1:37" ht="15" customHeight="1" x14ac:dyDescent="0.25">
      <c r="A206" s="116" t="s">
        <v>576</v>
      </c>
      <c r="B206" s="112" t="s">
        <v>549</v>
      </c>
      <c r="C206" s="101">
        <v>59267</v>
      </c>
      <c r="D206" s="102" t="s">
        <v>901</v>
      </c>
      <c r="E206" s="103" t="s">
        <v>579</v>
      </c>
      <c r="F206" s="103" t="s">
        <v>412</v>
      </c>
      <c r="G206" s="103" t="s">
        <v>447</v>
      </c>
      <c r="H206" s="103" t="s">
        <v>437</v>
      </c>
      <c r="I206" s="103"/>
      <c r="J206" s="104">
        <v>44130</v>
      </c>
      <c r="K206" s="105">
        <v>235440.15</v>
      </c>
      <c r="L206" s="95"/>
      <c r="M206"/>
      <c r="N206" s="95"/>
      <c r="O206" s="97"/>
      <c r="P206" s="95"/>
      <c r="Q206" s="95"/>
      <c r="R206" s="95"/>
      <c r="S206" s="95"/>
      <c r="T206" s="95"/>
      <c r="U206" s="95"/>
      <c r="V206" s="95"/>
      <c r="W206" s="95"/>
      <c r="X206" s="95"/>
      <c r="Y206" s="95"/>
      <c r="Z206" s="95"/>
      <c r="AA206" s="95"/>
      <c r="AB206" s="95"/>
      <c r="AC206" s="95"/>
      <c r="AG206"/>
      <c r="AK206"/>
    </row>
    <row r="207" spans="1:37" ht="15" customHeight="1" x14ac:dyDescent="0.25">
      <c r="A207" s="116" t="s">
        <v>576</v>
      </c>
      <c r="B207" s="112" t="s">
        <v>549</v>
      </c>
      <c r="C207" s="101">
        <v>61729</v>
      </c>
      <c r="D207" s="102" t="s">
        <v>902</v>
      </c>
      <c r="E207" s="103" t="s">
        <v>579</v>
      </c>
      <c r="F207" s="103" t="s">
        <v>397</v>
      </c>
      <c r="G207" s="103" t="s">
        <v>447</v>
      </c>
      <c r="H207" s="103" t="s">
        <v>437</v>
      </c>
      <c r="I207" s="104">
        <v>44742</v>
      </c>
      <c r="J207" s="103"/>
      <c r="K207" s="105">
        <v>26185.8</v>
      </c>
      <c r="L207" s="94"/>
      <c r="M207"/>
      <c r="N207" s="95"/>
      <c r="O207" s="97"/>
      <c r="P207" s="95"/>
      <c r="Q207" s="95"/>
      <c r="R207" s="95"/>
      <c r="S207" s="95"/>
      <c r="T207" s="95"/>
      <c r="U207" s="95"/>
      <c r="V207" s="95"/>
      <c r="W207" s="95"/>
      <c r="X207" s="95"/>
      <c r="Y207" s="95"/>
      <c r="Z207" s="95"/>
      <c r="AA207" s="95"/>
      <c r="AB207" s="95"/>
      <c r="AC207" s="95"/>
      <c r="AG207"/>
      <c r="AK207"/>
    </row>
    <row r="208" spans="1:37" ht="15" customHeight="1" x14ac:dyDescent="0.25">
      <c r="A208" s="116" t="s">
        <v>576</v>
      </c>
      <c r="B208" s="112" t="s">
        <v>549</v>
      </c>
      <c r="C208" s="101">
        <v>60163</v>
      </c>
      <c r="D208" s="102" t="s">
        <v>903</v>
      </c>
      <c r="E208" s="103" t="s">
        <v>579</v>
      </c>
      <c r="F208" s="103" t="s">
        <v>412</v>
      </c>
      <c r="G208" s="103" t="s">
        <v>447</v>
      </c>
      <c r="H208" s="103" t="s">
        <v>437</v>
      </c>
      <c r="I208" s="104">
        <v>44377</v>
      </c>
      <c r="J208" s="104">
        <v>44375</v>
      </c>
      <c r="K208" s="105">
        <v>213000.01</v>
      </c>
      <c r="L208" s="95"/>
      <c r="M208"/>
      <c r="N208" s="95"/>
      <c r="O208" s="97"/>
      <c r="P208" s="95"/>
      <c r="Q208" s="95"/>
      <c r="R208" s="95"/>
      <c r="S208" s="95"/>
      <c r="T208" s="95"/>
      <c r="U208" s="95"/>
      <c r="V208" s="95"/>
      <c r="W208" s="95"/>
      <c r="X208" s="95"/>
      <c r="Y208" s="95"/>
      <c r="Z208" s="95"/>
      <c r="AA208" s="95"/>
      <c r="AB208" s="95"/>
      <c r="AC208" s="95"/>
      <c r="AG208"/>
      <c r="AK208"/>
    </row>
    <row r="209" spans="1:37" ht="15" customHeight="1" x14ac:dyDescent="0.25">
      <c r="A209" s="116" t="s">
        <v>576</v>
      </c>
      <c r="B209" s="112" t="s">
        <v>549</v>
      </c>
      <c r="C209" s="101">
        <v>63884</v>
      </c>
      <c r="D209" s="102" t="s">
        <v>904</v>
      </c>
      <c r="E209" s="103" t="s">
        <v>579</v>
      </c>
      <c r="F209" s="103" t="s">
        <v>397</v>
      </c>
      <c r="G209" s="103" t="s">
        <v>422</v>
      </c>
      <c r="H209" s="103" t="s">
        <v>437</v>
      </c>
      <c r="I209" s="104">
        <v>45107</v>
      </c>
      <c r="J209" s="103"/>
      <c r="K209" s="105">
        <v>0</v>
      </c>
      <c r="L209" s="95"/>
      <c r="M209"/>
      <c r="N209" s="95"/>
      <c r="O209" s="97"/>
      <c r="P209" s="95"/>
      <c r="Q209" s="95"/>
      <c r="R209" s="95"/>
      <c r="S209" s="95"/>
      <c r="T209" s="95"/>
      <c r="U209" s="95"/>
      <c r="V209" s="95"/>
      <c r="W209" s="95"/>
      <c r="X209" s="95"/>
      <c r="Y209" s="95"/>
      <c r="Z209" s="95"/>
      <c r="AA209" s="95"/>
      <c r="AB209" s="95"/>
      <c r="AC209" s="95"/>
      <c r="AG209"/>
      <c r="AK209"/>
    </row>
    <row r="210" spans="1:37" ht="15" customHeight="1" x14ac:dyDescent="0.25">
      <c r="A210" s="116" t="s">
        <v>576</v>
      </c>
      <c r="B210" s="112" t="s">
        <v>549</v>
      </c>
      <c r="C210" s="101">
        <v>61332</v>
      </c>
      <c r="D210" s="102" t="s">
        <v>905</v>
      </c>
      <c r="E210" s="103" t="s">
        <v>579</v>
      </c>
      <c r="F210" s="103" t="s">
        <v>397</v>
      </c>
      <c r="G210" s="103" t="s">
        <v>422</v>
      </c>
      <c r="H210" s="103" t="s">
        <v>437</v>
      </c>
      <c r="I210" s="104">
        <v>44926</v>
      </c>
      <c r="J210" s="103"/>
      <c r="K210" s="105">
        <v>112500</v>
      </c>
      <c r="L210" s="95"/>
      <c r="M210"/>
      <c r="N210" s="95"/>
      <c r="O210" s="97"/>
      <c r="P210" s="95"/>
      <c r="Q210" s="95"/>
      <c r="R210" s="95"/>
      <c r="S210" s="95"/>
      <c r="T210" s="95"/>
      <c r="U210" s="95"/>
      <c r="V210" s="95"/>
      <c r="W210" s="95"/>
      <c r="X210" s="95"/>
      <c r="Y210" s="95"/>
      <c r="Z210" s="95"/>
      <c r="AA210" s="95"/>
      <c r="AB210" s="95"/>
      <c r="AC210" s="95"/>
      <c r="AG210"/>
      <c r="AK210"/>
    </row>
    <row r="211" spans="1:37" ht="15" customHeight="1" x14ac:dyDescent="0.25">
      <c r="A211" s="116" t="s">
        <v>576</v>
      </c>
      <c r="B211" s="112" t="s">
        <v>549</v>
      </c>
      <c r="C211" s="101">
        <v>64086</v>
      </c>
      <c r="D211" s="102" t="s">
        <v>906</v>
      </c>
      <c r="E211" s="103" t="s">
        <v>68</v>
      </c>
      <c r="F211" s="103" t="s">
        <v>397</v>
      </c>
      <c r="G211" s="103" t="s">
        <v>447</v>
      </c>
      <c r="H211" s="103" t="s">
        <v>437</v>
      </c>
      <c r="I211" s="104">
        <v>45291</v>
      </c>
      <c r="J211" s="103"/>
      <c r="K211" s="105">
        <v>0</v>
      </c>
      <c r="L211" s="94"/>
      <c r="M211"/>
      <c r="N211" s="95"/>
      <c r="O211" s="97"/>
      <c r="P211" s="95"/>
      <c r="Q211" s="95"/>
      <c r="R211" s="95"/>
      <c r="S211" s="95"/>
      <c r="T211" s="95"/>
      <c r="U211" s="95"/>
      <c r="V211" s="95"/>
      <c r="W211" s="95"/>
      <c r="X211" s="95"/>
      <c r="Y211" s="95"/>
      <c r="Z211" s="95"/>
      <c r="AA211" s="95"/>
      <c r="AB211" s="95"/>
      <c r="AC211" s="95"/>
      <c r="AG211"/>
      <c r="AK211"/>
    </row>
    <row r="212" spans="1:37" ht="15" customHeight="1" x14ac:dyDescent="0.25">
      <c r="A212" s="116" t="s">
        <v>576</v>
      </c>
      <c r="B212" s="112" t="s">
        <v>549</v>
      </c>
      <c r="C212" s="101">
        <v>64802</v>
      </c>
      <c r="D212" s="102" t="s">
        <v>907</v>
      </c>
      <c r="E212" s="103" t="s">
        <v>579</v>
      </c>
      <c r="F212" s="103" t="s">
        <v>397</v>
      </c>
      <c r="G212" s="103" t="s">
        <v>422</v>
      </c>
      <c r="H212" s="103" t="s">
        <v>437</v>
      </c>
      <c r="I212" s="104">
        <v>45197</v>
      </c>
      <c r="J212" s="103"/>
      <c r="K212" s="105">
        <v>0</v>
      </c>
      <c r="L212" s="95"/>
      <c r="M212"/>
      <c r="N212" s="95"/>
      <c r="O212" s="97"/>
      <c r="P212" s="95"/>
      <c r="Q212" s="95"/>
      <c r="R212" s="95"/>
      <c r="S212" s="95"/>
      <c r="T212" s="95"/>
      <c r="U212" s="95"/>
      <c r="V212" s="95"/>
      <c r="W212" s="95"/>
      <c r="X212" s="95"/>
      <c r="Y212" s="95"/>
      <c r="Z212" s="95"/>
      <c r="AA212" s="95"/>
      <c r="AB212" s="95"/>
      <c r="AC212" s="95"/>
      <c r="AG212"/>
      <c r="AK212"/>
    </row>
    <row r="213" spans="1:37" ht="15" customHeight="1" x14ac:dyDescent="0.25">
      <c r="A213" s="116" t="s">
        <v>576</v>
      </c>
      <c r="B213" s="112" t="s">
        <v>549</v>
      </c>
      <c r="C213" s="101">
        <v>60205</v>
      </c>
      <c r="D213" s="102" t="s">
        <v>908</v>
      </c>
      <c r="E213" s="103" t="s">
        <v>579</v>
      </c>
      <c r="F213" s="103" t="s">
        <v>412</v>
      </c>
      <c r="G213" s="103" t="s">
        <v>422</v>
      </c>
      <c r="H213" s="103" t="s">
        <v>437</v>
      </c>
      <c r="I213" s="104">
        <v>44281</v>
      </c>
      <c r="J213" s="104">
        <v>44284</v>
      </c>
      <c r="K213" s="105">
        <v>193500.31</v>
      </c>
      <c r="L213" s="95"/>
      <c r="M213"/>
      <c r="N213" s="95"/>
      <c r="O213" s="97"/>
      <c r="P213" s="95"/>
      <c r="Q213" s="95"/>
      <c r="R213" s="95"/>
      <c r="S213" s="95"/>
      <c r="T213" s="95"/>
      <c r="U213" s="95"/>
      <c r="V213" s="95"/>
      <c r="W213" s="95"/>
      <c r="X213" s="95"/>
      <c r="Y213" s="95"/>
      <c r="Z213" s="95"/>
      <c r="AA213" s="95"/>
      <c r="AB213" s="95"/>
      <c r="AC213" s="95"/>
      <c r="AG213"/>
      <c r="AK213"/>
    </row>
    <row r="214" spans="1:37" ht="15" customHeight="1" x14ac:dyDescent="0.25">
      <c r="A214" s="116" t="s">
        <v>576</v>
      </c>
      <c r="B214" s="112" t="s">
        <v>549</v>
      </c>
      <c r="C214" s="101">
        <v>63817</v>
      </c>
      <c r="D214" s="102" t="s">
        <v>909</v>
      </c>
      <c r="E214" s="103" t="s">
        <v>579</v>
      </c>
      <c r="F214" s="103" t="s">
        <v>397</v>
      </c>
      <c r="G214" s="103" t="s">
        <v>422</v>
      </c>
      <c r="H214" s="103" t="s">
        <v>437</v>
      </c>
      <c r="I214" s="104">
        <v>45135</v>
      </c>
      <c r="J214" s="103"/>
      <c r="K214" s="105">
        <v>0</v>
      </c>
      <c r="L214" s="95"/>
      <c r="M214"/>
      <c r="N214" s="95"/>
      <c r="O214" s="97"/>
      <c r="P214" s="95"/>
      <c r="Q214" s="95"/>
      <c r="R214" s="95"/>
      <c r="S214" s="95"/>
      <c r="T214" s="95"/>
      <c r="U214" s="95"/>
      <c r="V214" s="95"/>
      <c r="W214" s="95"/>
      <c r="X214" s="95"/>
      <c r="Y214" s="95"/>
      <c r="Z214" s="95"/>
      <c r="AA214" s="95"/>
      <c r="AB214" s="95"/>
      <c r="AC214" s="95"/>
      <c r="AG214"/>
      <c r="AK214"/>
    </row>
    <row r="215" spans="1:37" ht="15" customHeight="1" x14ac:dyDescent="0.25">
      <c r="A215" s="116" t="s">
        <v>576</v>
      </c>
      <c r="B215" s="112" t="s">
        <v>549</v>
      </c>
      <c r="C215" s="101">
        <v>64908</v>
      </c>
      <c r="D215" s="102" t="s">
        <v>910</v>
      </c>
      <c r="E215" s="103" t="s">
        <v>896</v>
      </c>
      <c r="F215" s="103" t="s">
        <v>397</v>
      </c>
      <c r="G215" s="103" t="s">
        <v>447</v>
      </c>
      <c r="H215" s="103" t="s">
        <v>437</v>
      </c>
      <c r="I215" s="104">
        <v>45291</v>
      </c>
      <c r="J215" s="103"/>
      <c r="K215" s="105">
        <v>0</v>
      </c>
      <c r="L215" s="95"/>
      <c r="M215"/>
      <c r="N215" s="95"/>
      <c r="O215" s="97"/>
      <c r="P215" s="95"/>
      <c r="Q215" s="95"/>
      <c r="R215" s="95"/>
      <c r="S215" s="95"/>
      <c r="T215" s="95"/>
      <c r="U215" s="95"/>
      <c r="V215" s="95"/>
      <c r="W215" s="95"/>
      <c r="X215" s="95"/>
      <c r="Y215" s="95"/>
      <c r="Z215" s="95"/>
      <c r="AA215" s="95"/>
      <c r="AB215" s="95"/>
      <c r="AC215" s="95"/>
      <c r="AG215"/>
      <c r="AK215"/>
    </row>
    <row r="216" spans="1:37" ht="15" customHeight="1" x14ac:dyDescent="0.25">
      <c r="A216" s="115" t="s">
        <v>930</v>
      </c>
      <c r="B216" s="112" t="s">
        <v>947</v>
      </c>
      <c r="C216" s="101">
        <v>60785</v>
      </c>
      <c r="D216" s="102" t="s">
        <v>911</v>
      </c>
      <c r="E216" s="103" t="s">
        <v>67</v>
      </c>
      <c r="F216" s="103" t="s">
        <v>397</v>
      </c>
      <c r="G216" s="103" t="s">
        <v>953</v>
      </c>
      <c r="H216" s="103" t="s">
        <v>481</v>
      </c>
      <c r="I216" s="103"/>
      <c r="J216" s="103"/>
      <c r="K216" s="105">
        <v>0</v>
      </c>
      <c r="L216" s="95"/>
      <c r="M216"/>
      <c r="N216" s="95"/>
      <c r="O216" s="97"/>
      <c r="P216" s="95"/>
      <c r="Q216" s="95"/>
      <c r="R216" s="95"/>
      <c r="S216" s="95"/>
      <c r="T216" s="95"/>
      <c r="U216" s="95"/>
      <c r="V216" s="95"/>
      <c r="W216" s="95"/>
      <c r="X216" s="95"/>
      <c r="Y216" s="95"/>
      <c r="Z216" s="95"/>
      <c r="AA216" s="95"/>
      <c r="AB216" s="95"/>
      <c r="AC216" s="95"/>
      <c r="AG216"/>
      <c r="AK216"/>
    </row>
    <row r="217" spans="1:37" ht="15" customHeight="1" x14ac:dyDescent="0.25">
      <c r="A217" s="115" t="s">
        <v>930</v>
      </c>
      <c r="B217" s="112" t="s">
        <v>947</v>
      </c>
      <c r="C217" s="101">
        <v>63657</v>
      </c>
      <c r="D217" s="102" t="s">
        <v>912</v>
      </c>
      <c r="E217" s="103" t="s">
        <v>67</v>
      </c>
      <c r="F217" s="103" t="s">
        <v>397</v>
      </c>
      <c r="G217" s="103" t="s">
        <v>953</v>
      </c>
      <c r="H217" s="103" t="s">
        <v>481</v>
      </c>
      <c r="I217" s="103"/>
      <c r="J217" s="103"/>
      <c r="K217" s="105">
        <v>35075</v>
      </c>
      <c r="L217" s="95"/>
      <c r="M217"/>
      <c r="N217" s="95"/>
      <c r="O217" s="97"/>
      <c r="P217" s="95"/>
      <c r="Q217" s="95"/>
      <c r="R217" s="95"/>
      <c r="S217" s="95"/>
      <c r="T217" s="95"/>
      <c r="U217" s="95"/>
      <c r="V217" s="95"/>
      <c r="W217" s="95"/>
      <c r="X217" s="95"/>
      <c r="Y217" s="95"/>
      <c r="Z217" s="95"/>
      <c r="AA217" s="95"/>
      <c r="AB217" s="95"/>
      <c r="AC217" s="95"/>
      <c r="AG217"/>
      <c r="AK217"/>
    </row>
    <row r="218" spans="1:37" ht="15" customHeight="1" x14ac:dyDescent="0.25">
      <c r="A218" s="115" t="s">
        <v>930</v>
      </c>
      <c r="B218" s="112" t="s">
        <v>947</v>
      </c>
      <c r="C218" s="101">
        <v>64894</v>
      </c>
      <c r="D218" s="102" t="s">
        <v>913</v>
      </c>
      <c r="E218" s="103" t="s">
        <v>48</v>
      </c>
      <c r="F218" s="103" t="s">
        <v>485</v>
      </c>
      <c r="G218" s="103" t="s">
        <v>422</v>
      </c>
      <c r="H218" s="103" t="s">
        <v>437</v>
      </c>
      <c r="I218" s="104">
        <v>45504</v>
      </c>
      <c r="J218" s="103"/>
      <c r="K218" s="105">
        <v>310200</v>
      </c>
      <c r="L218" s="95"/>
      <c r="M218"/>
      <c r="N218" s="95"/>
      <c r="O218" s="98"/>
      <c r="P218" s="95"/>
      <c r="Q218" s="95"/>
      <c r="R218" s="95"/>
      <c r="S218" s="95"/>
      <c r="T218" s="95"/>
      <c r="U218" s="95"/>
      <c r="V218" s="95"/>
      <c r="W218" s="95"/>
      <c r="X218" s="95"/>
      <c r="Y218" s="95"/>
      <c r="Z218" s="95"/>
      <c r="AA218" s="95"/>
      <c r="AB218" s="95"/>
      <c r="AC218" s="95"/>
      <c r="AG218"/>
      <c r="AK218"/>
    </row>
    <row r="219" spans="1:37" ht="15" customHeight="1" x14ac:dyDescent="0.25">
      <c r="A219" s="115" t="s">
        <v>930</v>
      </c>
      <c r="B219" s="112" t="s">
        <v>947</v>
      </c>
      <c r="C219" s="101">
        <v>62422</v>
      </c>
      <c r="D219" s="102" t="s">
        <v>914</v>
      </c>
      <c r="E219" s="103" t="s">
        <v>46</v>
      </c>
      <c r="F219" s="103" t="s">
        <v>397</v>
      </c>
      <c r="G219" s="103" t="s">
        <v>447</v>
      </c>
      <c r="H219" s="103" t="s">
        <v>437</v>
      </c>
      <c r="I219" s="104">
        <v>44835</v>
      </c>
      <c r="J219" s="103"/>
      <c r="K219" s="105">
        <v>0</v>
      </c>
      <c r="L219" s="95"/>
      <c r="M219"/>
      <c r="N219" s="95"/>
      <c r="O219" s="97"/>
      <c r="P219" s="95"/>
      <c r="Q219" s="95"/>
      <c r="R219" s="95"/>
      <c r="S219" s="95"/>
      <c r="T219" s="95"/>
      <c r="U219" s="95"/>
      <c r="V219" s="95"/>
      <c r="W219" s="95"/>
      <c r="X219" s="95"/>
      <c r="Y219" s="95"/>
      <c r="Z219" s="95"/>
      <c r="AA219" s="95"/>
      <c r="AB219" s="95"/>
      <c r="AC219" s="95"/>
      <c r="AG219"/>
      <c r="AK219"/>
    </row>
    <row r="220" spans="1:37" ht="15" customHeight="1" x14ac:dyDescent="0.25">
      <c r="A220" s="115" t="s">
        <v>930</v>
      </c>
      <c r="B220" s="112" t="s">
        <v>947</v>
      </c>
      <c r="C220" s="101">
        <v>63948</v>
      </c>
      <c r="D220" s="102" t="s">
        <v>915</v>
      </c>
      <c r="E220" s="103" t="s">
        <v>48</v>
      </c>
      <c r="F220" s="103" t="s">
        <v>397</v>
      </c>
      <c r="G220" s="103" t="s">
        <v>954</v>
      </c>
      <c r="H220" s="103" t="s">
        <v>437</v>
      </c>
      <c r="I220" s="104">
        <v>45138</v>
      </c>
      <c r="J220" s="103"/>
      <c r="K220" s="105">
        <v>0</v>
      </c>
      <c r="L220" s="95"/>
      <c r="M220"/>
      <c r="N220" s="95"/>
      <c r="O220" s="97"/>
      <c r="P220" s="95"/>
      <c r="Q220" s="95"/>
      <c r="R220" s="95"/>
      <c r="S220" s="95"/>
      <c r="T220" s="95"/>
      <c r="U220" s="95"/>
      <c r="V220" s="95"/>
      <c r="W220" s="95"/>
      <c r="X220" s="95"/>
      <c r="Y220" s="95"/>
      <c r="Z220" s="95"/>
      <c r="AA220" s="95"/>
      <c r="AB220" s="95"/>
      <c r="AC220" s="95"/>
      <c r="AG220"/>
      <c r="AK220"/>
    </row>
    <row r="221" spans="1:37" ht="15" customHeight="1" x14ac:dyDescent="0.25">
      <c r="A221" s="115" t="s">
        <v>930</v>
      </c>
      <c r="B221" s="112" t="s">
        <v>947</v>
      </c>
      <c r="C221" s="101">
        <v>64420</v>
      </c>
      <c r="D221" s="102" t="s">
        <v>916</v>
      </c>
      <c r="E221" s="103" t="s">
        <v>917</v>
      </c>
      <c r="F221" s="103" t="s">
        <v>397</v>
      </c>
      <c r="G221" s="103" t="s">
        <v>447</v>
      </c>
      <c r="H221" s="103" t="s">
        <v>437</v>
      </c>
      <c r="I221" s="104">
        <v>45382</v>
      </c>
      <c r="J221" s="103"/>
      <c r="K221" s="105">
        <v>0</v>
      </c>
      <c r="L221" s="95"/>
      <c r="M221"/>
      <c r="N221" s="95"/>
      <c r="O221" s="97"/>
      <c r="P221" s="95"/>
      <c r="Q221" s="95"/>
      <c r="R221" s="95"/>
      <c r="S221" s="95"/>
      <c r="T221" s="95"/>
      <c r="U221" s="95"/>
      <c r="V221" s="95"/>
      <c r="W221" s="95"/>
      <c r="X221" s="95"/>
      <c r="Y221" s="95"/>
      <c r="Z221" s="95"/>
      <c r="AA221" s="95"/>
      <c r="AB221" s="95"/>
      <c r="AC221" s="95"/>
      <c r="AG221"/>
      <c r="AK221"/>
    </row>
    <row r="222" spans="1:37" ht="15" customHeight="1" x14ac:dyDescent="0.25">
      <c r="A222" s="115" t="s">
        <v>930</v>
      </c>
      <c r="B222" s="112" t="s">
        <v>947</v>
      </c>
      <c r="C222" s="101">
        <v>63736</v>
      </c>
      <c r="D222" s="102" t="s">
        <v>918</v>
      </c>
      <c r="E222" s="103" t="s">
        <v>48</v>
      </c>
      <c r="F222" s="103" t="s">
        <v>397</v>
      </c>
      <c r="G222" s="103" t="s">
        <v>422</v>
      </c>
      <c r="H222" s="103" t="s">
        <v>437</v>
      </c>
      <c r="I222" s="104">
        <v>45107</v>
      </c>
      <c r="J222" s="103"/>
      <c r="K222" s="105">
        <v>0</v>
      </c>
      <c r="L222" s="95"/>
      <c r="M222"/>
      <c r="N222" s="95"/>
      <c r="O222" s="97"/>
      <c r="P222" s="95"/>
      <c r="Q222" s="95"/>
      <c r="R222" s="95"/>
      <c r="S222" s="95"/>
      <c r="T222" s="95"/>
      <c r="U222" s="95"/>
      <c r="V222" s="95"/>
      <c r="W222" s="95"/>
      <c r="X222" s="95"/>
      <c r="Y222" s="95"/>
      <c r="Z222" s="95"/>
      <c r="AA222" s="95"/>
      <c r="AB222" s="95"/>
      <c r="AC222" s="95"/>
      <c r="AG222"/>
      <c r="AK222"/>
    </row>
    <row r="223" spans="1:37" ht="15" customHeight="1" x14ac:dyDescent="0.25">
      <c r="A223" s="115" t="s">
        <v>930</v>
      </c>
      <c r="B223" s="112" t="s">
        <v>947</v>
      </c>
      <c r="C223" s="101">
        <v>63814</v>
      </c>
      <c r="D223" s="102" t="s">
        <v>919</v>
      </c>
      <c r="E223" s="103" t="s">
        <v>46</v>
      </c>
      <c r="F223" s="103" t="s">
        <v>446</v>
      </c>
      <c r="G223" s="103" t="s">
        <v>447</v>
      </c>
      <c r="H223" s="103" t="s">
        <v>437</v>
      </c>
      <c r="I223" s="104">
        <v>45289</v>
      </c>
      <c r="J223" s="103"/>
      <c r="K223" s="105">
        <v>0</v>
      </c>
      <c r="L223" s="95"/>
      <c r="M223"/>
      <c r="N223" s="95"/>
      <c r="O223" s="97"/>
      <c r="P223" s="95"/>
      <c r="Q223" s="95"/>
      <c r="R223" s="95"/>
      <c r="S223" s="95"/>
      <c r="T223" s="95"/>
      <c r="U223" s="95"/>
      <c r="V223" s="95"/>
      <c r="W223" s="95"/>
      <c r="X223" s="95"/>
      <c r="Y223" s="95"/>
      <c r="Z223" s="95"/>
      <c r="AA223" s="95"/>
      <c r="AB223" s="95"/>
      <c r="AC223" s="95"/>
      <c r="AG223"/>
      <c r="AK223"/>
    </row>
    <row r="224" spans="1:37" ht="15" customHeight="1" x14ac:dyDescent="0.25">
      <c r="A224" s="115" t="s">
        <v>930</v>
      </c>
      <c r="B224" s="112" t="s">
        <v>947</v>
      </c>
      <c r="C224" s="101">
        <v>63982</v>
      </c>
      <c r="D224" s="102" t="s">
        <v>920</v>
      </c>
      <c r="E224" s="103" t="s">
        <v>48</v>
      </c>
      <c r="F224" s="103" t="s">
        <v>397</v>
      </c>
      <c r="G224" s="103" t="s">
        <v>447</v>
      </c>
      <c r="H224" s="103" t="s">
        <v>437</v>
      </c>
      <c r="I224" s="104">
        <v>45138</v>
      </c>
      <c r="J224" s="103"/>
      <c r="K224" s="105">
        <v>52463.12</v>
      </c>
      <c r="L224" s="95"/>
      <c r="M224"/>
      <c r="N224" s="95"/>
      <c r="O224" s="97"/>
      <c r="P224" s="95"/>
      <c r="Q224" s="95"/>
      <c r="R224" s="95"/>
      <c r="S224" s="95"/>
      <c r="T224" s="95"/>
      <c r="U224" s="95"/>
      <c r="V224" s="95"/>
      <c r="W224" s="95"/>
      <c r="X224" s="95"/>
      <c r="Y224" s="95"/>
      <c r="Z224" s="95"/>
      <c r="AA224" s="95"/>
      <c r="AB224" s="95"/>
      <c r="AC224" s="95"/>
      <c r="AG224"/>
      <c r="AK224"/>
    </row>
    <row r="225" spans="1:37" ht="15" customHeight="1" x14ac:dyDescent="0.25">
      <c r="A225" s="115" t="s">
        <v>930</v>
      </c>
      <c r="B225" s="112" t="s">
        <v>947</v>
      </c>
      <c r="C225" s="101">
        <v>63776</v>
      </c>
      <c r="D225" s="102" t="s">
        <v>921</v>
      </c>
      <c r="E225" s="103" t="s">
        <v>48</v>
      </c>
      <c r="F225" s="103" t="s">
        <v>412</v>
      </c>
      <c r="G225" s="103" t="s">
        <v>954</v>
      </c>
      <c r="H225" s="103" t="s">
        <v>437</v>
      </c>
      <c r="I225" s="104">
        <v>44985</v>
      </c>
      <c r="J225" s="104">
        <v>44985</v>
      </c>
      <c r="K225" s="105">
        <v>125000</v>
      </c>
      <c r="L225" s="95"/>
      <c r="M225"/>
      <c r="N225" s="95"/>
      <c r="O225" s="97"/>
      <c r="P225" s="95"/>
      <c r="Q225" s="95"/>
      <c r="R225" s="95"/>
      <c r="S225" s="95"/>
      <c r="T225" s="95"/>
      <c r="U225" s="95"/>
      <c r="V225" s="95"/>
      <c r="W225" s="95"/>
      <c r="X225" s="95"/>
      <c r="Y225" s="95"/>
      <c r="Z225" s="95"/>
      <c r="AA225" s="95"/>
      <c r="AB225" s="95"/>
      <c r="AC225" s="95"/>
      <c r="AG225"/>
      <c r="AK225"/>
    </row>
    <row r="226" spans="1:37" ht="15" customHeight="1" x14ac:dyDescent="0.25">
      <c r="A226" s="115" t="s">
        <v>930</v>
      </c>
      <c r="B226" s="112" t="s">
        <v>947</v>
      </c>
      <c r="C226" s="101">
        <v>63596</v>
      </c>
      <c r="D226" s="102" t="s">
        <v>922</v>
      </c>
      <c r="E226" s="103" t="s">
        <v>48</v>
      </c>
      <c r="F226" s="103" t="s">
        <v>397</v>
      </c>
      <c r="G226" s="103" t="s">
        <v>422</v>
      </c>
      <c r="H226" s="103" t="s">
        <v>437</v>
      </c>
      <c r="I226" s="104">
        <v>45107</v>
      </c>
      <c r="J226" s="103"/>
      <c r="K226" s="105">
        <v>300000.09000000003</v>
      </c>
      <c r="L226" s="95"/>
      <c r="M226"/>
      <c r="N226" s="95"/>
      <c r="O226" s="97"/>
      <c r="P226" s="95"/>
      <c r="Q226" s="95"/>
      <c r="R226" s="95"/>
      <c r="S226" s="95"/>
      <c r="T226" s="95"/>
      <c r="U226" s="95"/>
      <c r="V226" s="95"/>
      <c r="W226" s="95"/>
      <c r="X226" s="95"/>
      <c r="Y226" s="95"/>
      <c r="Z226" s="95"/>
      <c r="AA226" s="95"/>
      <c r="AB226" s="95"/>
      <c r="AC226" s="95"/>
      <c r="AG226"/>
      <c r="AK226"/>
    </row>
    <row r="227" spans="1:37" ht="15" customHeight="1" x14ac:dyDescent="0.25">
      <c r="A227" s="115" t="s">
        <v>930</v>
      </c>
      <c r="B227" s="112" t="s">
        <v>947</v>
      </c>
      <c r="C227" s="101">
        <v>64280</v>
      </c>
      <c r="D227" s="102" t="s">
        <v>923</v>
      </c>
      <c r="E227" s="103" t="s">
        <v>48</v>
      </c>
      <c r="F227" s="103" t="s">
        <v>412</v>
      </c>
      <c r="G227" s="103" t="s">
        <v>954</v>
      </c>
      <c r="H227" s="103" t="s">
        <v>437</v>
      </c>
      <c r="I227" s="104">
        <v>44711</v>
      </c>
      <c r="J227" s="104">
        <v>44711</v>
      </c>
      <c r="K227" s="105">
        <v>55000</v>
      </c>
      <c r="L227" s="95"/>
      <c r="M227"/>
      <c r="N227" s="95"/>
      <c r="O227" s="97"/>
      <c r="P227" s="95"/>
      <c r="Q227" s="95"/>
      <c r="R227" s="95"/>
      <c r="S227" s="95"/>
      <c r="T227" s="95"/>
      <c r="U227" s="95"/>
      <c r="V227" s="95"/>
      <c r="W227" s="95"/>
      <c r="X227" s="95"/>
      <c r="Y227" s="95"/>
      <c r="Z227" s="95"/>
      <c r="AA227" s="95"/>
      <c r="AB227" s="95"/>
      <c r="AC227" s="95"/>
      <c r="AG227"/>
      <c r="AK227"/>
    </row>
    <row r="228" spans="1:37" ht="15" customHeight="1" x14ac:dyDescent="0.25">
      <c r="A228" s="115" t="s">
        <v>930</v>
      </c>
      <c r="B228" s="112" t="s">
        <v>947</v>
      </c>
      <c r="C228" s="101">
        <v>64581</v>
      </c>
      <c r="D228" s="102" t="s">
        <v>924</v>
      </c>
      <c r="E228" s="103" t="s">
        <v>830</v>
      </c>
      <c r="F228" s="103" t="s">
        <v>397</v>
      </c>
      <c r="G228" s="103" t="s">
        <v>447</v>
      </c>
      <c r="H228" s="103" t="s">
        <v>437</v>
      </c>
      <c r="I228" s="103"/>
      <c r="J228" s="103"/>
      <c r="K228" s="105">
        <v>0</v>
      </c>
      <c r="L228" s="94"/>
      <c r="M228"/>
      <c r="N228" s="95"/>
      <c r="O228" s="97"/>
      <c r="P228" s="95"/>
      <c r="Q228" s="95"/>
      <c r="R228" s="95"/>
      <c r="S228" s="95"/>
      <c r="T228" s="95"/>
      <c r="U228" s="95"/>
      <c r="V228" s="95"/>
      <c r="W228" s="95"/>
      <c r="X228" s="95"/>
      <c r="Y228" s="95"/>
      <c r="Z228" s="95"/>
      <c r="AA228" s="95"/>
      <c r="AB228" s="95"/>
      <c r="AC228" s="95"/>
      <c r="AG228"/>
      <c r="AK228"/>
    </row>
    <row r="229" spans="1:37" ht="15" customHeight="1" x14ac:dyDescent="0.25">
      <c r="A229" s="115" t="s">
        <v>930</v>
      </c>
      <c r="B229" s="112" t="s">
        <v>947</v>
      </c>
      <c r="C229" s="101">
        <v>58606</v>
      </c>
      <c r="D229" s="102" t="s">
        <v>925</v>
      </c>
      <c r="E229" s="103" t="s">
        <v>48</v>
      </c>
      <c r="F229" s="103" t="s">
        <v>397</v>
      </c>
      <c r="G229" s="103" t="s">
        <v>427</v>
      </c>
      <c r="H229" s="103" t="s">
        <v>437</v>
      </c>
      <c r="I229" s="103"/>
      <c r="J229" s="103"/>
      <c r="K229" s="105">
        <v>0</v>
      </c>
      <c r="L229" s="95"/>
      <c r="M229"/>
      <c r="N229" s="95"/>
      <c r="O229" s="97"/>
      <c r="P229" s="95"/>
      <c r="Q229" s="95"/>
      <c r="R229" s="95"/>
      <c r="S229" s="95"/>
      <c r="T229" s="95"/>
      <c r="U229" s="95"/>
      <c r="V229" s="95"/>
      <c r="W229" s="95"/>
      <c r="X229" s="95"/>
      <c r="Y229" s="95"/>
      <c r="Z229" s="95"/>
      <c r="AA229" s="95"/>
      <c r="AB229" s="95"/>
      <c r="AC229" s="95"/>
      <c r="AG229"/>
      <c r="AK229"/>
    </row>
    <row r="230" spans="1:37" ht="15" customHeight="1" x14ac:dyDescent="0.25">
      <c r="A230" s="115" t="s">
        <v>930</v>
      </c>
      <c r="B230" s="112" t="s">
        <v>947</v>
      </c>
      <c r="C230" s="101">
        <v>63951</v>
      </c>
      <c r="D230" s="102" t="s">
        <v>926</v>
      </c>
      <c r="E230" s="103" t="s">
        <v>48</v>
      </c>
      <c r="F230" s="103" t="s">
        <v>412</v>
      </c>
      <c r="G230" s="103" t="s">
        <v>954</v>
      </c>
      <c r="H230" s="103" t="s">
        <v>437</v>
      </c>
      <c r="I230" s="104">
        <v>45127</v>
      </c>
      <c r="J230" s="104">
        <v>45127</v>
      </c>
      <c r="K230" s="105">
        <v>311850</v>
      </c>
      <c r="L230" s="94"/>
      <c r="M230"/>
      <c r="N230" s="95"/>
      <c r="O230" s="97"/>
      <c r="P230" s="95"/>
      <c r="Q230" s="95"/>
      <c r="R230" s="95"/>
      <c r="S230" s="95"/>
      <c r="T230" s="95"/>
      <c r="U230" s="95"/>
      <c r="V230" s="95"/>
      <c r="W230" s="95"/>
      <c r="X230" s="95"/>
      <c r="Y230" s="95"/>
      <c r="Z230" s="95"/>
      <c r="AA230" s="95"/>
      <c r="AB230" s="95"/>
      <c r="AC230" s="95"/>
      <c r="AG230"/>
      <c r="AK230"/>
    </row>
    <row r="231" spans="1:37" ht="15" customHeight="1" x14ac:dyDescent="0.25">
      <c r="A231" s="115" t="s">
        <v>930</v>
      </c>
      <c r="B231" s="112" t="s">
        <v>947</v>
      </c>
      <c r="C231" s="101">
        <v>63795</v>
      </c>
      <c r="D231" s="102" t="s">
        <v>927</v>
      </c>
      <c r="E231" s="103" t="s">
        <v>68</v>
      </c>
      <c r="F231" s="103" t="s">
        <v>397</v>
      </c>
      <c r="G231" s="103" t="s">
        <v>422</v>
      </c>
      <c r="H231" s="103" t="s">
        <v>437</v>
      </c>
      <c r="I231" s="104">
        <v>45291</v>
      </c>
      <c r="J231" s="103"/>
      <c r="K231" s="105">
        <v>0</v>
      </c>
      <c r="L231" s="95"/>
      <c r="M231"/>
      <c r="N231" s="95"/>
      <c r="O231" s="97"/>
      <c r="P231" s="95"/>
      <c r="Q231" s="95"/>
      <c r="R231" s="95"/>
      <c r="S231" s="95"/>
      <c r="T231" s="95"/>
      <c r="U231" s="95"/>
      <c r="V231" s="95"/>
      <c r="W231" s="95"/>
      <c r="X231" s="95"/>
      <c r="Y231" s="95"/>
      <c r="Z231" s="95"/>
      <c r="AA231" s="95"/>
      <c r="AB231" s="95"/>
      <c r="AC231" s="95"/>
      <c r="AG231"/>
      <c r="AK231"/>
    </row>
    <row r="232" spans="1:37" ht="15" customHeight="1" x14ac:dyDescent="0.25">
      <c r="A232" s="115" t="s">
        <v>930</v>
      </c>
      <c r="B232" s="112" t="s">
        <v>947</v>
      </c>
      <c r="C232" s="101">
        <v>62070</v>
      </c>
      <c r="D232" s="102" t="s">
        <v>928</v>
      </c>
      <c r="E232" s="103" t="s">
        <v>48</v>
      </c>
      <c r="F232" s="103" t="s">
        <v>412</v>
      </c>
      <c r="G232" s="103" t="s">
        <v>954</v>
      </c>
      <c r="H232" s="103" t="s">
        <v>437</v>
      </c>
      <c r="I232" s="104">
        <v>44711</v>
      </c>
      <c r="J232" s="104">
        <v>44711</v>
      </c>
      <c r="K232" s="105">
        <v>300000</v>
      </c>
      <c r="L232" s="95"/>
      <c r="M232"/>
      <c r="N232" s="95"/>
      <c r="O232" s="97"/>
      <c r="P232" s="95"/>
      <c r="Q232" s="95"/>
      <c r="R232" s="95"/>
      <c r="S232" s="95"/>
      <c r="T232" s="95"/>
      <c r="U232" s="95"/>
      <c r="V232" s="95"/>
      <c r="W232" s="95"/>
      <c r="X232" s="95"/>
      <c r="Y232" s="95"/>
      <c r="Z232" s="95"/>
      <c r="AA232" s="95"/>
      <c r="AB232" s="95"/>
      <c r="AC232" s="95"/>
      <c r="AG232"/>
      <c r="AK232"/>
    </row>
    <row r="233" spans="1:37" ht="15" customHeight="1" x14ac:dyDescent="0.25">
      <c r="A233" s="115" t="s">
        <v>930</v>
      </c>
      <c r="B233" s="112" t="s">
        <v>947</v>
      </c>
      <c r="C233" s="101">
        <v>64471</v>
      </c>
      <c r="D233" s="102" t="s">
        <v>929</v>
      </c>
      <c r="E233" s="103" t="s">
        <v>579</v>
      </c>
      <c r="F233" s="103" t="s">
        <v>397</v>
      </c>
      <c r="G233" s="103" t="s">
        <v>447</v>
      </c>
      <c r="H233" s="103" t="s">
        <v>437</v>
      </c>
      <c r="I233" s="104">
        <v>45291</v>
      </c>
      <c r="J233" s="103"/>
      <c r="K233" s="105">
        <v>0</v>
      </c>
      <c r="L233" s="94"/>
      <c r="M233"/>
      <c r="N233" s="95"/>
      <c r="O233" s="97"/>
      <c r="P233" s="95"/>
      <c r="Q233" s="95"/>
      <c r="R233" s="95"/>
      <c r="S233" s="95"/>
      <c r="T233" s="95"/>
      <c r="U233" s="95"/>
      <c r="V233" s="95"/>
      <c r="W233" s="95"/>
      <c r="X233" s="95"/>
      <c r="Y233" s="95"/>
      <c r="Z233" s="95"/>
      <c r="AA233" s="95"/>
      <c r="AB233" s="95"/>
      <c r="AC233" s="95"/>
      <c r="AG233"/>
      <c r="AK233"/>
    </row>
    <row r="234" spans="1:37" ht="15" customHeight="1" x14ac:dyDescent="0.25">
      <c r="A234" s="115" t="s">
        <v>610</v>
      </c>
      <c r="B234" s="112" t="s">
        <v>611</v>
      </c>
      <c r="C234" s="101">
        <v>63642</v>
      </c>
      <c r="D234" s="102" t="s">
        <v>931</v>
      </c>
      <c r="E234" s="103" t="s">
        <v>48</v>
      </c>
      <c r="F234" s="103" t="s">
        <v>401</v>
      </c>
      <c r="G234" s="103" t="s">
        <v>417</v>
      </c>
      <c r="H234" s="103" t="s">
        <v>414</v>
      </c>
      <c r="I234" s="104">
        <v>45473</v>
      </c>
      <c r="J234" s="103"/>
      <c r="K234" s="105">
        <v>165375</v>
      </c>
      <c r="L234" s="95"/>
      <c r="M234"/>
      <c r="N234" s="95"/>
      <c r="O234" s="97"/>
      <c r="P234" s="95"/>
      <c r="Q234" s="95"/>
      <c r="R234" s="95"/>
      <c r="S234" s="95"/>
      <c r="T234" s="95"/>
      <c r="U234" s="95"/>
      <c r="V234" s="95"/>
      <c r="W234" s="95"/>
      <c r="X234" s="95"/>
      <c r="Y234" s="95"/>
      <c r="Z234" s="95"/>
      <c r="AA234" s="95"/>
      <c r="AB234" s="95"/>
      <c r="AC234" s="95"/>
      <c r="AG234"/>
      <c r="AK234"/>
    </row>
    <row r="235" spans="1:37" ht="15" customHeight="1" x14ac:dyDescent="0.25">
      <c r="A235" s="115" t="s">
        <v>610</v>
      </c>
      <c r="B235" s="112" t="s">
        <v>611</v>
      </c>
      <c r="C235" s="101">
        <v>64261</v>
      </c>
      <c r="D235" s="102" t="s">
        <v>932</v>
      </c>
      <c r="E235" s="103" t="s">
        <v>48</v>
      </c>
      <c r="F235" s="103" t="s">
        <v>412</v>
      </c>
      <c r="G235" s="103" t="s">
        <v>417</v>
      </c>
      <c r="H235" s="103" t="s">
        <v>414</v>
      </c>
      <c r="I235" s="104">
        <v>45107</v>
      </c>
      <c r="J235" s="104">
        <v>45107</v>
      </c>
      <c r="K235" s="105">
        <v>134027.6</v>
      </c>
      <c r="L235" s="94"/>
      <c r="M235"/>
      <c r="N235" s="95"/>
      <c r="O235" s="97"/>
      <c r="P235" s="95"/>
      <c r="Q235" s="95"/>
      <c r="R235" s="95"/>
      <c r="S235" s="95"/>
      <c r="T235" s="95"/>
      <c r="U235" s="95"/>
      <c r="V235" s="95"/>
      <c r="W235" s="95"/>
      <c r="X235" s="95"/>
      <c r="Y235" s="95"/>
      <c r="Z235" s="95"/>
      <c r="AA235" s="95"/>
      <c r="AB235" s="95"/>
      <c r="AC235" s="95"/>
      <c r="AG235"/>
      <c r="AK235"/>
    </row>
    <row r="236" spans="1:37" ht="15" customHeight="1" x14ac:dyDescent="0.25">
      <c r="A236" s="115" t="s">
        <v>610</v>
      </c>
      <c r="B236" s="112" t="s">
        <v>611</v>
      </c>
      <c r="C236" s="101">
        <v>64895</v>
      </c>
      <c r="D236" s="102" t="s">
        <v>933</v>
      </c>
      <c r="E236" s="103" t="s">
        <v>48</v>
      </c>
      <c r="F236" s="103" t="s">
        <v>485</v>
      </c>
      <c r="G236" s="103" t="s">
        <v>422</v>
      </c>
      <c r="H236" s="103" t="s">
        <v>437</v>
      </c>
      <c r="I236" s="104">
        <v>45443</v>
      </c>
      <c r="J236" s="103"/>
      <c r="K236" s="105">
        <v>352500</v>
      </c>
      <c r="L236" s="95"/>
      <c r="M236"/>
      <c r="N236" s="95"/>
      <c r="O236" s="98"/>
      <c r="P236" s="95"/>
      <c r="Q236" s="95"/>
      <c r="R236" s="95"/>
      <c r="S236" s="95"/>
      <c r="T236" s="95"/>
      <c r="U236" s="95"/>
      <c r="V236" s="95"/>
      <c r="W236" s="95"/>
      <c r="X236" s="95"/>
      <c r="Y236" s="95"/>
      <c r="Z236" s="95"/>
      <c r="AA236" s="95"/>
      <c r="AB236" s="95"/>
      <c r="AC236"/>
      <c r="AG236"/>
      <c r="AK236"/>
    </row>
    <row r="237" spans="1:37" ht="15" customHeight="1" x14ac:dyDescent="0.25">
      <c r="A237" s="115" t="s">
        <v>610</v>
      </c>
      <c r="B237" s="112" t="s">
        <v>611</v>
      </c>
      <c r="C237" s="101">
        <v>64547</v>
      </c>
      <c r="D237" s="102" t="s">
        <v>934</v>
      </c>
      <c r="E237" s="103" t="s">
        <v>821</v>
      </c>
      <c r="F237" s="103" t="s">
        <v>397</v>
      </c>
      <c r="G237" s="103" t="s">
        <v>422</v>
      </c>
      <c r="H237" s="103" t="s">
        <v>437</v>
      </c>
      <c r="I237" s="104">
        <v>45231</v>
      </c>
      <c r="J237" s="103"/>
      <c r="K237" s="105">
        <v>0</v>
      </c>
      <c r="L237" s="95"/>
      <c r="M237"/>
      <c r="N237" s="95"/>
      <c r="O237" s="97"/>
      <c r="Q237"/>
      <c r="AC237"/>
      <c r="AG237"/>
      <c r="AK237"/>
    </row>
    <row r="238" spans="1:37" ht="15" customHeight="1" x14ac:dyDescent="0.25">
      <c r="A238" s="115" t="s">
        <v>610</v>
      </c>
      <c r="B238" s="112" t="s">
        <v>611</v>
      </c>
      <c r="C238" s="101">
        <v>63946</v>
      </c>
      <c r="D238" s="102" t="s">
        <v>935</v>
      </c>
      <c r="E238" s="103" t="s">
        <v>48</v>
      </c>
      <c r="F238" s="103" t="s">
        <v>412</v>
      </c>
      <c r="G238" s="103" t="s">
        <v>954</v>
      </c>
      <c r="H238" s="103" t="s">
        <v>437</v>
      </c>
      <c r="I238" s="104">
        <v>45163</v>
      </c>
      <c r="J238" s="104">
        <v>45161</v>
      </c>
      <c r="K238" s="105">
        <v>257880</v>
      </c>
      <c r="L238" s="94"/>
      <c r="M238"/>
      <c r="N238" s="95"/>
      <c r="O238" s="97"/>
      <c r="Q238"/>
      <c r="AC238"/>
      <c r="AG238"/>
      <c r="AK238"/>
    </row>
    <row r="239" spans="1:37" ht="15" customHeight="1" x14ac:dyDescent="0.25">
      <c r="A239" s="115" t="s">
        <v>610</v>
      </c>
      <c r="B239" s="112" t="s">
        <v>611</v>
      </c>
      <c r="C239" s="101">
        <v>63271</v>
      </c>
      <c r="D239" s="102" t="s">
        <v>936</v>
      </c>
      <c r="E239" s="103" t="s">
        <v>48</v>
      </c>
      <c r="F239" s="103" t="s">
        <v>412</v>
      </c>
      <c r="G239" s="103" t="s">
        <v>954</v>
      </c>
      <c r="H239" s="103" t="s">
        <v>437</v>
      </c>
      <c r="I239" s="104">
        <v>44959</v>
      </c>
      <c r="J239" s="104">
        <v>44959</v>
      </c>
      <c r="K239" s="105">
        <v>268741.53999999998</v>
      </c>
      <c r="L239" s="95"/>
      <c r="M239"/>
      <c r="N239" s="95"/>
      <c r="O239" s="97"/>
      <c r="Q239"/>
      <c r="AC239"/>
      <c r="AG239"/>
      <c r="AK239"/>
    </row>
    <row r="240" spans="1:37" ht="15" customHeight="1" x14ac:dyDescent="0.25">
      <c r="A240" s="115" t="s">
        <v>610</v>
      </c>
      <c r="B240" s="112" t="s">
        <v>611</v>
      </c>
      <c r="C240" s="101">
        <v>64580</v>
      </c>
      <c r="D240" s="102" t="s">
        <v>937</v>
      </c>
      <c r="E240" s="103" t="s">
        <v>830</v>
      </c>
      <c r="F240" s="103" t="s">
        <v>397</v>
      </c>
      <c r="G240" s="103" t="s">
        <v>447</v>
      </c>
      <c r="H240" s="103" t="s">
        <v>437</v>
      </c>
      <c r="I240" s="103"/>
      <c r="J240" s="103"/>
      <c r="K240" s="105">
        <v>0</v>
      </c>
      <c r="L240" s="95"/>
      <c r="M240"/>
      <c r="N240" s="95"/>
      <c r="O240" s="97"/>
      <c r="Q240"/>
      <c r="AC240"/>
      <c r="AG240"/>
      <c r="AK240"/>
    </row>
    <row r="241" spans="1:37" ht="15" customHeight="1" x14ac:dyDescent="0.25">
      <c r="A241" s="115" t="s">
        <v>610</v>
      </c>
      <c r="B241" s="112" t="s">
        <v>611</v>
      </c>
      <c r="C241" s="101">
        <v>63769</v>
      </c>
      <c r="D241" s="102" t="s">
        <v>934</v>
      </c>
      <c r="E241" s="103" t="s">
        <v>67</v>
      </c>
      <c r="F241" s="103" t="s">
        <v>397</v>
      </c>
      <c r="G241" s="103" t="s">
        <v>447</v>
      </c>
      <c r="H241" s="103" t="s">
        <v>437</v>
      </c>
      <c r="I241" s="104">
        <v>45291</v>
      </c>
      <c r="J241" s="103"/>
      <c r="K241" s="105">
        <v>0</v>
      </c>
      <c r="L241" s="94"/>
      <c r="M241"/>
      <c r="N241" s="95"/>
      <c r="O241" s="97"/>
      <c r="Q241"/>
      <c r="AC241"/>
      <c r="AG241"/>
      <c r="AK241"/>
    </row>
    <row r="242" spans="1:37" ht="15" customHeight="1" x14ac:dyDescent="0.25">
      <c r="A242" s="115" t="s">
        <v>610</v>
      </c>
      <c r="B242" s="112" t="s">
        <v>611</v>
      </c>
      <c r="C242" s="101">
        <v>59811</v>
      </c>
      <c r="D242" s="102" t="s">
        <v>938</v>
      </c>
      <c r="E242" s="103" t="s">
        <v>48</v>
      </c>
      <c r="F242" s="103" t="s">
        <v>412</v>
      </c>
      <c r="G242" s="103" t="s">
        <v>447</v>
      </c>
      <c r="H242" s="103" t="s">
        <v>437</v>
      </c>
      <c r="I242" s="104">
        <v>44377</v>
      </c>
      <c r="J242" s="104">
        <v>44377</v>
      </c>
      <c r="K242" s="105">
        <v>587383.28</v>
      </c>
      <c r="L242" s="94"/>
      <c r="M242"/>
      <c r="N242" s="95"/>
      <c r="O242" s="97"/>
      <c r="Q242"/>
      <c r="AC242"/>
      <c r="AG242"/>
      <c r="AK242"/>
    </row>
    <row r="243" spans="1:37" ht="15" customHeight="1" x14ac:dyDescent="0.25">
      <c r="A243" s="115" t="s">
        <v>610</v>
      </c>
      <c r="B243" s="112" t="s">
        <v>611</v>
      </c>
      <c r="C243" s="101">
        <v>62432</v>
      </c>
      <c r="D243" s="102" t="s">
        <v>939</v>
      </c>
      <c r="E243" s="103" t="s">
        <v>48</v>
      </c>
      <c r="F243" s="103" t="s">
        <v>412</v>
      </c>
      <c r="G243" s="103" t="s">
        <v>447</v>
      </c>
      <c r="H243" s="103" t="s">
        <v>437</v>
      </c>
      <c r="I243" s="104">
        <v>44756</v>
      </c>
      <c r="J243" s="104">
        <v>44756</v>
      </c>
      <c r="K243" s="105">
        <v>10360</v>
      </c>
      <c r="L243" s="95"/>
      <c r="M243"/>
      <c r="N243" s="95"/>
      <c r="O243" s="97"/>
      <c r="Q243"/>
      <c r="AC243"/>
      <c r="AG243"/>
      <c r="AK243"/>
    </row>
    <row r="244" spans="1:37" ht="15" customHeight="1" x14ac:dyDescent="0.25">
      <c r="A244" s="115" t="s">
        <v>610</v>
      </c>
      <c r="B244" s="112" t="s">
        <v>611</v>
      </c>
      <c r="C244" s="101">
        <v>64530</v>
      </c>
      <c r="D244" s="102" t="s">
        <v>940</v>
      </c>
      <c r="E244" s="103" t="s">
        <v>451</v>
      </c>
      <c r="F244" s="103" t="s">
        <v>397</v>
      </c>
      <c r="G244" s="103" t="s">
        <v>954</v>
      </c>
      <c r="H244" s="103" t="s">
        <v>437</v>
      </c>
      <c r="I244" s="104">
        <v>45291</v>
      </c>
      <c r="J244" s="103"/>
      <c r="K244" s="105">
        <v>0</v>
      </c>
      <c r="L244" s="95"/>
      <c r="M244"/>
      <c r="N244" s="95"/>
      <c r="O244" s="97"/>
      <c r="Q244"/>
      <c r="AC244"/>
      <c r="AG244"/>
      <c r="AK244"/>
    </row>
    <row r="245" spans="1:37" ht="15" customHeight="1" x14ac:dyDescent="0.25">
      <c r="A245" s="115" t="s">
        <v>610</v>
      </c>
      <c r="B245" s="112" t="s">
        <v>611</v>
      </c>
      <c r="C245" s="101">
        <v>64529</v>
      </c>
      <c r="D245" s="102" t="s">
        <v>941</v>
      </c>
      <c r="E245" s="103" t="s">
        <v>451</v>
      </c>
      <c r="F245" s="103" t="s">
        <v>397</v>
      </c>
      <c r="G245" s="103" t="s">
        <v>954</v>
      </c>
      <c r="H245" s="103" t="s">
        <v>437</v>
      </c>
      <c r="I245" s="104">
        <v>45231</v>
      </c>
      <c r="J245" s="104"/>
      <c r="K245" s="105">
        <v>0</v>
      </c>
      <c r="L245" s="95"/>
      <c r="M245"/>
      <c r="N245" s="95"/>
      <c r="O245" s="97"/>
      <c r="Q245"/>
      <c r="AC245"/>
      <c r="AG245"/>
      <c r="AK245"/>
    </row>
    <row r="246" spans="1:37" ht="15" customHeight="1" x14ac:dyDescent="0.25">
      <c r="A246" s="115" t="s">
        <v>1192</v>
      </c>
      <c r="B246" s="112" t="s">
        <v>1138</v>
      </c>
      <c r="C246" s="101">
        <v>58698</v>
      </c>
      <c r="D246" s="102" t="s">
        <v>1166</v>
      </c>
      <c r="E246" s="103" t="s">
        <v>46</v>
      </c>
      <c r="F246" s="103" t="s">
        <v>412</v>
      </c>
      <c r="G246" s="103" t="s">
        <v>413</v>
      </c>
      <c r="H246" s="103" t="s">
        <v>414</v>
      </c>
      <c r="I246" s="104">
        <v>44012</v>
      </c>
      <c r="J246" s="104">
        <v>43963</v>
      </c>
      <c r="K246" s="105">
        <v>46287</v>
      </c>
      <c r="L246" s="94"/>
      <c r="M246"/>
      <c r="N246" s="95"/>
      <c r="O246" s="97"/>
      <c r="Q246"/>
      <c r="AC246"/>
      <c r="AG246"/>
      <c r="AK246"/>
    </row>
    <row r="247" spans="1:37" ht="15" customHeight="1" x14ac:dyDescent="0.25">
      <c r="A247" s="115" t="s">
        <v>1192</v>
      </c>
      <c r="B247" s="112" t="s">
        <v>1138</v>
      </c>
      <c r="C247" s="101">
        <v>59543</v>
      </c>
      <c r="D247" s="102" t="s">
        <v>1167</v>
      </c>
      <c r="E247" s="103" t="s">
        <v>46</v>
      </c>
      <c r="F247" s="103" t="s">
        <v>412</v>
      </c>
      <c r="G247" s="103" t="s">
        <v>413</v>
      </c>
      <c r="H247" s="103" t="s">
        <v>414</v>
      </c>
      <c r="I247" s="104">
        <v>44377</v>
      </c>
      <c r="J247" s="104">
        <v>44375</v>
      </c>
      <c r="K247" s="105">
        <v>48601.03</v>
      </c>
      <c r="L247" s="95"/>
      <c r="M247"/>
      <c r="N247" s="95"/>
      <c r="O247" s="97"/>
      <c r="Q247"/>
      <c r="AC247"/>
      <c r="AG247"/>
      <c r="AK247"/>
    </row>
    <row r="248" spans="1:37" ht="15" customHeight="1" x14ac:dyDescent="0.25">
      <c r="A248" s="115" t="s">
        <v>1192</v>
      </c>
      <c r="B248" s="112" t="s">
        <v>1138</v>
      </c>
      <c r="C248" s="101">
        <v>62467</v>
      </c>
      <c r="D248" s="102" t="s">
        <v>1168</v>
      </c>
      <c r="E248" s="103" t="s">
        <v>46</v>
      </c>
      <c r="F248" s="103" t="s">
        <v>440</v>
      </c>
      <c r="G248" s="103" t="s">
        <v>413</v>
      </c>
      <c r="H248" s="103" t="s">
        <v>414</v>
      </c>
      <c r="I248" s="104">
        <v>45839</v>
      </c>
      <c r="J248" s="104"/>
      <c r="K248" s="105">
        <v>144674.09</v>
      </c>
      <c r="M248"/>
      <c r="N248" s="95"/>
      <c r="O248" s="95"/>
      <c r="Q248"/>
      <c r="AC248"/>
      <c r="AG248"/>
      <c r="AK248"/>
    </row>
    <row r="249" spans="1:37" ht="15" customHeight="1" x14ac:dyDescent="0.25">
      <c r="A249" s="115" t="s">
        <v>1192</v>
      </c>
      <c r="B249" s="112" t="s">
        <v>1138</v>
      </c>
      <c r="C249" s="101">
        <v>60895</v>
      </c>
      <c r="D249" s="102" t="s">
        <v>1169</v>
      </c>
      <c r="E249" s="103" t="s">
        <v>46</v>
      </c>
      <c r="F249" s="103" t="s">
        <v>412</v>
      </c>
      <c r="G249" s="103" t="s">
        <v>413</v>
      </c>
      <c r="H249" s="103" t="s">
        <v>414</v>
      </c>
      <c r="I249" s="104">
        <v>44712</v>
      </c>
      <c r="J249" s="104">
        <v>44711</v>
      </c>
      <c r="K249" s="105">
        <v>137784.85</v>
      </c>
      <c r="M249"/>
      <c r="N249" s="95"/>
      <c r="O249" s="95"/>
      <c r="Q249"/>
      <c r="AC249"/>
      <c r="AG249"/>
      <c r="AK249"/>
    </row>
    <row r="250" spans="1:37" ht="15" customHeight="1" x14ac:dyDescent="0.25">
      <c r="A250" s="115" t="s">
        <v>1192</v>
      </c>
      <c r="B250" s="112" t="s">
        <v>1138</v>
      </c>
      <c r="C250" s="101">
        <v>61368</v>
      </c>
      <c r="D250" s="102" t="s">
        <v>1170</v>
      </c>
      <c r="E250" s="103" t="s">
        <v>46</v>
      </c>
      <c r="F250" s="103" t="s">
        <v>401</v>
      </c>
      <c r="G250" s="103" t="s">
        <v>417</v>
      </c>
      <c r="H250" s="103" t="s">
        <v>414</v>
      </c>
      <c r="I250" s="104">
        <v>45501</v>
      </c>
      <c r="J250" s="104"/>
      <c r="K250" s="105">
        <v>397827.29</v>
      </c>
      <c r="M250"/>
      <c r="N250" s="95"/>
      <c r="O250" s="95"/>
      <c r="Q250"/>
      <c r="AC250"/>
      <c r="AG250"/>
      <c r="AK250"/>
    </row>
    <row r="251" spans="1:37" ht="15" customHeight="1" x14ac:dyDescent="0.25">
      <c r="A251" s="115" t="s">
        <v>1192</v>
      </c>
      <c r="B251" s="112" t="s">
        <v>1138</v>
      </c>
      <c r="C251" s="101">
        <v>64204</v>
      </c>
      <c r="D251" s="102" t="s">
        <v>1171</v>
      </c>
      <c r="E251" s="103" t="s">
        <v>46</v>
      </c>
      <c r="F251" s="103" t="s">
        <v>397</v>
      </c>
      <c r="G251" s="103" t="s">
        <v>417</v>
      </c>
      <c r="H251" s="103" t="s">
        <v>414</v>
      </c>
      <c r="I251" s="104">
        <v>45149</v>
      </c>
      <c r="J251" s="104"/>
      <c r="K251" s="105">
        <v>743124.07</v>
      </c>
      <c r="M251"/>
      <c r="N251" s="95"/>
      <c r="O251" s="95"/>
      <c r="Q251"/>
      <c r="AC251"/>
      <c r="AG251"/>
      <c r="AK251"/>
    </row>
    <row r="252" spans="1:37" ht="15" customHeight="1" x14ac:dyDescent="0.25">
      <c r="A252" s="115" t="s">
        <v>1192</v>
      </c>
      <c r="B252" s="112" t="s">
        <v>1138</v>
      </c>
      <c r="C252" s="101">
        <v>56958</v>
      </c>
      <c r="D252" s="102" t="s">
        <v>1172</v>
      </c>
      <c r="E252" s="103" t="s">
        <v>46</v>
      </c>
      <c r="F252" s="103" t="s">
        <v>412</v>
      </c>
      <c r="G252" s="103" t="s">
        <v>413</v>
      </c>
      <c r="H252" s="103" t="s">
        <v>414</v>
      </c>
      <c r="I252" s="104">
        <v>43592</v>
      </c>
      <c r="J252" s="104">
        <v>43592</v>
      </c>
      <c r="K252" s="105">
        <v>44158.2</v>
      </c>
      <c r="M252"/>
      <c r="N252" s="95"/>
      <c r="O252" s="95"/>
      <c r="Q252"/>
      <c r="AC252"/>
      <c r="AG252"/>
      <c r="AK252"/>
    </row>
    <row r="253" spans="1:37" ht="15" customHeight="1" x14ac:dyDescent="0.25">
      <c r="A253" s="115" t="s">
        <v>1192</v>
      </c>
      <c r="B253" s="112" t="s">
        <v>1138</v>
      </c>
      <c r="C253" s="101">
        <v>50153</v>
      </c>
      <c r="D253" s="102" t="s">
        <v>1173</v>
      </c>
      <c r="E253" s="103" t="s">
        <v>46</v>
      </c>
      <c r="F253" s="103" t="s">
        <v>412</v>
      </c>
      <c r="G253" s="103" t="s">
        <v>413</v>
      </c>
      <c r="H253" s="103" t="s">
        <v>414</v>
      </c>
      <c r="I253" s="104">
        <v>43105</v>
      </c>
      <c r="J253" s="104">
        <v>43105</v>
      </c>
      <c r="K253" s="105">
        <v>32711.52</v>
      </c>
      <c r="M253"/>
      <c r="N253" s="95"/>
      <c r="O253" s="95"/>
      <c r="Q253"/>
      <c r="AC253"/>
      <c r="AG253"/>
      <c r="AK253"/>
    </row>
    <row r="254" spans="1:37" ht="15" customHeight="1" x14ac:dyDescent="0.25">
      <c r="A254" s="115" t="s">
        <v>1192</v>
      </c>
      <c r="B254" s="112" t="s">
        <v>1138</v>
      </c>
      <c r="C254" s="101">
        <v>50152</v>
      </c>
      <c r="D254" s="102" t="s">
        <v>1174</v>
      </c>
      <c r="E254" s="103" t="s">
        <v>46</v>
      </c>
      <c r="F254" s="103" t="s">
        <v>412</v>
      </c>
      <c r="G254" s="103" t="s">
        <v>413</v>
      </c>
      <c r="H254" s="103" t="s">
        <v>414</v>
      </c>
      <c r="I254" s="104">
        <v>42741</v>
      </c>
      <c r="J254" s="104">
        <v>42741</v>
      </c>
      <c r="K254" s="105">
        <v>34181.870000000003</v>
      </c>
      <c r="M254"/>
      <c r="N254" s="95"/>
      <c r="O254" s="95"/>
      <c r="Q254"/>
      <c r="AC254"/>
      <c r="AG254"/>
      <c r="AK254"/>
    </row>
    <row r="255" spans="1:37" ht="15" customHeight="1" x14ac:dyDescent="0.25">
      <c r="A255" s="115" t="s">
        <v>1192</v>
      </c>
      <c r="B255" s="112" t="s">
        <v>1138</v>
      </c>
      <c r="C255" s="101">
        <v>50151</v>
      </c>
      <c r="D255" s="102" t="s">
        <v>1175</v>
      </c>
      <c r="E255" s="103" t="s">
        <v>46</v>
      </c>
      <c r="F255" s="103" t="s">
        <v>412</v>
      </c>
      <c r="G255" s="103" t="s">
        <v>413</v>
      </c>
      <c r="H255" s="103" t="s">
        <v>414</v>
      </c>
      <c r="I255" s="104">
        <v>42375</v>
      </c>
      <c r="J255" s="104">
        <v>42375</v>
      </c>
      <c r="K255" s="105">
        <v>32706.959999999999</v>
      </c>
      <c r="M255"/>
      <c r="N255" s="95"/>
      <c r="O255" s="95"/>
      <c r="Q255"/>
      <c r="AC255"/>
      <c r="AG255"/>
      <c r="AK255"/>
    </row>
    <row r="256" spans="1:37" ht="15" customHeight="1" x14ac:dyDescent="0.25">
      <c r="A256" s="115" t="s">
        <v>1192</v>
      </c>
      <c r="B256" s="112" t="s">
        <v>1138</v>
      </c>
      <c r="C256" s="101">
        <v>50150</v>
      </c>
      <c r="D256" s="102" t="s">
        <v>1176</v>
      </c>
      <c r="E256" s="103" t="s">
        <v>46</v>
      </c>
      <c r="F256" s="103" t="s">
        <v>412</v>
      </c>
      <c r="G256" s="103" t="s">
        <v>413</v>
      </c>
      <c r="H256" s="103" t="s">
        <v>414</v>
      </c>
      <c r="I256" s="104">
        <v>42010</v>
      </c>
      <c r="J256" s="104">
        <v>42010</v>
      </c>
      <c r="K256" s="105">
        <v>29442.98</v>
      </c>
      <c r="M256"/>
      <c r="N256" s="95"/>
      <c r="O256" s="95"/>
      <c r="Q256"/>
      <c r="AC256"/>
      <c r="AG256"/>
      <c r="AK256"/>
    </row>
    <row r="257" spans="1:37" ht="15" customHeight="1" x14ac:dyDescent="0.25">
      <c r="A257" s="115" t="s">
        <v>1192</v>
      </c>
      <c r="B257" s="112" t="s">
        <v>1138</v>
      </c>
      <c r="C257" s="101">
        <v>63136</v>
      </c>
      <c r="D257" s="102" t="s">
        <v>1177</v>
      </c>
      <c r="E257" s="103" t="s">
        <v>46</v>
      </c>
      <c r="F257" s="103" t="s">
        <v>412</v>
      </c>
      <c r="G257" s="103" t="s">
        <v>422</v>
      </c>
      <c r="H257" s="103" t="s">
        <v>423</v>
      </c>
      <c r="I257" s="104">
        <v>44834</v>
      </c>
      <c r="J257" s="104">
        <v>44834</v>
      </c>
      <c r="K257" s="105">
        <v>288969.78000000003</v>
      </c>
      <c r="M257"/>
      <c r="N257" s="95"/>
      <c r="O257" s="95"/>
      <c r="Q257"/>
      <c r="AC257"/>
      <c r="AG257"/>
      <c r="AK257"/>
    </row>
    <row r="258" spans="1:37" ht="15" customHeight="1" x14ac:dyDescent="0.25">
      <c r="A258" s="115" t="s">
        <v>1192</v>
      </c>
      <c r="B258" s="112" t="s">
        <v>1138</v>
      </c>
      <c r="C258" s="101">
        <v>60779</v>
      </c>
      <c r="D258" s="102" t="s">
        <v>1178</v>
      </c>
      <c r="E258" s="103" t="s">
        <v>46</v>
      </c>
      <c r="F258" s="103" t="s">
        <v>412</v>
      </c>
      <c r="G258" s="103" t="s">
        <v>447</v>
      </c>
      <c r="H258" s="103" t="s">
        <v>423</v>
      </c>
      <c r="I258" s="104">
        <v>44384</v>
      </c>
      <c r="J258" s="104">
        <v>44384</v>
      </c>
      <c r="K258" s="105">
        <v>60001.53</v>
      </c>
      <c r="M258"/>
      <c r="N258" s="95"/>
      <c r="O258" s="95"/>
      <c r="Q258"/>
      <c r="AC258"/>
      <c r="AG258"/>
      <c r="AK258"/>
    </row>
    <row r="259" spans="1:37" ht="15" customHeight="1" x14ac:dyDescent="0.25">
      <c r="A259" s="115" t="s">
        <v>1192</v>
      </c>
      <c r="B259" s="112" t="s">
        <v>1138</v>
      </c>
      <c r="C259" s="101">
        <v>62360</v>
      </c>
      <c r="D259" s="102" t="s">
        <v>1179</v>
      </c>
      <c r="E259" s="103" t="s">
        <v>46</v>
      </c>
      <c r="F259" s="103" t="s">
        <v>412</v>
      </c>
      <c r="G259" s="103" t="s">
        <v>422</v>
      </c>
      <c r="H259" s="103" t="s">
        <v>423</v>
      </c>
      <c r="I259" s="104">
        <v>44704</v>
      </c>
      <c r="J259" s="104">
        <v>44704</v>
      </c>
      <c r="K259" s="105">
        <v>52899.15</v>
      </c>
      <c r="M259"/>
      <c r="N259" s="95"/>
      <c r="O259" s="95"/>
      <c r="Q259"/>
      <c r="AC259"/>
      <c r="AG259"/>
      <c r="AK259"/>
    </row>
    <row r="260" spans="1:37" ht="15" customHeight="1" x14ac:dyDescent="0.25">
      <c r="A260" s="115" t="s">
        <v>1192</v>
      </c>
      <c r="B260" s="112" t="s">
        <v>1138</v>
      </c>
      <c r="C260" s="101">
        <v>52138</v>
      </c>
      <c r="D260" s="102" t="s">
        <v>1180</v>
      </c>
      <c r="E260" s="103" t="s">
        <v>46</v>
      </c>
      <c r="F260" s="103" t="s">
        <v>412</v>
      </c>
      <c r="G260" s="103" t="s">
        <v>413</v>
      </c>
      <c r="H260" s="103" t="s">
        <v>423</v>
      </c>
      <c r="I260" s="104">
        <v>43109</v>
      </c>
      <c r="J260" s="104">
        <v>43391</v>
      </c>
      <c r="K260" s="105">
        <v>9812.8799999999992</v>
      </c>
      <c r="M260"/>
      <c r="N260" s="95"/>
      <c r="O260" s="95"/>
      <c r="Q260"/>
      <c r="AC260"/>
      <c r="AG260"/>
      <c r="AK260"/>
    </row>
    <row r="261" spans="1:37" ht="15" customHeight="1" x14ac:dyDescent="0.25">
      <c r="A261" s="115" t="s">
        <v>1192</v>
      </c>
      <c r="B261" s="112" t="s">
        <v>1138</v>
      </c>
      <c r="C261" s="101">
        <v>55632</v>
      </c>
      <c r="D261" s="102" t="s">
        <v>1181</v>
      </c>
      <c r="E261" s="103" t="s">
        <v>46</v>
      </c>
      <c r="F261" s="103" t="s">
        <v>412</v>
      </c>
      <c r="G261" s="103" t="s">
        <v>427</v>
      </c>
      <c r="H261" s="103" t="s">
        <v>423</v>
      </c>
      <c r="I261" s="104">
        <v>41851</v>
      </c>
      <c r="J261" s="104">
        <v>41851</v>
      </c>
      <c r="K261" s="105">
        <v>153192.87</v>
      </c>
      <c r="M261"/>
      <c r="N261" s="95"/>
      <c r="O261" s="95"/>
      <c r="Q261"/>
      <c r="AC261"/>
      <c r="AG261"/>
      <c r="AK261"/>
    </row>
    <row r="262" spans="1:37" ht="15" customHeight="1" x14ac:dyDescent="0.25">
      <c r="A262" s="115" t="s">
        <v>1192</v>
      </c>
      <c r="B262" s="112" t="s">
        <v>1138</v>
      </c>
      <c r="C262" s="101">
        <v>63077</v>
      </c>
      <c r="D262" s="102" t="s">
        <v>1182</v>
      </c>
      <c r="E262" s="103" t="s">
        <v>46</v>
      </c>
      <c r="F262" s="103" t="s">
        <v>397</v>
      </c>
      <c r="G262" s="103" t="s">
        <v>422</v>
      </c>
      <c r="H262" s="103" t="s">
        <v>423</v>
      </c>
      <c r="I262" s="104"/>
      <c r="J262" s="104"/>
      <c r="K262" s="105">
        <v>206029.2</v>
      </c>
      <c r="M262"/>
      <c r="N262" s="95"/>
      <c r="O262" s="95"/>
      <c r="Q262"/>
      <c r="AC262"/>
      <c r="AG262"/>
      <c r="AK262"/>
    </row>
    <row r="263" spans="1:37" ht="15" customHeight="1" x14ac:dyDescent="0.25">
      <c r="A263" s="115" t="s">
        <v>1192</v>
      </c>
      <c r="B263" s="112" t="s">
        <v>1138</v>
      </c>
      <c r="C263" s="101">
        <v>51838</v>
      </c>
      <c r="D263" s="102" t="s">
        <v>1183</v>
      </c>
      <c r="E263" s="103" t="s">
        <v>46</v>
      </c>
      <c r="F263" s="103" t="s">
        <v>397</v>
      </c>
      <c r="G263" s="103" t="s">
        <v>427</v>
      </c>
      <c r="H263" s="103" t="s">
        <v>433</v>
      </c>
      <c r="I263" s="104"/>
      <c r="J263" s="104">
        <v>43559</v>
      </c>
      <c r="K263" s="105">
        <v>0</v>
      </c>
      <c r="M263"/>
      <c r="N263" s="95"/>
      <c r="O263" s="95"/>
      <c r="Q263"/>
      <c r="AC263"/>
      <c r="AG263"/>
      <c r="AK263"/>
    </row>
    <row r="264" spans="1:37" ht="15" customHeight="1" x14ac:dyDescent="0.25">
      <c r="A264" s="115" t="s">
        <v>1192</v>
      </c>
      <c r="B264" s="112" t="s">
        <v>1138</v>
      </c>
      <c r="C264" s="101">
        <v>51836</v>
      </c>
      <c r="D264" s="102" t="s">
        <v>1184</v>
      </c>
      <c r="E264" s="103" t="s">
        <v>46</v>
      </c>
      <c r="F264" s="103" t="s">
        <v>412</v>
      </c>
      <c r="G264" s="103"/>
      <c r="H264" s="103" t="s">
        <v>433</v>
      </c>
      <c r="I264" s="104">
        <v>43373</v>
      </c>
      <c r="J264" s="104">
        <v>43373</v>
      </c>
      <c r="K264" s="105">
        <v>3240</v>
      </c>
      <c r="M264"/>
      <c r="N264" s="95"/>
      <c r="O264" s="95"/>
      <c r="Q264"/>
      <c r="AC264"/>
      <c r="AG264"/>
      <c r="AK264"/>
    </row>
    <row r="265" spans="1:37" ht="15" customHeight="1" x14ac:dyDescent="0.25">
      <c r="A265" s="115" t="s">
        <v>1192</v>
      </c>
      <c r="B265" s="112" t="s">
        <v>1138</v>
      </c>
      <c r="C265" s="101">
        <v>50154</v>
      </c>
      <c r="D265" s="102" t="s">
        <v>1185</v>
      </c>
      <c r="E265" s="103" t="s">
        <v>46</v>
      </c>
      <c r="F265" s="103" t="s">
        <v>412</v>
      </c>
      <c r="G265" s="103"/>
      <c r="H265" s="103" t="s">
        <v>433</v>
      </c>
      <c r="I265" s="104"/>
      <c r="J265" s="104">
        <v>42378</v>
      </c>
      <c r="K265" s="105">
        <v>0</v>
      </c>
      <c r="M265"/>
      <c r="N265" s="95"/>
      <c r="O265" s="95"/>
      <c r="Q265"/>
      <c r="AC265"/>
      <c r="AG265"/>
      <c r="AK265"/>
    </row>
    <row r="266" spans="1:37" ht="15" customHeight="1" x14ac:dyDescent="0.25">
      <c r="A266" s="115" t="s">
        <v>1192</v>
      </c>
      <c r="B266" s="112" t="s">
        <v>1138</v>
      </c>
      <c r="C266" s="101">
        <v>50149</v>
      </c>
      <c r="D266" s="102" t="s">
        <v>1146</v>
      </c>
      <c r="E266" s="103" t="s">
        <v>46</v>
      </c>
      <c r="F266" s="103" t="s">
        <v>412</v>
      </c>
      <c r="G266" s="103"/>
      <c r="H266" s="103" t="s">
        <v>433</v>
      </c>
      <c r="I266" s="104">
        <v>42008</v>
      </c>
      <c r="J266" s="104">
        <v>42008</v>
      </c>
      <c r="K266" s="105">
        <v>1200</v>
      </c>
      <c r="M266"/>
      <c r="N266" s="95"/>
      <c r="O266" s="95"/>
      <c r="Q266"/>
      <c r="AC266"/>
      <c r="AG266"/>
      <c r="AK266"/>
    </row>
    <row r="267" spans="1:37" ht="15" customHeight="1" x14ac:dyDescent="0.25">
      <c r="A267" s="115" t="s">
        <v>1192</v>
      </c>
      <c r="B267" s="112" t="s">
        <v>1138</v>
      </c>
      <c r="C267" s="101">
        <v>58231</v>
      </c>
      <c r="D267" s="102" t="s">
        <v>1147</v>
      </c>
      <c r="E267" s="103" t="s">
        <v>46</v>
      </c>
      <c r="F267" s="103" t="s">
        <v>397</v>
      </c>
      <c r="G267" s="103" t="s">
        <v>427</v>
      </c>
      <c r="H267" s="103" t="s">
        <v>437</v>
      </c>
      <c r="I267" s="104">
        <v>43951</v>
      </c>
      <c r="J267" s="104"/>
      <c r="K267" s="105">
        <v>164696.88</v>
      </c>
      <c r="M267"/>
      <c r="N267" s="95"/>
      <c r="O267" s="95"/>
      <c r="Q267"/>
      <c r="AC267"/>
      <c r="AG267"/>
      <c r="AK267"/>
    </row>
    <row r="268" spans="1:37" ht="15" customHeight="1" x14ac:dyDescent="0.25">
      <c r="A268" s="115" t="s">
        <v>1192</v>
      </c>
      <c r="B268" s="112" t="s">
        <v>1138</v>
      </c>
      <c r="C268" s="101">
        <v>62034</v>
      </c>
      <c r="D268" s="102" t="s">
        <v>1148</v>
      </c>
      <c r="E268" s="103" t="s">
        <v>46</v>
      </c>
      <c r="F268" s="103" t="s">
        <v>397</v>
      </c>
      <c r="G268" s="103"/>
      <c r="H268" s="103" t="s">
        <v>437</v>
      </c>
      <c r="I268" s="104">
        <v>44771</v>
      </c>
      <c r="J268" s="104"/>
      <c r="K268" s="105">
        <v>200</v>
      </c>
      <c r="M268"/>
      <c r="N268" s="95"/>
      <c r="O268" s="95"/>
      <c r="Q268"/>
      <c r="AC268"/>
      <c r="AG268"/>
      <c r="AK268"/>
    </row>
    <row r="269" spans="1:37" ht="15" customHeight="1" x14ac:dyDescent="0.25">
      <c r="A269" s="115" t="s">
        <v>1192</v>
      </c>
      <c r="B269" s="112" t="s">
        <v>1138</v>
      </c>
      <c r="C269" s="101">
        <v>51837</v>
      </c>
      <c r="D269" s="102" t="s">
        <v>1149</v>
      </c>
      <c r="E269" s="103" t="s">
        <v>484</v>
      </c>
      <c r="F269" s="103" t="s">
        <v>412</v>
      </c>
      <c r="G269" s="103"/>
      <c r="H269" s="103" t="s">
        <v>437</v>
      </c>
      <c r="I269" s="104">
        <v>43448</v>
      </c>
      <c r="J269" s="104">
        <v>43448</v>
      </c>
      <c r="K269" s="105">
        <v>121255</v>
      </c>
      <c r="M269"/>
      <c r="N269" s="95"/>
      <c r="O269" s="95"/>
      <c r="Q269"/>
      <c r="AC269"/>
      <c r="AG269"/>
      <c r="AK269"/>
    </row>
    <row r="270" spans="1:37" ht="15" customHeight="1" x14ac:dyDescent="0.25">
      <c r="A270" s="115" t="s">
        <v>1192</v>
      </c>
      <c r="B270" s="112" t="s">
        <v>1138</v>
      </c>
      <c r="C270" s="101">
        <v>64099</v>
      </c>
      <c r="D270" s="102" t="s">
        <v>1150</v>
      </c>
      <c r="E270" s="103" t="s">
        <v>46</v>
      </c>
      <c r="F270" s="103" t="s">
        <v>398</v>
      </c>
      <c r="G270" s="103"/>
      <c r="H270" s="103" t="s">
        <v>437</v>
      </c>
      <c r="I270" s="104">
        <v>45392</v>
      </c>
      <c r="J270" s="104"/>
      <c r="K270" s="105">
        <v>219774</v>
      </c>
      <c r="M270"/>
      <c r="N270" s="95"/>
      <c r="O270" s="95"/>
      <c r="Q270"/>
      <c r="AC270"/>
      <c r="AG270"/>
      <c r="AK270"/>
    </row>
    <row r="271" spans="1:37" ht="15" customHeight="1" x14ac:dyDescent="0.25">
      <c r="A271" s="115" t="s">
        <v>1192</v>
      </c>
      <c r="B271" s="112" t="s">
        <v>1138</v>
      </c>
      <c r="C271" s="101">
        <v>63217</v>
      </c>
      <c r="D271" s="102" t="s">
        <v>1151</v>
      </c>
      <c r="E271" s="103" t="s">
        <v>67</v>
      </c>
      <c r="F271" s="103" t="s">
        <v>397</v>
      </c>
      <c r="G271" s="103"/>
      <c r="H271" s="103" t="s">
        <v>437</v>
      </c>
      <c r="I271" s="104">
        <v>45107</v>
      </c>
      <c r="J271" s="104"/>
      <c r="K271" s="105">
        <v>235</v>
      </c>
      <c r="M271"/>
      <c r="N271" s="95"/>
      <c r="O271" s="95"/>
      <c r="Q271"/>
      <c r="AC271"/>
      <c r="AG271"/>
      <c r="AK271"/>
    </row>
    <row r="272" spans="1:37" ht="15" customHeight="1" x14ac:dyDescent="0.25">
      <c r="A272" s="115" t="s">
        <v>1192</v>
      </c>
      <c r="B272" s="112" t="s">
        <v>1138</v>
      </c>
      <c r="C272" s="101">
        <v>59244</v>
      </c>
      <c r="D272" s="102" t="s">
        <v>1152</v>
      </c>
      <c r="E272" s="103" t="s">
        <v>484</v>
      </c>
      <c r="F272" s="103" t="s">
        <v>412</v>
      </c>
      <c r="G272" s="103"/>
      <c r="H272" s="103" t="s">
        <v>437</v>
      </c>
      <c r="I272" s="104">
        <v>44096</v>
      </c>
      <c r="J272" s="104">
        <v>44104</v>
      </c>
      <c r="K272" s="105">
        <v>10800</v>
      </c>
      <c r="M272"/>
      <c r="N272" s="95"/>
      <c r="O272" s="95"/>
      <c r="Q272"/>
      <c r="AC272"/>
      <c r="AG272"/>
      <c r="AK272"/>
    </row>
    <row r="273" spans="1:37" ht="15" customHeight="1" x14ac:dyDescent="0.25">
      <c r="A273" s="115" t="s">
        <v>1192</v>
      </c>
      <c r="B273" s="112" t="s">
        <v>1138</v>
      </c>
      <c r="C273" s="101">
        <v>57302</v>
      </c>
      <c r="D273" s="102" t="s">
        <v>1153</v>
      </c>
      <c r="E273" s="103" t="s">
        <v>484</v>
      </c>
      <c r="F273" s="103" t="s">
        <v>412</v>
      </c>
      <c r="G273" s="103"/>
      <c r="H273" s="103" t="s">
        <v>437</v>
      </c>
      <c r="I273" s="104">
        <v>43691</v>
      </c>
      <c r="J273" s="104">
        <v>43691</v>
      </c>
      <c r="K273" s="105">
        <v>33602.400000000001</v>
      </c>
      <c r="M273"/>
      <c r="N273" s="95"/>
      <c r="O273" s="95"/>
      <c r="Q273"/>
      <c r="AC273"/>
      <c r="AG273"/>
      <c r="AK273"/>
    </row>
    <row r="274" spans="1:37" ht="15" customHeight="1" x14ac:dyDescent="0.25">
      <c r="A274" s="115" t="s">
        <v>1192</v>
      </c>
      <c r="B274" s="112" t="s">
        <v>1138</v>
      </c>
      <c r="C274" s="101">
        <v>64049</v>
      </c>
      <c r="D274" s="102" t="s">
        <v>1154</v>
      </c>
      <c r="E274" s="103" t="s">
        <v>46</v>
      </c>
      <c r="F274" s="103" t="s">
        <v>412</v>
      </c>
      <c r="G274" s="103"/>
      <c r="H274" s="103" t="s">
        <v>437</v>
      </c>
      <c r="I274" s="104">
        <v>45322</v>
      </c>
      <c r="J274" s="104">
        <v>45341</v>
      </c>
      <c r="K274" s="105">
        <v>161281.44</v>
      </c>
      <c r="M274"/>
      <c r="N274" s="95"/>
      <c r="O274" s="95"/>
      <c r="Q274"/>
      <c r="AC274"/>
      <c r="AG274"/>
      <c r="AK274"/>
    </row>
    <row r="275" spans="1:37" ht="15" customHeight="1" x14ac:dyDescent="0.25">
      <c r="A275" s="115" t="s">
        <v>1192</v>
      </c>
      <c r="B275" s="112" t="s">
        <v>1138</v>
      </c>
      <c r="C275" s="101">
        <v>63157</v>
      </c>
      <c r="D275" s="102" t="s">
        <v>1155</v>
      </c>
      <c r="E275" s="103" t="s">
        <v>484</v>
      </c>
      <c r="F275" s="103" t="s">
        <v>412</v>
      </c>
      <c r="G275" s="103"/>
      <c r="H275" s="103" t="s">
        <v>437</v>
      </c>
      <c r="I275" s="104">
        <v>44834</v>
      </c>
      <c r="J275" s="104">
        <v>44834</v>
      </c>
      <c r="K275" s="105">
        <v>30000.12</v>
      </c>
      <c r="M275"/>
      <c r="N275" s="95"/>
      <c r="O275" s="95"/>
      <c r="Q275"/>
      <c r="AC275"/>
      <c r="AG275"/>
      <c r="AK275"/>
    </row>
    <row r="276" spans="1:37" ht="15" customHeight="1" x14ac:dyDescent="0.25">
      <c r="A276" s="115" t="s">
        <v>1192</v>
      </c>
      <c r="B276" s="112" t="s">
        <v>1138</v>
      </c>
      <c r="C276" s="101">
        <v>62336</v>
      </c>
      <c r="D276" s="102" t="s">
        <v>1156</v>
      </c>
      <c r="E276" s="103" t="s">
        <v>46</v>
      </c>
      <c r="F276" s="103" t="s">
        <v>412</v>
      </c>
      <c r="G276" s="103"/>
      <c r="H276" s="103" t="s">
        <v>437</v>
      </c>
      <c r="I276" s="104">
        <v>44778</v>
      </c>
      <c r="J276" s="104">
        <v>44778</v>
      </c>
      <c r="K276" s="105">
        <v>8353.39</v>
      </c>
      <c r="M276"/>
      <c r="N276" s="95"/>
      <c r="O276" s="95"/>
      <c r="Q276"/>
      <c r="AC276"/>
      <c r="AG276"/>
      <c r="AK276"/>
    </row>
    <row r="277" spans="1:37" ht="15" customHeight="1" x14ac:dyDescent="0.25">
      <c r="A277" s="115" t="s">
        <v>1192</v>
      </c>
      <c r="B277" s="112" t="s">
        <v>1138</v>
      </c>
      <c r="C277" s="101">
        <v>62452</v>
      </c>
      <c r="D277" s="102" t="s">
        <v>1157</v>
      </c>
      <c r="E277" s="103" t="s">
        <v>46</v>
      </c>
      <c r="F277" s="103" t="s">
        <v>397</v>
      </c>
      <c r="G277" s="103"/>
      <c r="H277" s="103" t="s">
        <v>437</v>
      </c>
      <c r="I277" s="104"/>
      <c r="J277" s="104"/>
      <c r="K277" s="105">
        <v>0</v>
      </c>
      <c r="M277"/>
      <c r="N277" s="95"/>
      <c r="O277" s="95"/>
      <c r="Q277"/>
      <c r="AC277"/>
      <c r="AG277"/>
      <c r="AK277"/>
    </row>
    <row r="278" spans="1:37" ht="15" customHeight="1" x14ac:dyDescent="0.25">
      <c r="A278" s="115" t="s">
        <v>1192</v>
      </c>
      <c r="B278" s="112" t="s">
        <v>1138</v>
      </c>
      <c r="C278" s="101">
        <v>55633</v>
      </c>
      <c r="D278" s="102" t="s">
        <v>1158</v>
      </c>
      <c r="E278" s="103" t="s">
        <v>484</v>
      </c>
      <c r="F278" s="103" t="s">
        <v>412</v>
      </c>
      <c r="G278" s="103"/>
      <c r="H278" s="103" t="s">
        <v>437</v>
      </c>
      <c r="I278" s="104">
        <v>41934</v>
      </c>
      <c r="J278" s="104">
        <v>41934</v>
      </c>
      <c r="K278" s="105">
        <v>3200</v>
      </c>
      <c r="M278"/>
      <c r="N278" s="95"/>
      <c r="O278" s="95"/>
      <c r="Q278"/>
      <c r="AC278"/>
      <c r="AG278"/>
      <c r="AK278"/>
    </row>
    <row r="279" spans="1:37" ht="15" customHeight="1" x14ac:dyDescent="0.25">
      <c r="A279" s="115" t="s">
        <v>1192</v>
      </c>
      <c r="B279" s="112" t="s">
        <v>1138</v>
      </c>
      <c r="C279" s="101">
        <v>63891</v>
      </c>
      <c r="D279" s="102" t="s">
        <v>1159</v>
      </c>
      <c r="E279" s="103" t="s">
        <v>68</v>
      </c>
      <c r="F279" s="103" t="s">
        <v>412</v>
      </c>
      <c r="G279" s="103"/>
      <c r="H279" s="103" t="s">
        <v>437</v>
      </c>
      <c r="I279" s="104">
        <v>45198</v>
      </c>
      <c r="J279" s="104">
        <v>45198</v>
      </c>
      <c r="K279" s="105">
        <v>1320000</v>
      </c>
      <c r="M279"/>
      <c r="N279" s="95"/>
      <c r="O279" s="95"/>
      <c r="Q279"/>
      <c r="AC279"/>
      <c r="AG279"/>
      <c r="AK279"/>
    </row>
    <row r="280" spans="1:37" ht="15" customHeight="1" x14ac:dyDescent="0.25">
      <c r="A280" s="115" t="s">
        <v>1192</v>
      </c>
      <c r="B280" s="112" t="s">
        <v>1138</v>
      </c>
      <c r="C280" s="101">
        <v>63892</v>
      </c>
      <c r="D280" s="102" t="s">
        <v>1160</v>
      </c>
      <c r="E280" s="103" t="s">
        <v>46</v>
      </c>
      <c r="F280" s="103" t="s">
        <v>412</v>
      </c>
      <c r="G280" s="103"/>
      <c r="H280" s="103" t="s">
        <v>437</v>
      </c>
      <c r="I280" s="104">
        <v>45046</v>
      </c>
      <c r="J280" s="104">
        <v>45042</v>
      </c>
      <c r="K280" s="105">
        <v>219774</v>
      </c>
      <c r="M280"/>
      <c r="N280" s="95"/>
      <c r="O280" s="95"/>
      <c r="Q280"/>
      <c r="AC280"/>
      <c r="AG280"/>
      <c r="AK280"/>
    </row>
    <row r="281" spans="1:37" ht="15" customHeight="1" x14ac:dyDescent="0.25">
      <c r="A281" s="115" t="s">
        <v>1192</v>
      </c>
      <c r="B281" s="112" t="s">
        <v>1138</v>
      </c>
      <c r="C281" s="101">
        <v>63649</v>
      </c>
      <c r="D281" s="102" t="s">
        <v>1161</v>
      </c>
      <c r="E281" s="103" t="s">
        <v>67</v>
      </c>
      <c r="F281" s="103" t="s">
        <v>397</v>
      </c>
      <c r="G281" s="103"/>
      <c r="H281" s="103" t="s">
        <v>437</v>
      </c>
      <c r="I281" s="104">
        <v>45016</v>
      </c>
      <c r="J281" s="104"/>
      <c r="K281" s="105">
        <v>394800</v>
      </c>
      <c r="M281"/>
      <c r="N281" s="95"/>
      <c r="O281" s="95"/>
      <c r="Q281"/>
      <c r="AC281"/>
      <c r="AG281"/>
      <c r="AK281"/>
    </row>
    <row r="282" spans="1:37" ht="15" customHeight="1" x14ac:dyDescent="0.25">
      <c r="A282" s="115" t="s">
        <v>1192</v>
      </c>
      <c r="B282" s="112" t="s">
        <v>1138</v>
      </c>
      <c r="C282" s="101">
        <v>63833</v>
      </c>
      <c r="D282" s="102" t="s">
        <v>1162</v>
      </c>
      <c r="E282" s="103" t="s">
        <v>821</v>
      </c>
      <c r="F282" s="103" t="s">
        <v>412</v>
      </c>
      <c r="G282" s="103"/>
      <c r="H282" s="103" t="s">
        <v>437</v>
      </c>
      <c r="I282" s="104">
        <v>45046</v>
      </c>
      <c r="J282" s="104">
        <v>45007</v>
      </c>
      <c r="K282" s="105">
        <v>188784</v>
      </c>
      <c r="M282"/>
      <c r="N282" s="95"/>
      <c r="O282" s="95"/>
      <c r="Q282"/>
      <c r="AC282"/>
      <c r="AG282"/>
      <c r="AK282"/>
    </row>
    <row r="283" spans="1:37" ht="15" customHeight="1" x14ac:dyDescent="0.25">
      <c r="A283" s="115" t="s">
        <v>1192</v>
      </c>
      <c r="B283" s="112" t="s">
        <v>1138</v>
      </c>
      <c r="C283" s="101">
        <v>64055</v>
      </c>
      <c r="D283" s="102" t="s">
        <v>1163</v>
      </c>
      <c r="E283" s="103" t="s">
        <v>67</v>
      </c>
      <c r="F283" s="103" t="s">
        <v>397</v>
      </c>
      <c r="G283" s="103"/>
      <c r="H283" s="103" t="s">
        <v>437</v>
      </c>
      <c r="I283" s="104">
        <v>45046</v>
      </c>
      <c r="J283" s="104"/>
      <c r="K283" s="105">
        <v>235</v>
      </c>
      <c r="M283"/>
      <c r="N283" s="95"/>
      <c r="O283" s="95"/>
      <c r="Q283"/>
      <c r="AC283"/>
      <c r="AG283"/>
      <c r="AK283"/>
    </row>
    <row r="284" spans="1:37" ht="15" customHeight="1" x14ac:dyDescent="0.25">
      <c r="A284" s="115" t="s">
        <v>1192</v>
      </c>
      <c r="B284" s="112" t="s">
        <v>1138</v>
      </c>
      <c r="C284" s="101">
        <v>58635</v>
      </c>
      <c r="D284" s="102" t="s">
        <v>1164</v>
      </c>
      <c r="E284" s="103" t="s">
        <v>484</v>
      </c>
      <c r="F284" s="103" t="s">
        <v>412</v>
      </c>
      <c r="G284" s="103"/>
      <c r="H284" s="103" t="s">
        <v>437</v>
      </c>
      <c r="I284" s="104">
        <v>43951</v>
      </c>
      <c r="J284" s="104">
        <v>43941</v>
      </c>
      <c r="K284" s="105">
        <v>119791.4</v>
      </c>
      <c r="M284"/>
      <c r="N284" s="95"/>
      <c r="O284" s="95"/>
      <c r="Q284"/>
      <c r="AC284"/>
      <c r="AG284"/>
      <c r="AK284"/>
    </row>
    <row r="285" spans="1:37" ht="15" customHeight="1" x14ac:dyDescent="0.25">
      <c r="A285" s="115" t="s">
        <v>1192</v>
      </c>
      <c r="B285" s="112" t="s">
        <v>1138</v>
      </c>
      <c r="C285" s="101">
        <v>59176</v>
      </c>
      <c r="D285" s="102" t="s">
        <v>1165</v>
      </c>
      <c r="E285" s="103" t="s">
        <v>46</v>
      </c>
      <c r="F285" s="103" t="s">
        <v>412</v>
      </c>
      <c r="G285" s="103"/>
      <c r="H285" s="103" t="s">
        <v>437</v>
      </c>
      <c r="I285" s="104">
        <v>43983</v>
      </c>
      <c r="J285" s="104">
        <v>43983</v>
      </c>
      <c r="K285" s="105">
        <v>444053.25</v>
      </c>
      <c r="M285"/>
      <c r="N285" s="95"/>
      <c r="O285" s="95"/>
      <c r="Q285"/>
      <c r="AC285"/>
      <c r="AG285"/>
      <c r="AK285"/>
    </row>
    <row r="286" spans="1:37" ht="15" customHeight="1" x14ac:dyDescent="0.25">
      <c r="A286" s="115" t="s">
        <v>1192</v>
      </c>
      <c r="B286" s="112" t="s">
        <v>1138</v>
      </c>
      <c r="C286" s="101">
        <v>62075</v>
      </c>
      <c r="D286" s="102" t="s">
        <v>1186</v>
      </c>
      <c r="E286" s="103" t="s">
        <v>48</v>
      </c>
      <c r="F286" s="103" t="s">
        <v>397</v>
      </c>
      <c r="G286" s="103"/>
      <c r="H286" s="103" t="s">
        <v>437</v>
      </c>
      <c r="I286" s="104"/>
      <c r="J286" s="104"/>
      <c r="K286" s="105">
        <v>240</v>
      </c>
      <c r="M286"/>
      <c r="N286" s="95"/>
      <c r="O286" s="95"/>
      <c r="Q286"/>
      <c r="AC286"/>
      <c r="AG286"/>
      <c r="AK286"/>
    </row>
    <row r="287" spans="1:37" ht="15" customHeight="1" x14ac:dyDescent="0.25">
      <c r="A287" s="115" t="s">
        <v>1192</v>
      </c>
      <c r="B287" s="112" t="s">
        <v>1138</v>
      </c>
      <c r="C287" s="101">
        <v>63568</v>
      </c>
      <c r="D287" s="102" t="s">
        <v>1187</v>
      </c>
      <c r="E287" s="103" t="s">
        <v>46</v>
      </c>
      <c r="F287" s="103" t="s">
        <v>412</v>
      </c>
      <c r="G287" s="103"/>
      <c r="H287" s="103" t="s">
        <v>437</v>
      </c>
      <c r="I287" s="104"/>
      <c r="J287" s="104">
        <v>44949</v>
      </c>
      <c r="K287" s="105">
        <v>161280</v>
      </c>
      <c r="M287"/>
      <c r="N287" s="95"/>
      <c r="O287" s="95"/>
      <c r="Q287"/>
      <c r="AC287"/>
      <c r="AG287"/>
      <c r="AK287"/>
    </row>
    <row r="288" spans="1:37" ht="15" customHeight="1" x14ac:dyDescent="0.25">
      <c r="A288" s="115" t="s">
        <v>1192</v>
      </c>
      <c r="B288" s="112" t="s">
        <v>1138</v>
      </c>
      <c r="C288" s="101">
        <v>65338</v>
      </c>
      <c r="D288" s="102" t="s">
        <v>1188</v>
      </c>
      <c r="E288" s="103" t="s">
        <v>821</v>
      </c>
      <c r="F288" s="103" t="s">
        <v>412</v>
      </c>
      <c r="G288" s="103"/>
      <c r="H288" s="103" t="s">
        <v>437</v>
      </c>
      <c r="I288" s="104"/>
      <c r="J288" s="104">
        <v>45341</v>
      </c>
      <c r="K288" s="105">
        <v>26220</v>
      </c>
      <c r="M288"/>
      <c r="N288" s="95"/>
      <c r="O288" s="95"/>
      <c r="Q288"/>
      <c r="AC288"/>
      <c r="AG288"/>
      <c r="AK288"/>
    </row>
    <row r="289" spans="1:37" ht="15" customHeight="1" x14ac:dyDescent="0.25">
      <c r="A289" s="115" t="s">
        <v>1192</v>
      </c>
      <c r="B289" s="112" t="s">
        <v>1138</v>
      </c>
      <c r="C289" s="101">
        <v>63928</v>
      </c>
      <c r="D289" s="102" t="s">
        <v>1189</v>
      </c>
      <c r="E289" s="103" t="s">
        <v>48</v>
      </c>
      <c r="F289" s="103" t="s">
        <v>397</v>
      </c>
      <c r="G289" s="103" t="s">
        <v>422</v>
      </c>
      <c r="H289" s="103" t="s">
        <v>437</v>
      </c>
      <c r="I289" s="104">
        <v>45198</v>
      </c>
      <c r="J289" s="104"/>
      <c r="K289" s="105">
        <v>121599.48</v>
      </c>
      <c r="M289"/>
      <c r="N289" s="95"/>
      <c r="O289" s="95"/>
      <c r="Q289"/>
      <c r="AC289"/>
      <c r="AG289"/>
      <c r="AK289"/>
    </row>
    <row r="290" spans="1:37" ht="15" customHeight="1" x14ac:dyDescent="0.25">
      <c r="A290" s="115" t="s">
        <v>1192</v>
      </c>
      <c r="B290" s="112" t="s">
        <v>1138</v>
      </c>
      <c r="C290" s="101">
        <v>62453</v>
      </c>
      <c r="D290" s="102" t="s">
        <v>1190</v>
      </c>
      <c r="E290" s="103" t="s">
        <v>68</v>
      </c>
      <c r="F290" s="103" t="s">
        <v>412</v>
      </c>
      <c r="G290" s="103" t="s">
        <v>447</v>
      </c>
      <c r="H290" s="103" t="s">
        <v>437</v>
      </c>
      <c r="I290" s="104">
        <v>45198</v>
      </c>
      <c r="J290" s="104">
        <v>45198</v>
      </c>
      <c r="K290" s="105">
        <v>156286</v>
      </c>
      <c r="M290"/>
      <c r="N290" s="95"/>
      <c r="O290" s="95"/>
      <c r="Q290"/>
      <c r="AC290"/>
      <c r="AG290"/>
      <c r="AK290"/>
    </row>
    <row r="291" spans="1:37" ht="15" customHeight="1" x14ac:dyDescent="0.25">
      <c r="A291" s="115" t="s">
        <v>1192</v>
      </c>
      <c r="B291" s="112" t="s">
        <v>1138</v>
      </c>
      <c r="C291" s="101">
        <v>64050</v>
      </c>
      <c r="D291" s="102" t="s">
        <v>1191</v>
      </c>
      <c r="E291" s="103" t="s">
        <v>46</v>
      </c>
      <c r="F291" s="103" t="s">
        <v>398</v>
      </c>
      <c r="G291" s="103"/>
      <c r="H291" s="103" t="s">
        <v>437</v>
      </c>
      <c r="I291" s="104">
        <v>45688</v>
      </c>
      <c r="J291" s="104"/>
      <c r="K291" s="105">
        <v>176639.98</v>
      </c>
      <c r="M291"/>
      <c r="N291" s="95"/>
      <c r="O291" s="95"/>
      <c r="Q291"/>
      <c r="AC291"/>
      <c r="AG291"/>
      <c r="AK291"/>
    </row>
    <row r="292" spans="1:37" ht="15" customHeight="1" x14ac:dyDescent="0.25">
      <c r="A292" s="115" t="s">
        <v>1196</v>
      </c>
      <c r="B292" s="112" t="s">
        <v>1139</v>
      </c>
      <c r="C292" s="101">
        <v>65418</v>
      </c>
      <c r="D292" s="102" t="s">
        <v>1193</v>
      </c>
      <c r="E292" s="103" t="s">
        <v>68</v>
      </c>
      <c r="F292" s="103" t="s">
        <v>398</v>
      </c>
      <c r="G292" s="103" t="s">
        <v>447</v>
      </c>
      <c r="H292" s="103" t="s">
        <v>437</v>
      </c>
      <c r="I292" s="104">
        <v>45412</v>
      </c>
      <c r="J292" s="104"/>
      <c r="K292" s="105">
        <v>240</v>
      </c>
      <c r="M292"/>
      <c r="N292" s="95"/>
      <c r="O292" s="95"/>
      <c r="Q292"/>
      <c r="AC292"/>
      <c r="AG292"/>
      <c r="AK292"/>
    </row>
    <row r="293" spans="1:37" ht="15" customHeight="1" x14ac:dyDescent="0.25">
      <c r="A293" s="115" t="s">
        <v>1196</v>
      </c>
      <c r="B293" s="112" t="s">
        <v>1139</v>
      </c>
      <c r="C293" s="101">
        <v>65073</v>
      </c>
      <c r="D293" s="102" t="s">
        <v>1194</v>
      </c>
      <c r="E293" s="103" t="s">
        <v>830</v>
      </c>
      <c r="F293" s="103" t="s">
        <v>412</v>
      </c>
      <c r="G293" s="103"/>
      <c r="H293" s="103" t="s">
        <v>437</v>
      </c>
      <c r="I293" s="104">
        <v>45351</v>
      </c>
      <c r="J293" s="104">
        <v>45289</v>
      </c>
      <c r="K293" s="105">
        <v>321500</v>
      </c>
      <c r="M293"/>
      <c r="N293" s="95"/>
      <c r="O293" s="95"/>
      <c r="Q293"/>
      <c r="AC293"/>
      <c r="AG293"/>
      <c r="AK293"/>
    </row>
    <row r="294" spans="1:37" ht="15" customHeight="1" x14ac:dyDescent="0.25">
      <c r="A294" s="115" t="s">
        <v>1196</v>
      </c>
      <c r="B294" s="112" t="s">
        <v>1139</v>
      </c>
      <c r="C294" s="101">
        <v>63100</v>
      </c>
      <c r="D294" s="102" t="s">
        <v>1195</v>
      </c>
      <c r="E294" s="103" t="s">
        <v>830</v>
      </c>
      <c r="F294" s="103" t="s">
        <v>397</v>
      </c>
      <c r="G294" s="103"/>
      <c r="H294" s="103" t="s">
        <v>437</v>
      </c>
      <c r="I294" s="104">
        <v>45289</v>
      </c>
      <c r="J294" s="104"/>
      <c r="K294" s="105">
        <v>537202.1</v>
      </c>
      <c r="M294"/>
      <c r="N294" s="95"/>
      <c r="O294" s="95"/>
      <c r="Q294"/>
      <c r="AC294"/>
      <c r="AG294"/>
      <c r="AK294"/>
    </row>
    <row r="295" spans="1:37" ht="15" customHeight="1" x14ac:dyDescent="0.25">
      <c r="A295" s="115" t="s">
        <v>1055</v>
      </c>
      <c r="B295" s="112" t="s">
        <v>1139</v>
      </c>
      <c r="C295" s="101">
        <v>65470</v>
      </c>
      <c r="D295" s="102" t="s">
        <v>1197</v>
      </c>
      <c r="E295" s="103" t="s">
        <v>68</v>
      </c>
      <c r="F295" s="103" t="s">
        <v>398</v>
      </c>
      <c r="G295" s="103" t="s">
        <v>447</v>
      </c>
      <c r="H295" s="103" t="s">
        <v>437</v>
      </c>
      <c r="I295" s="104">
        <v>45412</v>
      </c>
      <c r="J295" s="104"/>
      <c r="K295" s="105">
        <v>240</v>
      </c>
      <c r="M295"/>
      <c r="N295" s="95"/>
      <c r="O295" s="95"/>
      <c r="Q295"/>
      <c r="AC295"/>
      <c r="AG295"/>
      <c r="AK295"/>
    </row>
    <row r="296" spans="1:37" ht="15" customHeight="1" x14ac:dyDescent="0.25">
      <c r="A296" s="115" t="s">
        <v>1055</v>
      </c>
      <c r="B296" s="112" t="s">
        <v>1139</v>
      </c>
      <c r="C296" s="101">
        <v>65386</v>
      </c>
      <c r="D296" s="102" t="s">
        <v>1198</v>
      </c>
      <c r="E296" s="103" t="s">
        <v>484</v>
      </c>
      <c r="F296" s="103" t="s">
        <v>401</v>
      </c>
      <c r="G296" s="103"/>
      <c r="H296" s="103" t="s">
        <v>437</v>
      </c>
      <c r="I296" s="104">
        <v>45382</v>
      </c>
      <c r="J296" s="104"/>
      <c r="K296" s="105">
        <v>15923.21</v>
      </c>
      <c r="M296"/>
      <c r="N296" s="95"/>
      <c r="O296" s="95"/>
      <c r="Q296"/>
      <c r="AC296"/>
      <c r="AG296"/>
      <c r="AK296"/>
    </row>
    <row r="297" spans="1:37" ht="15" customHeight="1" x14ac:dyDescent="0.25">
      <c r="A297" s="115" t="s">
        <v>1055</v>
      </c>
      <c r="B297" s="112" t="s">
        <v>1139</v>
      </c>
      <c r="C297" s="101">
        <v>65311</v>
      </c>
      <c r="D297" s="102" t="s">
        <v>1199</v>
      </c>
      <c r="E297" s="103" t="s">
        <v>46</v>
      </c>
      <c r="F297" s="103" t="s">
        <v>397</v>
      </c>
      <c r="G297" s="103"/>
      <c r="H297" s="103" t="s">
        <v>437</v>
      </c>
      <c r="I297" s="104">
        <v>45382</v>
      </c>
      <c r="J297" s="104"/>
      <c r="K297" s="105">
        <v>8740</v>
      </c>
      <c r="M297"/>
      <c r="N297" s="95"/>
      <c r="O297" s="95"/>
      <c r="Q297"/>
      <c r="AC297"/>
      <c r="AG297"/>
      <c r="AK297"/>
    </row>
    <row r="298" spans="1:37" ht="15" customHeight="1" x14ac:dyDescent="0.25">
      <c r="A298" s="115" t="s">
        <v>1055</v>
      </c>
      <c r="B298" s="112" t="s">
        <v>1139</v>
      </c>
      <c r="C298" s="101">
        <v>65057</v>
      </c>
      <c r="D298" s="102" t="s">
        <v>1200</v>
      </c>
      <c r="E298" s="103" t="s">
        <v>917</v>
      </c>
      <c r="F298" s="103" t="s">
        <v>397</v>
      </c>
      <c r="G298" s="103" t="s">
        <v>447</v>
      </c>
      <c r="H298" s="103" t="s">
        <v>437</v>
      </c>
      <c r="I298" s="104">
        <v>45382</v>
      </c>
      <c r="J298" s="104"/>
      <c r="K298" s="105">
        <v>47900</v>
      </c>
      <c r="M298"/>
      <c r="N298" s="95"/>
      <c r="O298" s="95"/>
      <c r="Q298"/>
      <c r="AC298"/>
      <c r="AG298"/>
      <c r="AK298"/>
    </row>
    <row r="299" spans="1:37" ht="15" customHeight="1" x14ac:dyDescent="0.25">
      <c r="A299" s="115" t="s">
        <v>1055</v>
      </c>
      <c r="B299" s="112" t="s">
        <v>1139</v>
      </c>
      <c r="C299" s="101">
        <v>64930</v>
      </c>
      <c r="D299" s="102" t="s">
        <v>1201</v>
      </c>
      <c r="E299" s="103" t="s">
        <v>46</v>
      </c>
      <c r="F299" s="103" t="s">
        <v>397</v>
      </c>
      <c r="G299" s="103"/>
      <c r="H299" s="103" t="s">
        <v>437</v>
      </c>
      <c r="I299" s="104">
        <v>45322</v>
      </c>
      <c r="J299" s="104"/>
      <c r="K299" s="105">
        <v>48960</v>
      </c>
      <c r="M299"/>
      <c r="N299" s="95"/>
      <c r="O299" s="95"/>
      <c r="Q299"/>
      <c r="AC299"/>
      <c r="AG299"/>
      <c r="AK299"/>
    </row>
    <row r="300" spans="1:37" ht="15" customHeight="1" x14ac:dyDescent="0.25">
      <c r="A300" s="115" t="s">
        <v>1055</v>
      </c>
      <c r="B300" s="112" t="s">
        <v>1139</v>
      </c>
      <c r="C300" s="101">
        <v>64062</v>
      </c>
      <c r="D300" s="102" t="s">
        <v>1202</v>
      </c>
      <c r="E300" s="103" t="s">
        <v>46</v>
      </c>
      <c r="F300" s="103" t="s">
        <v>397</v>
      </c>
      <c r="G300" s="103"/>
      <c r="H300" s="103" t="s">
        <v>437</v>
      </c>
      <c r="I300" s="104">
        <v>45199</v>
      </c>
      <c r="J300" s="104"/>
      <c r="K300" s="105">
        <v>113625</v>
      </c>
      <c r="M300"/>
      <c r="N300" s="95"/>
      <c r="O300" s="95"/>
      <c r="Q300"/>
      <c r="AC300"/>
      <c r="AG300"/>
      <c r="AK300"/>
    </row>
    <row r="301" spans="1:37" ht="15" customHeight="1" x14ac:dyDescent="0.25">
      <c r="A301" s="115" t="s">
        <v>1055</v>
      </c>
      <c r="B301" s="112" t="s">
        <v>1139</v>
      </c>
      <c r="C301" s="101">
        <v>64061</v>
      </c>
      <c r="D301" s="102" t="s">
        <v>1203</v>
      </c>
      <c r="E301" s="103" t="s">
        <v>48</v>
      </c>
      <c r="F301" s="103" t="s">
        <v>397</v>
      </c>
      <c r="G301" s="103" t="s">
        <v>447</v>
      </c>
      <c r="H301" s="103" t="s">
        <v>437</v>
      </c>
      <c r="I301" s="104">
        <v>45107</v>
      </c>
      <c r="J301" s="104"/>
      <c r="K301" s="105">
        <v>116640.05</v>
      </c>
      <c r="M301"/>
      <c r="N301" s="95"/>
      <c r="O301" s="95"/>
      <c r="Q301"/>
      <c r="AC301"/>
      <c r="AG301"/>
      <c r="AK301"/>
    </row>
    <row r="302" spans="1:37" ht="15" customHeight="1" x14ac:dyDescent="0.25">
      <c r="A302" s="115" t="s">
        <v>1055</v>
      </c>
      <c r="B302" s="112" t="s">
        <v>1139</v>
      </c>
      <c r="C302" s="101">
        <v>64036</v>
      </c>
      <c r="D302" s="102" t="s">
        <v>1204</v>
      </c>
      <c r="E302" s="103" t="s">
        <v>830</v>
      </c>
      <c r="F302" s="103" t="s">
        <v>446</v>
      </c>
      <c r="G302" s="103" t="s">
        <v>447</v>
      </c>
      <c r="H302" s="103" t="s">
        <v>437</v>
      </c>
      <c r="I302" s="104">
        <v>45230</v>
      </c>
      <c r="J302" s="104"/>
      <c r="K302" s="105">
        <v>240</v>
      </c>
      <c r="M302"/>
      <c r="N302" s="95"/>
      <c r="O302" s="95"/>
      <c r="Q302"/>
      <c r="AC302"/>
      <c r="AG302"/>
      <c r="AK302"/>
    </row>
    <row r="303" spans="1:37" ht="15" customHeight="1" x14ac:dyDescent="0.25">
      <c r="A303" s="115" t="s">
        <v>1055</v>
      </c>
      <c r="B303" s="112" t="s">
        <v>1139</v>
      </c>
      <c r="C303" s="101">
        <v>63014</v>
      </c>
      <c r="D303" s="102" t="s">
        <v>1205</v>
      </c>
      <c r="E303" s="103" t="s">
        <v>68</v>
      </c>
      <c r="F303" s="103" t="s">
        <v>397</v>
      </c>
      <c r="G303" s="103" t="s">
        <v>447</v>
      </c>
      <c r="H303" s="103" t="s">
        <v>437</v>
      </c>
      <c r="I303" s="104">
        <v>44867</v>
      </c>
      <c r="J303" s="104"/>
      <c r="K303" s="105">
        <v>0</v>
      </c>
      <c r="M303"/>
      <c r="N303" s="95"/>
      <c r="O303" s="95"/>
      <c r="Q303"/>
      <c r="AC303"/>
      <c r="AG303"/>
      <c r="AK303"/>
    </row>
    <row r="304" spans="1:37" ht="15" customHeight="1" x14ac:dyDescent="0.25">
      <c r="A304" s="115" t="s">
        <v>1055</v>
      </c>
      <c r="B304" s="112" t="s">
        <v>1139</v>
      </c>
      <c r="C304" s="101">
        <v>62476</v>
      </c>
      <c r="D304" s="102" t="s">
        <v>1206</v>
      </c>
      <c r="E304" s="103" t="s">
        <v>46</v>
      </c>
      <c r="F304" s="103" t="s">
        <v>446</v>
      </c>
      <c r="G304" s="103"/>
      <c r="H304" s="103" t="s">
        <v>437</v>
      </c>
      <c r="I304" s="104">
        <v>45016</v>
      </c>
      <c r="J304" s="104"/>
      <c r="K304" s="105">
        <v>240</v>
      </c>
      <c r="M304"/>
      <c r="N304" s="95"/>
      <c r="O304" s="95"/>
      <c r="Q304"/>
      <c r="AC304"/>
      <c r="AG304"/>
      <c r="AK304"/>
    </row>
    <row r="305" spans="1:37" ht="15" customHeight="1" x14ac:dyDescent="0.25">
      <c r="A305" s="115" t="s">
        <v>1055</v>
      </c>
      <c r="B305" s="112" t="s">
        <v>1139</v>
      </c>
      <c r="C305" s="101">
        <v>62130</v>
      </c>
      <c r="D305" s="102" t="s">
        <v>1207</v>
      </c>
      <c r="E305" s="103" t="s">
        <v>68</v>
      </c>
      <c r="F305" s="103" t="s">
        <v>397</v>
      </c>
      <c r="G305" s="103"/>
      <c r="H305" s="103" t="s">
        <v>437</v>
      </c>
      <c r="I305" s="104">
        <v>45016</v>
      </c>
      <c r="J305" s="104"/>
      <c r="K305" s="105">
        <v>15000</v>
      </c>
      <c r="M305"/>
      <c r="N305" s="95"/>
      <c r="O305" s="95"/>
      <c r="Q305"/>
      <c r="AC305"/>
      <c r="AG305"/>
      <c r="AK305"/>
    </row>
    <row r="306" spans="1:37" ht="15" customHeight="1" x14ac:dyDescent="0.25">
      <c r="A306" s="115" t="s">
        <v>1055</v>
      </c>
      <c r="B306" s="112" t="s">
        <v>1139</v>
      </c>
      <c r="C306" s="101">
        <v>61674</v>
      </c>
      <c r="D306" s="102" t="s">
        <v>1208</v>
      </c>
      <c r="E306" s="103" t="s">
        <v>46</v>
      </c>
      <c r="F306" s="103" t="s">
        <v>412</v>
      </c>
      <c r="G306" s="103" t="s">
        <v>417</v>
      </c>
      <c r="H306" s="103" t="s">
        <v>414</v>
      </c>
      <c r="I306" s="104">
        <v>44650</v>
      </c>
      <c r="J306" s="104">
        <v>44623</v>
      </c>
      <c r="K306" s="105">
        <v>400000.14</v>
      </c>
      <c r="M306"/>
      <c r="N306" s="95"/>
      <c r="O306" s="95"/>
      <c r="Q306"/>
      <c r="AC306"/>
      <c r="AG306"/>
      <c r="AK306"/>
    </row>
    <row r="307" spans="1:37" ht="15" customHeight="1" x14ac:dyDescent="0.25">
      <c r="A307" s="115" t="s">
        <v>1055</v>
      </c>
      <c r="B307" s="112" t="s">
        <v>1139</v>
      </c>
      <c r="C307" s="101">
        <v>61629</v>
      </c>
      <c r="D307" s="102" t="s">
        <v>1209</v>
      </c>
      <c r="E307" s="103" t="s">
        <v>484</v>
      </c>
      <c r="F307" s="103" t="s">
        <v>412</v>
      </c>
      <c r="G307" s="103"/>
      <c r="H307" s="103" t="s">
        <v>437</v>
      </c>
      <c r="I307" s="104">
        <v>44522</v>
      </c>
      <c r="J307" s="104">
        <v>44522</v>
      </c>
      <c r="K307" s="105">
        <v>3250</v>
      </c>
      <c r="M307"/>
      <c r="N307" s="95"/>
      <c r="O307" s="95"/>
      <c r="Q307"/>
      <c r="AC307"/>
      <c r="AG307"/>
      <c r="AK307"/>
    </row>
    <row r="308" spans="1:37" ht="15" customHeight="1" x14ac:dyDescent="0.25">
      <c r="A308" s="115" t="s">
        <v>1055</v>
      </c>
      <c r="B308" s="112" t="s">
        <v>1139</v>
      </c>
      <c r="C308" s="101">
        <v>60542</v>
      </c>
      <c r="D308" s="102" t="s">
        <v>1210</v>
      </c>
      <c r="E308" s="103" t="s">
        <v>46</v>
      </c>
      <c r="F308" s="103" t="s">
        <v>401</v>
      </c>
      <c r="G308" s="103" t="s">
        <v>417</v>
      </c>
      <c r="H308" s="103" t="s">
        <v>414</v>
      </c>
      <c r="I308" s="104">
        <v>45704</v>
      </c>
      <c r="J308" s="104"/>
      <c r="K308" s="105">
        <v>456000</v>
      </c>
      <c r="M308"/>
      <c r="N308" s="95"/>
      <c r="O308" s="95"/>
      <c r="Q308"/>
      <c r="AC308"/>
      <c r="AG308"/>
      <c r="AK308"/>
    </row>
    <row r="309" spans="1:37" ht="15" customHeight="1" x14ac:dyDescent="0.25">
      <c r="A309" s="115" t="s">
        <v>1055</v>
      </c>
      <c r="B309" s="112" t="s">
        <v>1139</v>
      </c>
      <c r="C309" s="101">
        <v>59557</v>
      </c>
      <c r="D309" s="102" t="s">
        <v>1211</v>
      </c>
      <c r="E309" s="103" t="s">
        <v>46</v>
      </c>
      <c r="F309" s="103" t="s">
        <v>412</v>
      </c>
      <c r="G309" s="103" t="s">
        <v>413</v>
      </c>
      <c r="H309" s="103" t="s">
        <v>414</v>
      </c>
      <c r="I309" s="104">
        <v>44285</v>
      </c>
      <c r="J309" s="104">
        <v>44284</v>
      </c>
      <c r="K309" s="105">
        <v>150000.01999999999</v>
      </c>
      <c r="M309"/>
      <c r="N309" s="95"/>
      <c r="O309" s="95"/>
      <c r="Q309"/>
      <c r="AC309"/>
      <c r="AG309"/>
      <c r="AK309"/>
    </row>
    <row r="310" spans="1:37" ht="15" customHeight="1" x14ac:dyDescent="0.25">
      <c r="A310" s="115" t="s">
        <v>1055</v>
      </c>
      <c r="B310" s="112" t="s">
        <v>1139</v>
      </c>
      <c r="C310" s="101">
        <v>58403</v>
      </c>
      <c r="D310" s="102" t="s">
        <v>1212</v>
      </c>
      <c r="E310" s="103" t="s">
        <v>46</v>
      </c>
      <c r="F310" s="103" t="s">
        <v>412</v>
      </c>
      <c r="G310" s="103" t="s">
        <v>413</v>
      </c>
      <c r="H310" s="103" t="s">
        <v>414</v>
      </c>
      <c r="I310" s="104">
        <v>43888</v>
      </c>
      <c r="J310" s="104">
        <v>43888</v>
      </c>
      <c r="K310" s="105">
        <v>141695</v>
      </c>
      <c r="M310"/>
      <c r="N310" s="95"/>
      <c r="O310" s="95"/>
      <c r="Q310"/>
      <c r="AC310"/>
      <c r="AG310"/>
      <c r="AK310"/>
    </row>
    <row r="311" spans="1:37" ht="15" customHeight="1" x14ac:dyDescent="0.25">
      <c r="A311" s="115" t="s">
        <v>1055</v>
      </c>
      <c r="B311" s="112" t="s">
        <v>1139</v>
      </c>
      <c r="C311" s="101">
        <v>57109</v>
      </c>
      <c r="D311" s="102" t="s">
        <v>1213</v>
      </c>
      <c r="E311" s="103" t="s">
        <v>46</v>
      </c>
      <c r="F311" s="103" t="s">
        <v>412</v>
      </c>
      <c r="G311" s="103"/>
      <c r="H311" s="103" t="s">
        <v>433</v>
      </c>
      <c r="I311" s="104">
        <v>43588</v>
      </c>
      <c r="J311" s="104">
        <v>43588</v>
      </c>
      <c r="K311" s="105">
        <v>1800</v>
      </c>
      <c r="M311"/>
      <c r="N311" s="95"/>
      <c r="O311" s="95"/>
      <c r="Q311"/>
      <c r="AC311"/>
      <c r="AG311"/>
      <c r="AK311"/>
    </row>
    <row r="312" spans="1:37" ht="15" customHeight="1" x14ac:dyDescent="0.25">
      <c r="A312" s="115" t="s">
        <v>1055</v>
      </c>
      <c r="B312" s="112" t="s">
        <v>1139</v>
      </c>
      <c r="C312" s="101">
        <v>56525</v>
      </c>
      <c r="D312" s="102" t="s">
        <v>1214</v>
      </c>
      <c r="E312" s="103" t="s">
        <v>46</v>
      </c>
      <c r="F312" s="103" t="s">
        <v>412</v>
      </c>
      <c r="G312" s="103" t="s">
        <v>413</v>
      </c>
      <c r="H312" s="103" t="s">
        <v>414</v>
      </c>
      <c r="I312" s="104">
        <v>43514</v>
      </c>
      <c r="J312" s="104">
        <v>43514</v>
      </c>
      <c r="K312" s="105">
        <v>1131178.6299999999</v>
      </c>
      <c r="M312"/>
      <c r="N312" s="95"/>
      <c r="O312" s="95"/>
      <c r="Q312"/>
      <c r="AC312"/>
      <c r="AG312"/>
      <c r="AK312"/>
    </row>
    <row r="313" spans="1:37" ht="15" customHeight="1" x14ac:dyDescent="0.25">
      <c r="A313" s="115" t="s">
        <v>1055</v>
      </c>
      <c r="B313" s="112" t="s">
        <v>1139</v>
      </c>
      <c r="C313" s="101">
        <v>55780</v>
      </c>
      <c r="D313" s="102" t="s">
        <v>1215</v>
      </c>
      <c r="E313" s="103" t="s">
        <v>46</v>
      </c>
      <c r="F313" s="103" t="s">
        <v>412</v>
      </c>
      <c r="G313" s="103"/>
      <c r="H313" s="103" t="s">
        <v>437</v>
      </c>
      <c r="I313" s="104"/>
      <c r="J313" s="104">
        <v>41578</v>
      </c>
      <c r="K313" s="105">
        <v>0</v>
      </c>
      <c r="M313"/>
      <c r="N313" s="95"/>
      <c r="O313" s="95"/>
      <c r="Q313"/>
      <c r="AC313"/>
      <c r="AG313"/>
      <c r="AK313"/>
    </row>
    <row r="314" spans="1:37" ht="15" customHeight="1" x14ac:dyDescent="0.25">
      <c r="A314" s="115" t="s">
        <v>1055</v>
      </c>
      <c r="B314" s="112" t="s">
        <v>1139</v>
      </c>
      <c r="C314" s="101">
        <v>55779</v>
      </c>
      <c r="D314" s="102" t="s">
        <v>1216</v>
      </c>
      <c r="E314" s="103" t="s">
        <v>46</v>
      </c>
      <c r="F314" s="103" t="s">
        <v>412</v>
      </c>
      <c r="G314" s="103" t="s">
        <v>425</v>
      </c>
      <c r="H314" s="103" t="s">
        <v>423</v>
      </c>
      <c r="I314" s="104">
        <v>41547</v>
      </c>
      <c r="J314" s="104">
        <v>41547</v>
      </c>
      <c r="K314" s="105">
        <v>82835.92</v>
      </c>
      <c r="M314"/>
      <c r="N314" s="95"/>
      <c r="O314" s="95"/>
      <c r="Q314"/>
      <c r="AC314"/>
      <c r="AG314"/>
      <c r="AK314"/>
    </row>
    <row r="315" spans="1:37" ht="15" customHeight="1" x14ac:dyDescent="0.25">
      <c r="A315" s="115" t="s">
        <v>1055</v>
      </c>
      <c r="B315" s="112" t="s">
        <v>1139</v>
      </c>
      <c r="C315" s="101">
        <v>55778</v>
      </c>
      <c r="D315" s="102" t="s">
        <v>1217</v>
      </c>
      <c r="E315" s="103" t="s">
        <v>46</v>
      </c>
      <c r="F315" s="103" t="s">
        <v>412</v>
      </c>
      <c r="G315" s="103"/>
      <c r="H315" s="103" t="s">
        <v>433</v>
      </c>
      <c r="I315" s="104">
        <v>41530</v>
      </c>
      <c r="J315" s="104">
        <v>41530</v>
      </c>
      <c r="K315" s="105">
        <v>-800.01</v>
      </c>
      <c r="M315"/>
      <c r="N315" s="95"/>
      <c r="O315" s="95"/>
      <c r="Q315"/>
      <c r="AC315"/>
      <c r="AG315"/>
      <c r="AK315"/>
    </row>
    <row r="316" spans="1:37" ht="15" customHeight="1" x14ac:dyDescent="0.25">
      <c r="A316" s="115" t="s">
        <v>1055</v>
      </c>
      <c r="B316" s="112" t="s">
        <v>1139</v>
      </c>
      <c r="C316" s="101">
        <v>55777</v>
      </c>
      <c r="D316" s="102" t="s">
        <v>1218</v>
      </c>
      <c r="E316" s="103" t="s">
        <v>46</v>
      </c>
      <c r="F316" s="103" t="s">
        <v>412</v>
      </c>
      <c r="G316" s="103"/>
      <c r="H316" s="103" t="s">
        <v>433</v>
      </c>
      <c r="I316" s="104"/>
      <c r="J316" s="104">
        <v>41530</v>
      </c>
      <c r="K316" s="105">
        <v>0</v>
      </c>
      <c r="M316"/>
      <c r="N316" s="95"/>
      <c r="O316" s="95"/>
      <c r="Q316"/>
      <c r="AC316"/>
      <c r="AG316"/>
      <c r="AK316"/>
    </row>
    <row r="317" spans="1:37" ht="15" customHeight="1" x14ac:dyDescent="0.25">
      <c r="A317" s="115" t="s">
        <v>1055</v>
      </c>
      <c r="B317" s="112" t="s">
        <v>1139</v>
      </c>
      <c r="C317" s="101">
        <v>52325</v>
      </c>
      <c r="D317" s="102" t="s">
        <v>1219</v>
      </c>
      <c r="E317" s="103" t="s">
        <v>46</v>
      </c>
      <c r="F317" s="103" t="s">
        <v>412</v>
      </c>
      <c r="G317" s="103"/>
      <c r="H317" s="103" t="s">
        <v>433</v>
      </c>
      <c r="I317" s="104">
        <v>43109</v>
      </c>
      <c r="J317" s="104">
        <v>43109</v>
      </c>
      <c r="K317" s="105">
        <v>2500</v>
      </c>
      <c r="M317"/>
      <c r="N317" s="95"/>
      <c r="O317" s="95"/>
      <c r="Q317"/>
      <c r="AC317"/>
      <c r="AG317"/>
      <c r="AK317"/>
    </row>
    <row r="318" spans="1:37" ht="15" customHeight="1" x14ac:dyDescent="0.25">
      <c r="A318" s="115" t="s">
        <v>1055</v>
      </c>
      <c r="B318" s="112" t="s">
        <v>1139</v>
      </c>
      <c r="C318" s="101">
        <v>51850</v>
      </c>
      <c r="D318" s="102" t="s">
        <v>1220</v>
      </c>
      <c r="E318" s="103" t="s">
        <v>46</v>
      </c>
      <c r="F318" s="103" t="s">
        <v>412</v>
      </c>
      <c r="G318" s="103"/>
      <c r="H318" s="103" t="s">
        <v>437</v>
      </c>
      <c r="I318" s="104">
        <v>42368</v>
      </c>
      <c r="J318" s="104">
        <v>42368</v>
      </c>
      <c r="K318" s="105">
        <v>267600.01</v>
      </c>
      <c r="M318"/>
      <c r="N318" s="95"/>
      <c r="O318" s="95"/>
      <c r="Q318"/>
      <c r="AC318"/>
      <c r="AG318"/>
      <c r="AK318"/>
    </row>
    <row r="319" spans="1:37" ht="15" customHeight="1" x14ac:dyDescent="0.25">
      <c r="A319" s="115" t="s">
        <v>1055</v>
      </c>
      <c r="B319" s="112" t="s">
        <v>1139</v>
      </c>
      <c r="C319" s="101">
        <v>51849</v>
      </c>
      <c r="D319" s="102" t="s">
        <v>1221</v>
      </c>
      <c r="E319" s="103" t="s">
        <v>46</v>
      </c>
      <c r="F319" s="103" t="s">
        <v>412</v>
      </c>
      <c r="G319" s="103"/>
      <c r="H319" s="103" t="s">
        <v>437</v>
      </c>
      <c r="I319" s="104">
        <v>41973</v>
      </c>
      <c r="J319" s="104">
        <v>41973</v>
      </c>
      <c r="K319" s="105">
        <v>50556.6</v>
      </c>
      <c r="M319"/>
      <c r="N319" s="95"/>
      <c r="O319" s="95"/>
      <c r="Q319"/>
      <c r="AC319"/>
      <c r="AG319"/>
      <c r="AK319"/>
    </row>
    <row r="320" spans="1:37" ht="15" customHeight="1" x14ac:dyDescent="0.25">
      <c r="A320" s="115" t="s">
        <v>1055</v>
      </c>
      <c r="B320" s="112" t="s">
        <v>1139</v>
      </c>
      <c r="C320" s="101">
        <v>50951</v>
      </c>
      <c r="D320" s="102" t="s">
        <v>1222</v>
      </c>
      <c r="E320" s="103" t="s">
        <v>46</v>
      </c>
      <c r="F320" s="103" t="s">
        <v>412</v>
      </c>
      <c r="G320" s="103" t="s">
        <v>413</v>
      </c>
      <c r="H320" s="103" t="s">
        <v>414</v>
      </c>
      <c r="I320" s="104">
        <v>42738</v>
      </c>
      <c r="J320" s="104">
        <v>42738</v>
      </c>
      <c r="K320" s="105">
        <v>108709.33</v>
      </c>
      <c r="M320"/>
      <c r="N320" s="95"/>
      <c r="O320" s="95"/>
      <c r="Q320"/>
      <c r="AC320"/>
      <c r="AG320"/>
      <c r="AK320"/>
    </row>
    <row r="321" spans="1:37" ht="15" customHeight="1" x14ac:dyDescent="0.25">
      <c r="A321" s="115" t="s">
        <v>1055</v>
      </c>
      <c r="B321" s="112" t="s">
        <v>1139</v>
      </c>
      <c r="C321" s="101">
        <v>50950</v>
      </c>
      <c r="D321" s="102" t="s">
        <v>1223</v>
      </c>
      <c r="E321" s="103" t="s">
        <v>46</v>
      </c>
      <c r="F321" s="103" t="s">
        <v>412</v>
      </c>
      <c r="G321" s="103" t="s">
        <v>413</v>
      </c>
      <c r="H321" s="103" t="s">
        <v>414</v>
      </c>
      <c r="I321" s="104">
        <v>42007</v>
      </c>
      <c r="J321" s="104">
        <v>42007</v>
      </c>
      <c r="K321" s="105">
        <v>40392.83</v>
      </c>
      <c r="M321"/>
      <c r="N321" s="95"/>
      <c r="O321" s="95"/>
      <c r="Q321"/>
      <c r="AC321"/>
      <c r="AG321"/>
      <c r="AK321"/>
    </row>
    <row r="322" spans="1:37" ht="15" customHeight="1" x14ac:dyDescent="0.25">
      <c r="A322" s="115" t="s">
        <v>1055</v>
      </c>
      <c r="B322" s="112" t="s">
        <v>1139</v>
      </c>
      <c r="C322" s="101">
        <v>50949</v>
      </c>
      <c r="D322" s="102" t="s">
        <v>1224</v>
      </c>
      <c r="E322" s="103" t="s">
        <v>46</v>
      </c>
      <c r="F322" s="103" t="s">
        <v>412</v>
      </c>
      <c r="G322" s="103" t="s">
        <v>413</v>
      </c>
      <c r="H322" s="103" t="s">
        <v>414</v>
      </c>
      <c r="I322" s="104">
        <v>41642</v>
      </c>
      <c r="J322" s="104">
        <v>41642</v>
      </c>
      <c r="K322" s="105">
        <v>19828.57</v>
      </c>
      <c r="M322"/>
      <c r="N322" s="95"/>
      <c r="O322" s="95"/>
      <c r="Q322"/>
      <c r="AC322"/>
      <c r="AG322"/>
      <c r="AK322"/>
    </row>
    <row r="323" spans="1:37" ht="15" customHeight="1" x14ac:dyDescent="0.25">
      <c r="A323" s="115" t="s">
        <v>1055</v>
      </c>
      <c r="B323" s="112" t="s">
        <v>1139</v>
      </c>
      <c r="C323" s="101">
        <v>50948</v>
      </c>
      <c r="D323" s="102" t="s">
        <v>1225</v>
      </c>
      <c r="E323" s="103" t="s">
        <v>46</v>
      </c>
      <c r="F323" s="103" t="s">
        <v>412</v>
      </c>
      <c r="G323" s="103" t="s">
        <v>413</v>
      </c>
      <c r="H323" s="103" t="s">
        <v>414</v>
      </c>
      <c r="I323" s="104">
        <v>43102</v>
      </c>
      <c r="J323" s="104">
        <v>43102</v>
      </c>
      <c r="K323" s="105">
        <v>99788.41</v>
      </c>
      <c r="M323"/>
      <c r="N323" s="95"/>
      <c r="O323" s="95"/>
      <c r="Q323"/>
      <c r="AC323"/>
      <c r="AG323"/>
      <c r="AK323"/>
    </row>
    <row r="324" spans="1:37" ht="15" customHeight="1" x14ac:dyDescent="0.25">
      <c r="A324" s="115" t="s">
        <v>1055</v>
      </c>
      <c r="B324" s="112" t="s">
        <v>1139</v>
      </c>
      <c r="C324" s="101">
        <v>50947</v>
      </c>
      <c r="D324" s="102" t="s">
        <v>1226</v>
      </c>
      <c r="E324" s="103" t="s">
        <v>46</v>
      </c>
      <c r="F324" s="103" t="s">
        <v>412</v>
      </c>
      <c r="G324" s="103" t="s">
        <v>413</v>
      </c>
      <c r="H324" s="103" t="s">
        <v>423</v>
      </c>
      <c r="I324" s="104">
        <v>43108</v>
      </c>
      <c r="J324" s="104">
        <v>43108</v>
      </c>
      <c r="K324" s="105">
        <v>18776.939999999999</v>
      </c>
      <c r="M324"/>
      <c r="N324" s="95"/>
      <c r="O324" s="95"/>
      <c r="Q324"/>
      <c r="AC324"/>
      <c r="AG324"/>
      <c r="AK324"/>
    </row>
    <row r="325" spans="1:37" ht="15" customHeight="1" x14ac:dyDescent="0.25">
      <c r="A325" s="115" t="s">
        <v>1055</v>
      </c>
      <c r="B325" s="112" t="s">
        <v>1139</v>
      </c>
      <c r="C325" s="101">
        <v>50946</v>
      </c>
      <c r="D325" s="102" t="s">
        <v>1227</v>
      </c>
      <c r="E325" s="103" t="s">
        <v>46</v>
      </c>
      <c r="F325" s="103" t="s">
        <v>412</v>
      </c>
      <c r="G325" s="103"/>
      <c r="H325" s="103" t="s">
        <v>414</v>
      </c>
      <c r="I325" s="104">
        <v>42373</v>
      </c>
      <c r="J325" s="104">
        <v>42373</v>
      </c>
      <c r="K325" s="105">
        <v>40342.78</v>
      </c>
      <c r="M325"/>
      <c r="N325" s="95"/>
      <c r="O325" s="95"/>
      <c r="Q325"/>
      <c r="AC325"/>
      <c r="AG325"/>
      <c r="AK325"/>
    </row>
    <row r="326" spans="1:37" ht="15" customHeight="1" x14ac:dyDescent="0.25">
      <c r="A326" s="115" t="s">
        <v>1100</v>
      </c>
      <c r="B326" s="112" t="s">
        <v>688</v>
      </c>
      <c r="C326" s="101">
        <v>65579</v>
      </c>
      <c r="D326" s="102" t="s">
        <v>1228</v>
      </c>
      <c r="E326" s="103" t="s">
        <v>46</v>
      </c>
      <c r="F326" s="103" t="s">
        <v>400</v>
      </c>
      <c r="G326" s="103"/>
      <c r="H326" s="103" t="s">
        <v>437</v>
      </c>
      <c r="I326" s="104">
        <v>45471</v>
      </c>
      <c r="J326" s="104"/>
      <c r="K326" s="105">
        <v>0</v>
      </c>
      <c r="M326"/>
      <c r="N326" s="95"/>
      <c r="O326" s="95"/>
      <c r="Q326"/>
      <c r="AC326"/>
      <c r="AG326"/>
      <c r="AK326"/>
    </row>
    <row r="327" spans="1:37" ht="15" customHeight="1" x14ac:dyDescent="0.25">
      <c r="A327" s="115" t="s">
        <v>1100</v>
      </c>
      <c r="B327" s="112" t="s">
        <v>688</v>
      </c>
      <c r="C327" s="101">
        <v>64748</v>
      </c>
      <c r="D327" s="102" t="s">
        <v>1229</v>
      </c>
      <c r="E327" s="103" t="s">
        <v>46</v>
      </c>
      <c r="F327" s="103" t="s">
        <v>397</v>
      </c>
      <c r="G327" s="103" t="s">
        <v>422</v>
      </c>
      <c r="H327" s="103" t="s">
        <v>437</v>
      </c>
      <c r="I327" s="104">
        <v>45260</v>
      </c>
      <c r="J327" s="104"/>
      <c r="K327" s="105">
        <v>53880</v>
      </c>
      <c r="M327"/>
      <c r="N327" s="95"/>
      <c r="O327" s="95"/>
      <c r="Q327"/>
      <c r="AC327"/>
      <c r="AG327"/>
      <c r="AK327"/>
    </row>
    <row r="328" spans="1:37" ht="15" customHeight="1" x14ac:dyDescent="0.25">
      <c r="A328" s="115" t="s">
        <v>1100</v>
      </c>
      <c r="B328" s="112" t="s">
        <v>688</v>
      </c>
      <c r="C328" s="101">
        <v>64617</v>
      </c>
      <c r="D328" s="102" t="s">
        <v>1230</v>
      </c>
      <c r="E328" s="103" t="s">
        <v>917</v>
      </c>
      <c r="F328" s="103" t="s">
        <v>397</v>
      </c>
      <c r="G328" s="103" t="s">
        <v>447</v>
      </c>
      <c r="H328" s="103" t="s">
        <v>437</v>
      </c>
      <c r="I328" s="104">
        <v>45351</v>
      </c>
      <c r="J328" s="104"/>
      <c r="K328" s="105">
        <v>47900</v>
      </c>
      <c r="M328"/>
      <c r="N328" s="95"/>
      <c r="O328" s="95"/>
      <c r="Q328"/>
      <c r="AC328"/>
      <c r="AG328"/>
      <c r="AK328"/>
    </row>
    <row r="329" spans="1:37" ht="15" customHeight="1" x14ac:dyDescent="0.25">
      <c r="A329" s="115" t="s">
        <v>1100</v>
      </c>
      <c r="B329" s="112" t="s">
        <v>688</v>
      </c>
      <c r="C329" s="101">
        <v>63917</v>
      </c>
      <c r="D329" s="102" t="s">
        <v>1231</v>
      </c>
      <c r="E329" s="103" t="s">
        <v>46</v>
      </c>
      <c r="F329" s="103" t="s">
        <v>412</v>
      </c>
      <c r="G329" s="103" t="s">
        <v>422</v>
      </c>
      <c r="H329" s="103" t="s">
        <v>437</v>
      </c>
      <c r="I329" s="104">
        <v>45077</v>
      </c>
      <c r="J329" s="104">
        <v>45058</v>
      </c>
      <c r="K329" s="105">
        <v>50500</v>
      </c>
      <c r="M329"/>
      <c r="N329" s="95"/>
      <c r="O329" s="95"/>
      <c r="Q329"/>
      <c r="AC329"/>
      <c r="AG329"/>
      <c r="AK329"/>
    </row>
    <row r="330" spans="1:37" ht="15" customHeight="1" x14ac:dyDescent="0.25">
      <c r="A330" s="115" t="s">
        <v>1100</v>
      </c>
      <c r="B330" s="112" t="s">
        <v>688</v>
      </c>
      <c r="C330" s="101">
        <v>63764</v>
      </c>
      <c r="D330" s="102" t="s">
        <v>1232</v>
      </c>
      <c r="E330" s="103" t="s">
        <v>46</v>
      </c>
      <c r="F330" s="103" t="s">
        <v>397</v>
      </c>
      <c r="G330" s="103"/>
      <c r="H330" s="103" t="s">
        <v>437</v>
      </c>
      <c r="I330" s="104"/>
      <c r="J330" s="104"/>
      <c r="K330" s="105">
        <v>59575.199999999997</v>
      </c>
      <c r="M330"/>
      <c r="N330" s="95"/>
      <c r="O330" s="95"/>
      <c r="Q330"/>
      <c r="AC330"/>
      <c r="AG330"/>
      <c r="AK330"/>
    </row>
    <row r="331" spans="1:37" ht="15" customHeight="1" x14ac:dyDescent="0.25">
      <c r="A331" s="115" t="s">
        <v>1100</v>
      </c>
      <c r="B331" s="112" t="s">
        <v>688</v>
      </c>
      <c r="C331" s="101">
        <v>63743</v>
      </c>
      <c r="D331" s="102" t="s">
        <v>1233</v>
      </c>
      <c r="E331" s="103" t="s">
        <v>46</v>
      </c>
      <c r="F331" s="103" t="s">
        <v>397</v>
      </c>
      <c r="G331" s="103" t="s">
        <v>422</v>
      </c>
      <c r="H331" s="103" t="s">
        <v>437</v>
      </c>
      <c r="I331" s="104">
        <v>45044</v>
      </c>
      <c r="J331" s="104"/>
      <c r="K331" s="105">
        <v>151200</v>
      </c>
      <c r="M331"/>
      <c r="N331" s="95"/>
      <c r="O331" s="95"/>
      <c r="Q331"/>
      <c r="AC331"/>
      <c r="AG331"/>
      <c r="AK331"/>
    </row>
    <row r="332" spans="1:37" ht="15" customHeight="1" x14ac:dyDescent="0.25">
      <c r="A332" s="115" t="s">
        <v>1100</v>
      </c>
      <c r="B332" s="112" t="s">
        <v>688</v>
      </c>
      <c r="C332" s="101">
        <v>63501</v>
      </c>
      <c r="D332" s="102" t="s">
        <v>1234</v>
      </c>
      <c r="E332" s="103" t="s">
        <v>46</v>
      </c>
      <c r="F332" s="103" t="s">
        <v>397</v>
      </c>
      <c r="G332" s="103"/>
      <c r="H332" s="103" t="s">
        <v>437</v>
      </c>
      <c r="I332" s="104">
        <v>45015</v>
      </c>
      <c r="J332" s="104"/>
      <c r="K332" s="105">
        <v>46583.08</v>
      </c>
      <c r="M332"/>
      <c r="N332" s="95"/>
      <c r="O332" s="95"/>
      <c r="Q332"/>
      <c r="AC332"/>
      <c r="AG332"/>
      <c r="AK332"/>
    </row>
    <row r="333" spans="1:37" ht="15" customHeight="1" x14ac:dyDescent="0.25">
      <c r="A333" s="115" t="s">
        <v>1100</v>
      </c>
      <c r="B333" s="112" t="s">
        <v>688</v>
      </c>
      <c r="C333" s="101">
        <v>63465</v>
      </c>
      <c r="D333" s="102" t="s">
        <v>1235</v>
      </c>
      <c r="E333" s="103" t="s">
        <v>46</v>
      </c>
      <c r="F333" s="103" t="s">
        <v>397</v>
      </c>
      <c r="G333" s="103" t="s">
        <v>422</v>
      </c>
      <c r="H333" s="103" t="s">
        <v>423</v>
      </c>
      <c r="I333" s="104"/>
      <c r="J333" s="104"/>
      <c r="K333" s="105">
        <v>313704</v>
      </c>
      <c r="M333"/>
      <c r="N333" s="95"/>
      <c r="O333" s="95"/>
      <c r="Q333"/>
      <c r="AC333"/>
      <c r="AG333"/>
      <c r="AK333"/>
    </row>
    <row r="334" spans="1:37" ht="15" customHeight="1" x14ac:dyDescent="0.25">
      <c r="A334" s="115" t="s">
        <v>1100</v>
      </c>
      <c r="B334" s="112" t="s">
        <v>688</v>
      </c>
      <c r="C334" s="101">
        <v>62739</v>
      </c>
      <c r="D334" s="102" t="s">
        <v>1236</v>
      </c>
      <c r="E334" s="103" t="s">
        <v>46</v>
      </c>
      <c r="F334" s="103" t="s">
        <v>412</v>
      </c>
      <c r="G334" s="103"/>
      <c r="H334" s="103" t="s">
        <v>437</v>
      </c>
      <c r="I334" s="104">
        <v>44762</v>
      </c>
      <c r="J334" s="104">
        <v>44762</v>
      </c>
      <c r="K334" s="105">
        <v>10800</v>
      </c>
      <c r="M334"/>
      <c r="N334" s="95"/>
      <c r="O334" s="95"/>
      <c r="Q334"/>
      <c r="AC334"/>
      <c r="AG334"/>
      <c r="AK334"/>
    </row>
    <row r="335" spans="1:37" ht="15" customHeight="1" x14ac:dyDescent="0.25">
      <c r="A335" s="115" t="s">
        <v>1100</v>
      </c>
      <c r="B335" s="112" t="s">
        <v>688</v>
      </c>
      <c r="C335" s="101">
        <v>62273</v>
      </c>
      <c r="D335" s="102" t="s">
        <v>1237</v>
      </c>
      <c r="E335" s="103" t="s">
        <v>46</v>
      </c>
      <c r="F335" s="103" t="s">
        <v>397</v>
      </c>
      <c r="G335" s="103"/>
      <c r="H335" s="103" t="s">
        <v>437</v>
      </c>
      <c r="I335" s="104"/>
      <c r="J335" s="104"/>
      <c r="K335" s="105">
        <v>0</v>
      </c>
      <c r="M335"/>
      <c r="N335" s="95"/>
      <c r="O335" s="95"/>
      <c r="Q335"/>
      <c r="AC335"/>
      <c r="AG335"/>
      <c r="AK335"/>
    </row>
    <row r="336" spans="1:37" ht="15" customHeight="1" x14ac:dyDescent="0.25">
      <c r="A336" s="115" t="s">
        <v>1100</v>
      </c>
      <c r="B336" s="112" t="s">
        <v>688</v>
      </c>
      <c r="C336" s="101">
        <v>62272</v>
      </c>
      <c r="D336" s="102" t="s">
        <v>1238</v>
      </c>
      <c r="E336" s="103" t="s">
        <v>46</v>
      </c>
      <c r="F336" s="103" t="s">
        <v>397</v>
      </c>
      <c r="G336" s="103"/>
      <c r="H336" s="103" t="s">
        <v>437</v>
      </c>
      <c r="I336" s="104"/>
      <c r="J336" s="104"/>
      <c r="K336" s="105">
        <v>0</v>
      </c>
      <c r="M336"/>
      <c r="N336" s="95"/>
      <c r="O336" s="95"/>
      <c r="Q336"/>
      <c r="AC336"/>
      <c r="AG336"/>
      <c r="AK336"/>
    </row>
    <row r="337" spans="1:37" ht="15" customHeight="1" x14ac:dyDescent="0.25">
      <c r="A337" s="115" t="s">
        <v>1100</v>
      </c>
      <c r="B337" s="112" t="s">
        <v>688</v>
      </c>
      <c r="C337" s="101">
        <v>62270</v>
      </c>
      <c r="D337" s="102" t="s">
        <v>1237</v>
      </c>
      <c r="E337" s="103" t="s">
        <v>46</v>
      </c>
      <c r="F337" s="103" t="s">
        <v>397</v>
      </c>
      <c r="G337" s="103"/>
      <c r="H337" s="103" t="s">
        <v>437</v>
      </c>
      <c r="I337" s="104"/>
      <c r="J337" s="104"/>
      <c r="K337" s="105">
        <v>0</v>
      </c>
      <c r="M337"/>
      <c r="N337" s="95"/>
      <c r="O337" s="95"/>
      <c r="Q337"/>
      <c r="AC337"/>
      <c r="AG337"/>
      <c r="AK337"/>
    </row>
    <row r="338" spans="1:37" ht="15" customHeight="1" x14ac:dyDescent="0.25">
      <c r="A338" s="115" t="s">
        <v>1100</v>
      </c>
      <c r="B338" s="112" t="s">
        <v>688</v>
      </c>
      <c r="C338" s="101">
        <v>62269</v>
      </c>
      <c r="D338" s="102" t="s">
        <v>1239</v>
      </c>
      <c r="E338" s="103" t="s">
        <v>46</v>
      </c>
      <c r="F338" s="103" t="s">
        <v>397</v>
      </c>
      <c r="G338" s="103"/>
      <c r="H338" s="103" t="s">
        <v>437</v>
      </c>
      <c r="I338" s="104"/>
      <c r="J338" s="104"/>
      <c r="K338" s="105">
        <v>0</v>
      </c>
      <c r="M338"/>
      <c r="N338" s="95"/>
      <c r="O338" s="95"/>
      <c r="Q338"/>
      <c r="AC338"/>
      <c r="AG338"/>
      <c r="AK338"/>
    </row>
    <row r="339" spans="1:37" ht="15" customHeight="1" x14ac:dyDescent="0.25">
      <c r="A339" s="115" t="s">
        <v>1100</v>
      </c>
      <c r="B339" s="112" t="s">
        <v>688</v>
      </c>
      <c r="C339" s="101">
        <v>61862</v>
      </c>
      <c r="D339" s="102" t="s">
        <v>1240</v>
      </c>
      <c r="E339" s="103" t="s">
        <v>46</v>
      </c>
      <c r="F339" s="103" t="s">
        <v>412</v>
      </c>
      <c r="G339" s="103" t="s">
        <v>413</v>
      </c>
      <c r="H339" s="103" t="s">
        <v>414</v>
      </c>
      <c r="I339" s="104">
        <v>44561</v>
      </c>
      <c r="J339" s="104">
        <v>44561</v>
      </c>
      <c r="K339" s="105">
        <v>349999.97</v>
      </c>
      <c r="M339"/>
      <c r="N339" s="95"/>
      <c r="O339" s="95"/>
      <c r="Q339"/>
      <c r="AC339"/>
      <c r="AG339"/>
      <c r="AK339"/>
    </row>
    <row r="340" spans="1:37" ht="15" customHeight="1" x14ac:dyDescent="0.25">
      <c r="A340" s="115" t="s">
        <v>1100</v>
      </c>
      <c r="B340" s="112" t="s">
        <v>688</v>
      </c>
      <c r="C340" s="101">
        <v>61859</v>
      </c>
      <c r="D340" s="102" t="s">
        <v>1241</v>
      </c>
      <c r="E340" s="103" t="s">
        <v>46</v>
      </c>
      <c r="F340" s="103" t="s">
        <v>412</v>
      </c>
      <c r="G340" s="103" t="s">
        <v>422</v>
      </c>
      <c r="H340" s="103" t="s">
        <v>423</v>
      </c>
      <c r="I340" s="104">
        <v>44561</v>
      </c>
      <c r="J340" s="104">
        <v>44561</v>
      </c>
      <c r="K340" s="105">
        <v>482499.82</v>
      </c>
      <c r="M340"/>
      <c r="N340" s="95"/>
      <c r="O340" s="95"/>
      <c r="Q340"/>
      <c r="AC340"/>
      <c r="AG340"/>
      <c r="AK340"/>
    </row>
    <row r="341" spans="1:37" ht="15" customHeight="1" x14ac:dyDescent="0.25">
      <c r="A341" s="115" t="s">
        <v>1100</v>
      </c>
      <c r="B341" s="112" t="s">
        <v>688</v>
      </c>
      <c r="C341" s="101">
        <v>61849</v>
      </c>
      <c r="D341" s="102" t="s">
        <v>1242</v>
      </c>
      <c r="E341" s="103" t="s">
        <v>68</v>
      </c>
      <c r="F341" s="103" t="s">
        <v>397</v>
      </c>
      <c r="G341" s="103"/>
      <c r="H341" s="103" t="s">
        <v>437</v>
      </c>
      <c r="I341" s="104">
        <v>44620</v>
      </c>
      <c r="J341" s="104"/>
      <c r="K341" s="105">
        <v>1650</v>
      </c>
      <c r="M341"/>
      <c r="N341" s="95"/>
      <c r="O341" s="95"/>
      <c r="Q341"/>
      <c r="AC341"/>
      <c r="AG341"/>
      <c r="AK341"/>
    </row>
    <row r="342" spans="1:37" ht="15" customHeight="1" x14ac:dyDescent="0.25">
      <c r="A342" s="115" t="s">
        <v>1100</v>
      </c>
      <c r="B342" s="112" t="s">
        <v>688</v>
      </c>
      <c r="C342" s="101">
        <v>61521</v>
      </c>
      <c r="D342" s="102" t="s">
        <v>1243</v>
      </c>
      <c r="E342" s="103" t="s">
        <v>46</v>
      </c>
      <c r="F342" s="103" t="s">
        <v>440</v>
      </c>
      <c r="G342" s="103" t="s">
        <v>417</v>
      </c>
      <c r="H342" s="103" t="s">
        <v>414</v>
      </c>
      <c r="I342" s="104">
        <v>45655</v>
      </c>
      <c r="J342" s="104"/>
      <c r="K342" s="105">
        <v>1129762.8</v>
      </c>
      <c r="M342"/>
      <c r="N342" s="95"/>
      <c r="O342" s="95"/>
      <c r="Q342"/>
      <c r="AC342"/>
      <c r="AG342"/>
      <c r="AK342"/>
    </row>
    <row r="343" spans="1:37" ht="15" customHeight="1" x14ac:dyDescent="0.25">
      <c r="A343" s="115" t="s">
        <v>1100</v>
      </c>
      <c r="B343" s="112" t="s">
        <v>688</v>
      </c>
      <c r="C343" s="101">
        <v>61362</v>
      </c>
      <c r="D343" s="102" t="s">
        <v>1244</v>
      </c>
      <c r="E343" s="103" t="s">
        <v>46</v>
      </c>
      <c r="F343" s="103" t="s">
        <v>397</v>
      </c>
      <c r="G343" s="103" t="s">
        <v>422</v>
      </c>
      <c r="H343" s="103" t="s">
        <v>437</v>
      </c>
      <c r="I343" s="104">
        <v>44560</v>
      </c>
      <c r="J343" s="104"/>
      <c r="K343" s="105">
        <v>1235.71</v>
      </c>
      <c r="M343"/>
      <c r="N343" s="95"/>
      <c r="O343" s="95"/>
      <c r="Q343"/>
      <c r="AC343"/>
      <c r="AG343"/>
      <c r="AK343"/>
    </row>
    <row r="344" spans="1:37" ht="15" customHeight="1" x14ac:dyDescent="0.25">
      <c r="A344" s="115" t="s">
        <v>1100</v>
      </c>
      <c r="B344" s="112" t="s">
        <v>688</v>
      </c>
      <c r="C344" s="101">
        <v>61360</v>
      </c>
      <c r="D344" s="102" t="s">
        <v>1245</v>
      </c>
      <c r="E344" s="103" t="s">
        <v>46</v>
      </c>
      <c r="F344" s="103" t="s">
        <v>397</v>
      </c>
      <c r="G344" s="103" t="s">
        <v>422</v>
      </c>
      <c r="H344" s="103" t="s">
        <v>437</v>
      </c>
      <c r="I344" s="104">
        <v>44547</v>
      </c>
      <c r="J344" s="104"/>
      <c r="K344" s="105">
        <v>18535.64</v>
      </c>
      <c r="M344"/>
      <c r="N344" s="95"/>
      <c r="O344" s="95"/>
      <c r="Q344"/>
      <c r="AC344"/>
      <c r="AG344"/>
      <c r="AK344"/>
    </row>
    <row r="345" spans="1:37" ht="15" customHeight="1" x14ac:dyDescent="0.25">
      <c r="A345" s="115" t="s">
        <v>1100</v>
      </c>
      <c r="B345" s="112" t="s">
        <v>688</v>
      </c>
      <c r="C345" s="101">
        <v>61343</v>
      </c>
      <c r="D345" s="102" t="s">
        <v>1246</v>
      </c>
      <c r="E345" s="103" t="s">
        <v>67</v>
      </c>
      <c r="F345" s="103" t="s">
        <v>397</v>
      </c>
      <c r="G345" s="103"/>
      <c r="H345" s="103" t="s">
        <v>437</v>
      </c>
      <c r="I345" s="104">
        <v>44594</v>
      </c>
      <c r="J345" s="104"/>
      <c r="K345" s="105">
        <v>5280</v>
      </c>
      <c r="M345"/>
      <c r="N345" s="95"/>
      <c r="O345" s="95"/>
      <c r="Q345"/>
      <c r="AC345"/>
      <c r="AG345"/>
      <c r="AK345"/>
    </row>
    <row r="346" spans="1:37" ht="15" customHeight="1" x14ac:dyDescent="0.25">
      <c r="A346" s="115" t="s">
        <v>1100</v>
      </c>
      <c r="B346" s="112" t="s">
        <v>688</v>
      </c>
      <c r="C346" s="101">
        <v>61265</v>
      </c>
      <c r="D346" s="102" t="s">
        <v>1247</v>
      </c>
      <c r="E346" s="103" t="s">
        <v>46</v>
      </c>
      <c r="F346" s="103" t="s">
        <v>412</v>
      </c>
      <c r="G346" s="103" t="s">
        <v>422</v>
      </c>
      <c r="H346" s="103" t="s">
        <v>423</v>
      </c>
      <c r="I346" s="104">
        <v>44498</v>
      </c>
      <c r="J346" s="104">
        <v>44490</v>
      </c>
      <c r="K346" s="105">
        <v>1672.47</v>
      </c>
      <c r="M346"/>
      <c r="N346" s="95"/>
      <c r="O346" s="95"/>
      <c r="Q346"/>
      <c r="AC346"/>
      <c r="AG346"/>
      <c r="AK346"/>
    </row>
    <row r="347" spans="1:37" ht="15" customHeight="1" x14ac:dyDescent="0.25">
      <c r="A347" s="115" t="s">
        <v>1100</v>
      </c>
      <c r="B347" s="112" t="s">
        <v>688</v>
      </c>
      <c r="C347" s="101">
        <v>61261</v>
      </c>
      <c r="D347" s="102" t="s">
        <v>1247</v>
      </c>
      <c r="E347" s="103" t="s">
        <v>46</v>
      </c>
      <c r="F347" s="103" t="s">
        <v>412</v>
      </c>
      <c r="G347" s="103" t="s">
        <v>422</v>
      </c>
      <c r="H347" s="103" t="s">
        <v>423</v>
      </c>
      <c r="I347" s="104">
        <v>44469</v>
      </c>
      <c r="J347" s="104">
        <v>44469</v>
      </c>
      <c r="K347" s="105">
        <v>1672.47</v>
      </c>
      <c r="M347"/>
      <c r="N347" s="95"/>
      <c r="O347" s="95"/>
      <c r="Q347"/>
      <c r="AC347"/>
      <c r="AG347"/>
      <c r="AK347"/>
    </row>
    <row r="348" spans="1:37" ht="15" customHeight="1" x14ac:dyDescent="0.25">
      <c r="A348" s="115" t="s">
        <v>1100</v>
      </c>
      <c r="B348" s="112" t="s">
        <v>688</v>
      </c>
      <c r="C348" s="101">
        <v>61251</v>
      </c>
      <c r="D348" s="102" t="s">
        <v>1248</v>
      </c>
      <c r="E348" s="103" t="s">
        <v>46</v>
      </c>
      <c r="F348" s="103" t="s">
        <v>397</v>
      </c>
      <c r="G348" s="103" t="s">
        <v>422</v>
      </c>
      <c r="H348" s="103" t="s">
        <v>437</v>
      </c>
      <c r="I348" s="104"/>
      <c r="J348" s="104"/>
      <c r="K348" s="105">
        <v>1672.47</v>
      </c>
      <c r="M348"/>
      <c r="N348" s="95"/>
      <c r="O348" s="95"/>
      <c r="Q348"/>
      <c r="AC348"/>
      <c r="AG348"/>
      <c r="AK348"/>
    </row>
    <row r="349" spans="1:37" ht="15" customHeight="1" x14ac:dyDescent="0.25">
      <c r="A349" s="115" t="s">
        <v>1100</v>
      </c>
      <c r="B349" s="112" t="s">
        <v>688</v>
      </c>
      <c r="C349" s="101">
        <v>61196</v>
      </c>
      <c r="D349" s="102" t="s">
        <v>1247</v>
      </c>
      <c r="E349" s="103" t="s">
        <v>46</v>
      </c>
      <c r="F349" s="103" t="s">
        <v>412</v>
      </c>
      <c r="G349" s="103" t="s">
        <v>422</v>
      </c>
      <c r="H349" s="103" t="s">
        <v>423</v>
      </c>
      <c r="I349" s="104">
        <v>44477</v>
      </c>
      <c r="J349" s="104">
        <v>44467</v>
      </c>
      <c r="K349" s="105">
        <v>1672.47</v>
      </c>
      <c r="M349"/>
      <c r="N349" s="95"/>
      <c r="O349" s="95"/>
      <c r="Q349"/>
      <c r="AC349"/>
      <c r="AG349"/>
      <c r="AK349"/>
    </row>
    <row r="350" spans="1:37" ht="15" customHeight="1" x14ac:dyDescent="0.25">
      <c r="A350" s="115" t="s">
        <v>1100</v>
      </c>
      <c r="B350" s="112" t="s">
        <v>688</v>
      </c>
      <c r="C350" s="101">
        <v>61142</v>
      </c>
      <c r="D350" s="102" t="s">
        <v>1249</v>
      </c>
      <c r="E350" s="103" t="s">
        <v>46</v>
      </c>
      <c r="F350" s="103" t="s">
        <v>397</v>
      </c>
      <c r="G350" s="103" t="s">
        <v>422</v>
      </c>
      <c r="H350" s="103" t="s">
        <v>423</v>
      </c>
      <c r="I350" s="104"/>
      <c r="J350" s="104"/>
      <c r="K350" s="105">
        <v>0</v>
      </c>
      <c r="M350"/>
      <c r="N350" s="95"/>
      <c r="O350" s="95"/>
      <c r="Q350"/>
      <c r="AC350"/>
      <c r="AG350"/>
      <c r="AK350"/>
    </row>
    <row r="351" spans="1:37" ht="15" customHeight="1" x14ac:dyDescent="0.25">
      <c r="A351" s="115" t="s">
        <v>1100</v>
      </c>
      <c r="B351" s="112" t="s">
        <v>688</v>
      </c>
      <c r="C351" s="101">
        <v>61061</v>
      </c>
      <c r="D351" s="102" t="s">
        <v>1250</v>
      </c>
      <c r="E351" s="103" t="s">
        <v>46</v>
      </c>
      <c r="F351" s="103" t="s">
        <v>412</v>
      </c>
      <c r="G351" s="103" t="s">
        <v>422</v>
      </c>
      <c r="H351" s="103" t="s">
        <v>423</v>
      </c>
      <c r="I351" s="104">
        <v>44435</v>
      </c>
      <c r="J351" s="104">
        <v>44436</v>
      </c>
      <c r="K351" s="105">
        <v>2229.96</v>
      </c>
      <c r="M351"/>
      <c r="N351" s="95"/>
      <c r="O351" s="95"/>
      <c r="Q351"/>
      <c r="AC351"/>
      <c r="AG351"/>
      <c r="AK351"/>
    </row>
    <row r="352" spans="1:37" ht="15" customHeight="1" x14ac:dyDescent="0.25">
      <c r="A352" s="115" t="s">
        <v>1100</v>
      </c>
      <c r="B352" s="112" t="s">
        <v>688</v>
      </c>
      <c r="C352" s="101">
        <v>61035</v>
      </c>
      <c r="D352" s="102" t="s">
        <v>1251</v>
      </c>
      <c r="E352" s="103" t="s">
        <v>46</v>
      </c>
      <c r="F352" s="103" t="s">
        <v>412</v>
      </c>
      <c r="G352" s="103" t="s">
        <v>422</v>
      </c>
      <c r="H352" s="103" t="s">
        <v>423</v>
      </c>
      <c r="I352" s="104">
        <v>44431</v>
      </c>
      <c r="J352" s="104">
        <v>44431</v>
      </c>
      <c r="K352" s="105">
        <v>4459.92</v>
      </c>
      <c r="M352"/>
      <c r="N352" s="95"/>
      <c r="O352" s="95"/>
      <c r="Q352"/>
      <c r="AC352"/>
      <c r="AG352"/>
      <c r="AK352"/>
    </row>
    <row r="353" spans="1:37" ht="15" customHeight="1" x14ac:dyDescent="0.25">
      <c r="A353" s="115" t="s">
        <v>1100</v>
      </c>
      <c r="B353" s="112" t="s">
        <v>688</v>
      </c>
      <c r="C353" s="101">
        <v>60977</v>
      </c>
      <c r="D353" s="102" t="s">
        <v>1252</v>
      </c>
      <c r="E353" s="103" t="s">
        <v>46</v>
      </c>
      <c r="F353" s="103" t="s">
        <v>412</v>
      </c>
      <c r="G353" s="103" t="s">
        <v>422</v>
      </c>
      <c r="H353" s="103" t="s">
        <v>423</v>
      </c>
      <c r="I353" s="104">
        <v>44500</v>
      </c>
      <c r="J353" s="104">
        <v>44427</v>
      </c>
      <c r="K353" s="105">
        <v>2229.96</v>
      </c>
      <c r="M353"/>
      <c r="N353" s="95"/>
      <c r="O353" s="95"/>
      <c r="Q353"/>
      <c r="AC353"/>
      <c r="AG353"/>
      <c r="AK353"/>
    </row>
    <row r="354" spans="1:37" ht="15" customHeight="1" x14ac:dyDescent="0.25">
      <c r="A354" s="115" t="s">
        <v>1100</v>
      </c>
      <c r="B354" s="112" t="s">
        <v>688</v>
      </c>
      <c r="C354" s="101">
        <v>60826</v>
      </c>
      <c r="D354" s="102" t="s">
        <v>1251</v>
      </c>
      <c r="E354" s="103" t="s">
        <v>46</v>
      </c>
      <c r="F354" s="103" t="s">
        <v>412</v>
      </c>
      <c r="G354" s="103" t="s">
        <v>422</v>
      </c>
      <c r="H354" s="103" t="s">
        <v>423</v>
      </c>
      <c r="I354" s="104">
        <v>44396</v>
      </c>
      <c r="J354" s="104">
        <v>44396</v>
      </c>
      <c r="K354" s="105">
        <v>4459.92</v>
      </c>
      <c r="M354"/>
      <c r="N354" s="95"/>
      <c r="O354" s="95"/>
      <c r="Q354"/>
      <c r="AC354"/>
      <c r="AG354"/>
      <c r="AK354"/>
    </row>
    <row r="355" spans="1:37" ht="15" customHeight="1" x14ac:dyDescent="0.25">
      <c r="A355" s="115" t="s">
        <v>1100</v>
      </c>
      <c r="B355" s="112" t="s">
        <v>688</v>
      </c>
      <c r="C355" s="101">
        <v>60796</v>
      </c>
      <c r="D355" s="102" t="s">
        <v>1253</v>
      </c>
      <c r="E355" s="103" t="s">
        <v>46</v>
      </c>
      <c r="F355" s="103" t="s">
        <v>412</v>
      </c>
      <c r="G355" s="103" t="s">
        <v>422</v>
      </c>
      <c r="H355" s="103" t="s">
        <v>423</v>
      </c>
      <c r="I355" s="104"/>
      <c r="J355" s="104">
        <v>44378</v>
      </c>
      <c r="K355" s="105">
        <v>2570.04</v>
      </c>
      <c r="M355"/>
      <c r="N355" s="95"/>
      <c r="O355" s="95"/>
      <c r="Q355"/>
      <c r="AC355"/>
      <c r="AG355"/>
      <c r="AK355"/>
    </row>
    <row r="356" spans="1:37" ht="15" customHeight="1" x14ac:dyDescent="0.25">
      <c r="A356" s="115" t="s">
        <v>1100</v>
      </c>
      <c r="B356" s="112" t="s">
        <v>688</v>
      </c>
      <c r="C356" s="101">
        <v>60722</v>
      </c>
      <c r="D356" s="102" t="s">
        <v>1248</v>
      </c>
      <c r="E356" s="103" t="s">
        <v>46</v>
      </c>
      <c r="F356" s="103" t="s">
        <v>397</v>
      </c>
      <c r="G356" s="103" t="s">
        <v>422</v>
      </c>
      <c r="H356" s="103" t="s">
        <v>423</v>
      </c>
      <c r="I356" s="104">
        <v>44358</v>
      </c>
      <c r="J356" s="104">
        <v>44361</v>
      </c>
      <c r="K356" s="105">
        <v>2570.04</v>
      </c>
      <c r="M356"/>
      <c r="N356" s="95"/>
      <c r="O356" s="95"/>
      <c r="Q356"/>
      <c r="AC356"/>
      <c r="AG356"/>
      <c r="AK356"/>
    </row>
    <row r="357" spans="1:37" ht="15" customHeight="1" x14ac:dyDescent="0.25">
      <c r="A357" s="115" t="s">
        <v>1100</v>
      </c>
      <c r="B357" s="112" t="s">
        <v>688</v>
      </c>
      <c r="C357" s="101">
        <v>60655</v>
      </c>
      <c r="D357" s="102" t="s">
        <v>1254</v>
      </c>
      <c r="E357" s="103" t="s">
        <v>46</v>
      </c>
      <c r="F357" s="103" t="s">
        <v>412</v>
      </c>
      <c r="G357" s="103" t="s">
        <v>422</v>
      </c>
      <c r="H357" s="103" t="s">
        <v>423</v>
      </c>
      <c r="I357" s="104">
        <v>44377</v>
      </c>
      <c r="J357" s="104">
        <v>44375</v>
      </c>
      <c r="K357" s="105">
        <v>2229.96</v>
      </c>
      <c r="M357"/>
      <c r="N357" s="95"/>
      <c r="O357" s="95"/>
      <c r="Q357"/>
      <c r="AC357"/>
      <c r="AG357"/>
      <c r="AK357"/>
    </row>
    <row r="358" spans="1:37" ht="15" customHeight="1" x14ac:dyDescent="0.25">
      <c r="A358" s="115" t="s">
        <v>1100</v>
      </c>
      <c r="B358" s="112" t="s">
        <v>688</v>
      </c>
      <c r="C358" s="101">
        <v>60642</v>
      </c>
      <c r="D358" s="102" t="s">
        <v>1255</v>
      </c>
      <c r="E358" s="103" t="s">
        <v>46</v>
      </c>
      <c r="F358" s="103" t="s">
        <v>412</v>
      </c>
      <c r="G358" s="103" t="s">
        <v>422</v>
      </c>
      <c r="H358" s="103" t="s">
        <v>423</v>
      </c>
      <c r="I358" s="104"/>
      <c r="J358" s="104">
        <v>44361</v>
      </c>
      <c r="K358" s="105">
        <v>8920.08</v>
      </c>
      <c r="M358"/>
      <c r="N358" s="95"/>
      <c r="O358" s="95"/>
      <c r="Q358"/>
      <c r="AC358"/>
      <c r="AG358"/>
      <c r="AK358"/>
    </row>
    <row r="359" spans="1:37" ht="15" customHeight="1" x14ac:dyDescent="0.25">
      <c r="A359" s="115" t="s">
        <v>1100</v>
      </c>
      <c r="B359" s="112" t="s">
        <v>688</v>
      </c>
      <c r="C359" s="101">
        <v>60591</v>
      </c>
      <c r="D359" s="102" t="s">
        <v>1256</v>
      </c>
      <c r="E359" s="103" t="s">
        <v>46</v>
      </c>
      <c r="F359" s="103" t="s">
        <v>397</v>
      </c>
      <c r="G359" s="103" t="s">
        <v>422</v>
      </c>
      <c r="H359" s="103" t="s">
        <v>423</v>
      </c>
      <c r="I359" s="104"/>
      <c r="J359" s="104">
        <v>44361</v>
      </c>
      <c r="K359" s="105">
        <v>2229.96</v>
      </c>
      <c r="M359"/>
      <c r="N359" s="95"/>
      <c r="O359" s="95"/>
      <c r="Q359"/>
      <c r="AC359"/>
      <c r="AG359"/>
      <c r="AK359"/>
    </row>
    <row r="360" spans="1:37" ht="15" customHeight="1" x14ac:dyDescent="0.25">
      <c r="A360" s="115" t="s">
        <v>1100</v>
      </c>
      <c r="B360" s="112" t="s">
        <v>688</v>
      </c>
      <c r="C360" s="101">
        <v>60417</v>
      </c>
      <c r="D360" s="102" t="s">
        <v>1249</v>
      </c>
      <c r="E360" s="103" t="s">
        <v>46</v>
      </c>
      <c r="F360" s="103" t="s">
        <v>397</v>
      </c>
      <c r="G360" s="103" t="s">
        <v>427</v>
      </c>
      <c r="H360" s="103" t="s">
        <v>423</v>
      </c>
      <c r="I360" s="104"/>
      <c r="J360" s="104"/>
      <c r="K360" s="105">
        <v>0</v>
      </c>
      <c r="M360"/>
      <c r="N360" s="95"/>
      <c r="O360" s="95"/>
      <c r="Q360"/>
      <c r="AC360"/>
      <c r="AG360"/>
      <c r="AK360"/>
    </row>
    <row r="361" spans="1:37" ht="15" customHeight="1" x14ac:dyDescent="0.25">
      <c r="A361" s="115" t="s">
        <v>1100</v>
      </c>
      <c r="B361" s="112" t="s">
        <v>688</v>
      </c>
      <c r="C361" s="101">
        <v>60359</v>
      </c>
      <c r="D361" s="102" t="s">
        <v>1252</v>
      </c>
      <c r="E361" s="103" t="s">
        <v>46</v>
      </c>
      <c r="F361" s="103" t="s">
        <v>412</v>
      </c>
      <c r="G361" s="103" t="s">
        <v>425</v>
      </c>
      <c r="H361" s="103" t="s">
        <v>423</v>
      </c>
      <c r="I361" s="104">
        <v>44277</v>
      </c>
      <c r="J361" s="104">
        <v>44277</v>
      </c>
      <c r="K361" s="105">
        <v>5412</v>
      </c>
      <c r="M361"/>
      <c r="N361" s="95"/>
      <c r="O361" s="95"/>
      <c r="Q361"/>
      <c r="AC361"/>
      <c r="AG361"/>
      <c r="AK361"/>
    </row>
    <row r="362" spans="1:37" ht="15" customHeight="1" x14ac:dyDescent="0.25">
      <c r="A362" s="115" t="s">
        <v>1100</v>
      </c>
      <c r="B362" s="112" t="s">
        <v>688</v>
      </c>
      <c r="C362" s="101">
        <v>60226</v>
      </c>
      <c r="D362" s="102" t="s">
        <v>1249</v>
      </c>
      <c r="E362" s="103" t="s">
        <v>46</v>
      </c>
      <c r="F362" s="103" t="s">
        <v>412</v>
      </c>
      <c r="G362" s="103" t="s">
        <v>425</v>
      </c>
      <c r="H362" s="103" t="s">
        <v>423</v>
      </c>
      <c r="I362" s="104">
        <v>44265</v>
      </c>
      <c r="J362" s="104">
        <v>44265</v>
      </c>
      <c r="K362" s="105">
        <v>5412</v>
      </c>
      <c r="M362"/>
      <c r="N362" s="95"/>
      <c r="O362" s="95"/>
      <c r="Q362"/>
      <c r="AC362"/>
      <c r="AG362"/>
      <c r="AK362"/>
    </row>
    <row r="363" spans="1:37" ht="15" customHeight="1" x14ac:dyDescent="0.25">
      <c r="A363" s="115" t="s">
        <v>1100</v>
      </c>
      <c r="B363" s="112" t="s">
        <v>688</v>
      </c>
      <c r="C363" s="101">
        <v>60222</v>
      </c>
      <c r="D363" s="102" t="s">
        <v>1257</v>
      </c>
      <c r="E363" s="103" t="s">
        <v>484</v>
      </c>
      <c r="F363" s="103" t="s">
        <v>397</v>
      </c>
      <c r="G363" s="103"/>
      <c r="H363" s="103" t="s">
        <v>437</v>
      </c>
      <c r="I363" s="104">
        <v>44377</v>
      </c>
      <c r="J363" s="104"/>
      <c r="K363" s="105">
        <v>675</v>
      </c>
      <c r="M363"/>
      <c r="N363" s="95"/>
      <c r="O363" s="95"/>
      <c r="Q363"/>
      <c r="AC363"/>
      <c r="AG363"/>
      <c r="AK363"/>
    </row>
    <row r="364" spans="1:37" ht="15" customHeight="1" x14ac:dyDescent="0.25">
      <c r="A364" s="115" t="s">
        <v>1100</v>
      </c>
      <c r="B364" s="112" t="s">
        <v>688</v>
      </c>
      <c r="C364" s="101">
        <v>60201</v>
      </c>
      <c r="D364" s="102" t="s">
        <v>1252</v>
      </c>
      <c r="E364" s="103" t="s">
        <v>46</v>
      </c>
      <c r="F364" s="103" t="s">
        <v>412</v>
      </c>
      <c r="G364" s="103" t="s">
        <v>425</v>
      </c>
      <c r="H364" s="103" t="s">
        <v>423</v>
      </c>
      <c r="I364" s="104"/>
      <c r="J364" s="104">
        <v>44265</v>
      </c>
      <c r="K364" s="105">
        <v>5412</v>
      </c>
      <c r="M364"/>
      <c r="N364" s="95"/>
      <c r="O364" s="95"/>
      <c r="Q364"/>
      <c r="AC364"/>
      <c r="AG364"/>
      <c r="AK364"/>
    </row>
    <row r="365" spans="1:37" ht="15" customHeight="1" x14ac:dyDescent="0.25">
      <c r="A365" s="115" t="s">
        <v>1100</v>
      </c>
      <c r="B365" s="112" t="s">
        <v>688</v>
      </c>
      <c r="C365" s="101">
        <v>60200</v>
      </c>
      <c r="D365" s="102" t="s">
        <v>1258</v>
      </c>
      <c r="E365" s="103" t="s">
        <v>46</v>
      </c>
      <c r="F365" s="103" t="s">
        <v>412</v>
      </c>
      <c r="G365" s="103" t="s">
        <v>425</v>
      </c>
      <c r="H365" s="103" t="s">
        <v>423</v>
      </c>
      <c r="I365" s="104">
        <v>44231</v>
      </c>
      <c r="J365" s="104">
        <v>44231</v>
      </c>
      <c r="K365" s="105">
        <v>5412</v>
      </c>
      <c r="M365"/>
      <c r="N365" s="95"/>
      <c r="O365" s="95"/>
      <c r="Q365"/>
      <c r="AC365"/>
      <c r="AG365"/>
      <c r="AK365"/>
    </row>
    <row r="366" spans="1:37" ht="15" customHeight="1" x14ac:dyDescent="0.25">
      <c r="A366" s="115" t="s">
        <v>1100</v>
      </c>
      <c r="B366" s="112" t="s">
        <v>688</v>
      </c>
      <c r="C366" s="101">
        <v>60003</v>
      </c>
      <c r="D366" s="102" t="s">
        <v>1252</v>
      </c>
      <c r="E366" s="103" t="s">
        <v>46</v>
      </c>
      <c r="F366" s="103" t="s">
        <v>412</v>
      </c>
      <c r="G366" s="103" t="s">
        <v>425</v>
      </c>
      <c r="H366" s="103" t="s">
        <v>423</v>
      </c>
      <c r="I366" s="104">
        <v>44180</v>
      </c>
      <c r="J366" s="104">
        <v>44180</v>
      </c>
      <c r="K366" s="105">
        <v>9338</v>
      </c>
      <c r="M366"/>
      <c r="N366" s="95"/>
      <c r="O366" s="95"/>
      <c r="Q366"/>
      <c r="AC366"/>
      <c r="AG366"/>
      <c r="AK366"/>
    </row>
    <row r="367" spans="1:37" ht="15" customHeight="1" x14ac:dyDescent="0.25">
      <c r="A367" s="115" t="s">
        <v>1100</v>
      </c>
      <c r="B367" s="112" t="s">
        <v>688</v>
      </c>
      <c r="C367" s="101">
        <v>59943</v>
      </c>
      <c r="D367" s="102" t="s">
        <v>1252</v>
      </c>
      <c r="E367" s="103" t="s">
        <v>46</v>
      </c>
      <c r="F367" s="103" t="s">
        <v>412</v>
      </c>
      <c r="G367" s="103" t="s">
        <v>425</v>
      </c>
      <c r="H367" s="103" t="s">
        <v>423</v>
      </c>
      <c r="I367" s="104">
        <v>44193</v>
      </c>
      <c r="J367" s="104">
        <v>44169</v>
      </c>
      <c r="K367" s="105">
        <v>9743.98</v>
      </c>
      <c r="M367"/>
      <c r="N367" s="95"/>
      <c r="O367" s="95"/>
      <c r="Q367"/>
      <c r="AC367"/>
      <c r="AG367"/>
      <c r="AK367"/>
    </row>
    <row r="368" spans="1:37" ht="15" customHeight="1" x14ac:dyDescent="0.25">
      <c r="A368" s="115" t="s">
        <v>1100</v>
      </c>
      <c r="B368" s="112" t="s">
        <v>688</v>
      </c>
      <c r="C368" s="101">
        <v>59893</v>
      </c>
      <c r="D368" s="102" t="s">
        <v>1259</v>
      </c>
      <c r="E368" s="103" t="s">
        <v>46</v>
      </c>
      <c r="F368" s="103" t="s">
        <v>412</v>
      </c>
      <c r="G368" s="103" t="s">
        <v>425</v>
      </c>
      <c r="H368" s="103" t="s">
        <v>423</v>
      </c>
      <c r="I368" s="104">
        <v>44134</v>
      </c>
      <c r="J368" s="104">
        <v>44134</v>
      </c>
      <c r="K368" s="105">
        <v>17322.669999999998</v>
      </c>
      <c r="M368"/>
      <c r="N368" s="95"/>
      <c r="O368" s="95"/>
      <c r="Q368"/>
      <c r="AC368"/>
      <c r="AG368"/>
      <c r="AK368"/>
    </row>
    <row r="369" spans="1:37" ht="15" customHeight="1" x14ac:dyDescent="0.25">
      <c r="A369" s="115" t="s">
        <v>1100</v>
      </c>
      <c r="B369" s="112" t="s">
        <v>688</v>
      </c>
      <c r="C369" s="101">
        <v>59659</v>
      </c>
      <c r="D369" s="102" t="s">
        <v>1260</v>
      </c>
      <c r="E369" s="103" t="s">
        <v>46</v>
      </c>
      <c r="F369" s="103" t="s">
        <v>412</v>
      </c>
      <c r="G369" s="103" t="s">
        <v>413</v>
      </c>
      <c r="H369" s="103" t="s">
        <v>414</v>
      </c>
      <c r="I369" s="104">
        <v>44253</v>
      </c>
      <c r="J369" s="104">
        <v>44246</v>
      </c>
      <c r="K369" s="105">
        <v>112500.03</v>
      </c>
      <c r="M369"/>
      <c r="N369" s="95"/>
      <c r="O369" s="95"/>
      <c r="Q369"/>
      <c r="AC369"/>
      <c r="AG369"/>
      <c r="AK369"/>
    </row>
    <row r="370" spans="1:37" ht="15" customHeight="1" x14ac:dyDescent="0.25">
      <c r="A370" s="115" t="s">
        <v>1100</v>
      </c>
      <c r="B370" s="112" t="s">
        <v>688</v>
      </c>
      <c r="C370" s="101">
        <v>59524</v>
      </c>
      <c r="D370" s="102" t="s">
        <v>1261</v>
      </c>
      <c r="E370" s="103" t="s">
        <v>46</v>
      </c>
      <c r="F370" s="103" t="s">
        <v>412</v>
      </c>
      <c r="G370" s="103" t="s">
        <v>425</v>
      </c>
      <c r="H370" s="103" t="s">
        <v>423</v>
      </c>
      <c r="I370" s="104"/>
      <c r="J370" s="104">
        <v>44117</v>
      </c>
      <c r="K370" s="105">
        <v>12992</v>
      </c>
      <c r="M370"/>
      <c r="N370" s="95"/>
      <c r="O370" s="95"/>
      <c r="Q370"/>
      <c r="AC370"/>
      <c r="AG370"/>
      <c r="AK370"/>
    </row>
    <row r="371" spans="1:37" ht="15" customHeight="1" x14ac:dyDescent="0.25">
      <c r="A371" s="115" t="s">
        <v>1100</v>
      </c>
      <c r="B371" s="112" t="s">
        <v>688</v>
      </c>
      <c r="C371" s="101">
        <v>59475</v>
      </c>
      <c r="D371" s="102" t="s">
        <v>1262</v>
      </c>
      <c r="E371" s="103" t="s">
        <v>46</v>
      </c>
      <c r="F371" s="103" t="s">
        <v>412</v>
      </c>
      <c r="G371" s="103" t="s">
        <v>425</v>
      </c>
      <c r="H371" s="103" t="s">
        <v>423</v>
      </c>
      <c r="I371" s="104"/>
      <c r="J371" s="104">
        <v>44104</v>
      </c>
      <c r="K371" s="105">
        <v>4434.8</v>
      </c>
      <c r="M371"/>
      <c r="N371" s="95"/>
      <c r="O371" s="95"/>
      <c r="Q371"/>
      <c r="AC371"/>
      <c r="AG371"/>
      <c r="AK371"/>
    </row>
    <row r="372" spans="1:37" ht="15" customHeight="1" x14ac:dyDescent="0.25">
      <c r="A372" s="115" t="s">
        <v>1100</v>
      </c>
      <c r="B372" s="112" t="s">
        <v>688</v>
      </c>
      <c r="C372" s="101">
        <v>59445</v>
      </c>
      <c r="D372" s="102" t="s">
        <v>1263</v>
      </c>
      <c r="E372" s="103" t="s">
        <v>46</v>
      </c>
      <c r="F372" s="103" t="s">
        <v>397</v>
      </c>
      <c r="G372" s="103"/>
      <c r="H372" s="103" t="s">
        <v>433</v>
      </c>
      <c r="I372" s="104"/>
      <c r="J372" s="104"/>
      <c r="K372" s="105">
        <v>2000</v>
      </c>
      <c r="M372"/>
      <c r="N372" s="95"/>
      <c r="O372" s="95"/>
      <c r="Q372"/>
      <c r="AC372"/>
      <c r="AG372"/>
      <c r="AK372"/>
    </row>
    <row r="373" spans="1:37" ht="15" customHeight="1" x14ac:dyDescent="0.25">
      <c r="A373" s="115" t="s">
        <v>1100</v>
      </c>
      <c r="B373" s="112" t="s">
        <v>688</v>
      </c>
      <c r="C373" s="101">
        <v>59438</v>
      </c>
      <c r="D373" s="102" t="s">
        <v>1252</v>
      </c>
      <c r="E373" s="103" t="s">
        <v>46</v>
      </c>
      <c r="F373" s="103" t="s">
        <v>412</v>
      </c>
      <c r="G373" s="103" t="s">
        <v>425</v>
      </c>
      <c r="H373" s="103" t="s">
        <v>423</v>
      </c>
      <c r="I373" s="104"/>
      <c r="J373" s="104">
        <v>44098</v>
      </c>
      <c r="K373" s="105">
        <v>26609</v>
      </c>
      <c r="M373"/>
      <c r="N373" s="95"/>
      <c r="O373" s="95"/>
      <c r="Q373"/>
      <c r="AC373"/>
      <c r="AG373"/>
      <c r="AK373"/>
    </row>
    <row r="374" spans="1:37" ht="15" customHeight="1" x14ac:dyDescent="0.25">
      <c r="A374" s="115" t="s">
        <v>1100</v>
      </c>
      <c r="B374" s="112" t="s">
        <v>688</v>
      </c>
      <c r="C374" s="101">
        <v>59296</v>
      </c>
      <c r="D374" s="102" t="s">
        <v>1252</v>
      </c>
      <c r="E374" s="103" t="s">
        <v>46</v>
      </c>
      <c r="F374" s="103" t="s">
        <v>397</v>
      </c>
      <c r="G374" s="103" t="s">
        <v>425</v>
      </c>
      <c r="H374" s="103" t="s">
        <v>423</v>
      </c>
      <c r="I374" s="104">
        <v>44109</v>
      </c>
      <c r="J374" s="104"/>
      <c r="K374" s="105">
        <v>5412</v>
      </c>
      <c r="M374"/>
      <c r="N374" s="95"/>
      <c r="O374" s="95"/>
      <c r="Q374"/>
      <c r="AC374"/>
      <c r="AG374"/>
      <c r="AK374"/>
    </row>
    <row r="375" spans="1:37" ht="15" customHeight="1" x14ac:dyDescent="0.25">
      <c r="A375" s="115" t="s">
        <v>1100</v>
      </c>
      <c r="B375" s="112" t="s">
        <v>688</v>
      </c>
      <c r="C375" s="101">
        <v>59074</v>
      </c>
      <c r="D375" s="102" t="s">
        <v>1264</v>
      </c>
      <c r="E375" s="103" t="s">
        <v>46</v>
      </c>
      <c r="F375" s="103" t="s">
        <v>412</v>
      </c>
      <c r="G375" s="103" t="s">
        <v>425</v>
      </c>
      <c r="H375" s="103" t="s">
        <v>423</v>
      </c>
      <c r="I375" s="104"/>
      <c r="J375" s="104">
        <v>44098</v>
      </c>
      <c r="K375" s="105">
        <v>43780</v>
      </c>
      <c r="M375"/>
      <c r="N375" s="95"/>
      <c r="O375" s="95"/>
      <c r="Q375"/>
      <c r="AC375"/>
      <c r="AG375"/>
      <c r="AK375"/>
    </row>
    <row r="376" spans="1:37" ht="15" customHeight="1" x14ac:dyDescent="0.25">
      <c r="A376" s="115" t="s">
        <v>1100</v>
      </c>
      <c r="B376" s="112" t="s">
        <v>688</v>
      </c>
      <c r="C376" s="101">
        <v>58401</v>
      </c>
      <c r="D376" s="102" t="s">
        <v>1265</v>
      </c>
      <c r="E376" s="103" t="s">
        <v>46</v>
      </c>
      <c r="F376" s="103" t="s">
        <v>412</v>
      </c>
      <c r="G376" s="103" t="s">
        <v>413</v>
      </c>
      <c r="H376" s="103" t="s">
        <v>414</v>
      </c>
      <c r="I376" s="104">
        <v>43888</v>
      </c>
      <c r="J376" s="104">
        <v>43888</v>
      </c>
      <c r="K376" s="105">
        <v>88018</v>
      </c>
      <c r="M376"/>
      <c r="N376" s="95"/>
      <c r="O376" s="95"/>
      <c r="Q376"/>
      <c r="AC376"/>
      <c r="AG376"/>
      <c r="AK376"/>
    </row>
    <row r="377" spans="1:37" ht="15" customHeight="1" x14ac:dyDescent="0.25">
      <c r="A377" s="115" t="s">
        <v>1100</v>
      </c>
      <c r="B377" s="112" t="s">
        <v>688</v>
      </c>
      <c r="C377" s="101">
        <v>58236</v>
      </c>
      <c r="D377" s="102" t="s">
        <v>1266</v>
      </c>
      <c r="E377" s="103" t="s">
        <v>46</v>
      </c>
      <c r="F377" s="103" t="s">
        <v>412</v>
      </c>
      <c r="G377" s="103" t="s">
        <v>413</v>
      </c>
      <c r="H377" s="103" t="s">
        <v>423</v>
      </c>
      <c r="I377" s="104">
        <v>43910</v>
      </c>
      <c r="J377" s="104">
        <v>43910</v>
      </c>
      <c r="K377" s="105">
        <v>38988.959999999999</v>
      </c>
      <c r="M377"/>
      <c r="N377" s="95"/>
      <c r="O377" s="95"/>
      <c r="Q377"/>
      <c r="AC377"/>
      <c r="AG377"/>
      <c r="AK377"/>
    </row>
    <row r="378" spans="1:37" ht="15" customHeight="1" x14ac:dyDescent="0.25">
      <c r="A378" s="115" t="s">
        <v>1100</v>
      </c>
      <c r="B378" s="112" t="s">
        <v>688</v>
      </c>
      <c r="C378" s="101">
        <v>58049</v>
      </c>
      <c r="D378" s="102" t="s">
        <v>1267</v>
      </c>
      <c r="E378" s="103" t="s">
        <v>484</v>
      </c>
      <c r="F378" s="103" t="s">
        <v>412</v>
      </c>
      <c r="G378" s="103" t="s">
        <v>427</v>
      </c>
      <c r="H378" s="103" t="s">
        <v>437</v>
      </c>
      <c r="I378" s="104">
        <v>44092</v>
      </c>
      <c r="J378" s="104">
        <v>44095</v>
      </c>
      <c r="K378" s="105">
        <v>8500</v>
      </c>
      <c r="M378"/>
      <c r="N378" s="95"/>
      <c r="O378" s="95"/>
      <c r="Q378"/>
      <c r="AC378"/>
      <c r="AG378"/>
      <c r="AK378"/>
    </row>
    <row r="379" spans="1:37" ht="15" customHeight="1" x14ac:dyDescent="0.25">
      <c r="A379" s="115" t="s">
        <v>1100</v>
      </c>
      <c r="B379" s="112" t="s">
        <v>688</v>
      </c>
      <c r="C379" s="101">
        <v>58045</v>
      </c>
      <c r="D379" s="102" t="s">
        <v>1268</v>
      </c>
      <c r="E379" s="103" t="s">
        <v>579</v>
      </c>
      <c r="F379" s="103" t="s">
        <v>397</v>
      </c>
      <c r="G379" s="103" t="s">
        <v>427</v>
      </c>
      <c r="H379" s="103" t="s">
        <v>437</v>
      </c>
      <c r="I379" s="104">
        <v>43910</v>
      </c>
      <c r="J379" s="104"/>
      <c r="K379" s="105">
        <v>23500</v>
      </c>
      <c r="M379"/>
      <c r="N379" s="95"/>
      <c r="O379" s="95"/>
      <c r="Q379"/>
      <c r="AC379"/>
      <c r="AG379"/>
      <c r="AK379"/>
    </row>
    <row r="380" spans="1:37" ht="15" customHeight="1" x14ac:dyDescent="0.25">
      <c r="A380" s="115" t="s">
        <v>1100</v>
      </c>
      <c r="B380" s="112" t="s">
        <v>688</v>
      </c>
      <c r="C380" s="101">
        <v>56462</v>
      </c>
      <c r="D380" s="102" t="s">
        <v>1269</v>
      </c>
      <c r="E380" s="103" t="s">
        <v>46</v>
      </c>
      <c r="F380" s="103" t="s">
        <v>412</v>
      </c>
      <c r="G380" s="103" t="s">
        <v>413</v>
      </c>
      <c r="H380" s="103" t="s">
        <v>423</v>
      </c>
      <c r="I380" s="104">
        <v>43677</v>
      </c>
      <c r="J380" s="104">
        <v>43665</v>
      </c>
      <c r="K380" s="105">
        <v>99297.919999999998</v>
      </c>
      <c r="M380"/>
      <c r="N380" s="95"/>
      <c r="O380" s="95"/>
      <c r="Q380"/>
      <c r="AC380"/>
      <c r="AG380"/>
      <c r="AK380"/>
    </row>
    <row r="381" spans="1:37" ht="15" customHeight="1" x14ac:dyDescent="0.25">
      <c r="A381" s="115" t="s">
        <v>1100</v>
      </c>
      <c r="B381" s="112" t="s">
        <v>688</v>
      </c>
      <c r="C381" s="101">
        <v>54016</v>
      </c>
      <c r="D381" s="102" t="s">
        <v>1270</v>
      </c>
      <c r="E381" s="103" t="s">
        <v>46</v>
      </c>
      <c r="F381" s="103" t="s">
        <v>412</v>
      </c>
      <c r="G381" s="103" t="s">
        <v>425</v>
      </c>
      <c r="H381" s="103" t="s">
        <v>423</v>
      </c>
      <c r="I381" s="104">
        <v>42734</v>
      </c>
      <c r="J381" s="104">
        <v>42734</v>
      </c>
      <c r="K381" s="105">
        <v>102125</v>
      </c>
      <c r="M381"/>
      <c r="N381" s="95"/>
      <c r="O381" s="95"/>
      <c r="Q381"/>
      <c r="AC381"/>
      <c r="AG381"/>
      <c r="AK381"/>
    </row>
    <row r="382" spans="1:37" ht="15" customHeight="1" x14ac:dyDescent="0.25">
      <c r="A382" s="115" t="s">
        <v>1100</v>
      </c>
      <c r="B382" s="112" t="s">
        <v>688</v>
      </c>
      <c r="C382" s="101">
        <v>52983</v>
      </c>
      <c r="D382" s="102" t="s">
        <v>1271</v>
      </c>
      <c r="E382" s="103" t="s">
        <v>46</v>
      </c>
      <c r="F382" s="103" t="s">
        <v>412</v>
      </c>
      <c r="G382" s="103" t="s">
        <v>413</v>
      </c>
      <c r="H382" s="103" t="s">
        <v>423</v>
      </c>
      <c r="I382" s="104">
        <v>43473</v>
      </c>
      <c r="J382" s="104">
        <v>43473</v>
      </c>
      <c r="K382" s="105">
        <v>15359.08</v>
      </c>
      <c r="M382"/>
      <c r="N382" s="95"/>
      <c r="O382" s="95"/>
      <c r="Q382"/>
      <c r="AC382"/>
      <c r="AG382"/>
      <c r="AK382"/>
    </row>
    <row r="383" spans="1:37" ht="15" customHeight="1" x14ac:dyDescent="0.25">
      <c r="A383" s="115" t="s">
        <v>1100</v>
      </c>
      <c r="B383" s="112" t="s">
        <v>688</v>
      </c>
      <c r="C383" s="101">
        <v>52981</v>
      </c>
      <c r="D383" s="102" t="s">
        <v>1272</v>
      </c>
      <c r="E383" s="103" t="s">
        <v>46</v>
      </c>
      <c r="F383" s="103" t="s">
        <v>412</v>
      </c>
      <c r="G383" s="103" t="s">
        <v>413</v>
      </c>
      <c r="H383" s="103" t="s">
        <v>414</v>
      </c>
      <c r="I383" s="104">
        <v>43473</v>
      </c>
      <c r="J383" s="104">
        <v>43473</v>
      </c>
      <c r="K383" s="105">
        <v>60418.04</v>
      </c>
      <c r="M383"/>
      <c r="N383" s="95"/>
      <c r="O383" s="95"/>
      <c r="Q383"/>
      <c r="AC383"/>
      <c r="AG383"/>
      <c r="AK383"/>
    </row>
    <row r="384" spans="1:37" ht="15" customHeight="1" x14ac:dyDescent="0.25">
      <c r="A384" s="115" t="s">
        <v>1100</v>
      </c>
      <c r="B384" s="112" t="s">
        <v>688</v>
      </c>
      <c r="C384" s="101">
        <v>52337</v>
      </c>
      <c r="D384" s="102" t="s">
        <v>1273</v>
      </c>
      <c r="E384" s="103" t="s">
        <v>46</v>
      </c>
      <c r="F384" s="103" t="s">
        <v>412</v>
      </c>
      <c r="G384" s="103"/>
      <c r="H384" s="103" t="s">
        <v>433</v>
      </c>
      <c r="I384" s="104">
        <v>43109</v>
      </c>
      <c r="J384" s="104">
        <v>43109</v>
      </c>
      <c r="K384" s="105">
        <v>5000</v>
      </c>
      <c r="M384"/>
      <c r="N384" s="95"/>
      <c r="O384" s="95"/>
      <c r="Q384"/>
      <c r="AC384"/>
      <c r="AG384"/>
      <c r="AK384"/>
    </row>
    <row r="385" spans="1:37" ht="15" customHeight="1" x14ac:dyDescent="0.25">
      <c r="A385" s="115" t="s">
        <v>1100</v>
      </c>
      <c r="B385" s="112" t="s">
        <v>688</v>
      </c>
      <c r="C385" s="101">
        <v>51866</v>
      </c>
      <c r="D385" s="102" t="s">
        <v>1274</v>
      </c>
      <c r="E385" s="103" t="s">
        <v>484</v>
      </c>
      <c r="F385" s="103" t="s">
        <v>397</v>
      </c>
      <c r="G385" s="103" t="s">
        <v>427</v>
      </c>
      <c r="H385" s="103" t="s">
        <v>437</v>
      </c>
      <c r="I385" s="104">
        <v>43677</v>
      </c>
      <c r="J385" s="104"/>
      <c r="K385" s="105">
        <v>69120.009999999995</v>
      </c>
      <c r="M385"/>
      <c r="N385" s="95"/>
      <c r="O385" s="95"/>
      <c r="Q385"/>
      <c r="AC385"/>
      <c r="AG385"/>
      <c r="AK385"/>
    </row>
    <row r="386" spans="1:37" ht="15" customHeight="1" x14ac:dyDescent="0.25">
      <c r="A386" s="115" t="s">
        <v>1100</v>
      </c>
      <c r="B386" s="112" t="s">
        <v>688</v>
      </c>
      <c r="C386" s="101">
        <v>51865</v>
      </c>
      <c r="D386" s="102" t="s">
        <v>1275</v>
      </c>
      <c r="E386" s="103" t="s">
        <v>46</v>
      </c>
      <c r="F386" s="103" t="s">
        <v>397</v>
      </c>
      <c r="G386" s="103" t="s">
        <v>425</v>
      </c>
      <c r="H386" s="103" t="s">
        <v>423</v>
      </c>
      <c r="I386" s="104"/>
      <c r="J386" s="104">
        <v>43559</v>
      </c>
      <c r="K386" s="105">
        <v>0</v>
      </c>
      <c r="M386"/>
      <c r="N386" s="95"/>
      <c r="O386" s="95"/>
      <c r="Q386"/>
      <c r="AC386"/>
      <c r="AG386"/>
      <c r="AK386"/>
    </row>
    <row r="387" spans="1:37" ht="15" customHeight="1" x14ac:dyDescent="0.25">
      <c r="A387" s="115" t="s">
        <v>1100</v>
      </c>
      <c r="B387" s="112" t="s">
        <v>688</v>
      </c>
      <c r="C387" s="101">
        <v>51864</v>
      </c>
      <c r="D387" s="102" t="s">
        <v>1276</v>
      </c>
      <c r="E387" s="103" t="s">
        <v>46</v>
      </c>
      <c r="F387" s="103" t="s">
        <v>412</v>
      </c>
      <c r="G387" s="103" t="s">
        <v>425</v>
      </c>
      <c r="H387" s="103" t="s">
        <v>423</v>
      </c>
      <c r="I387" s="104">
        <v>43250</v>
      </c>
      <c r="J387" s="104">
        <v>43250</v>
      </c>
      <c r="K387" s="105">
        <v>32933.279999999999</v>
      </c>
      <c r="M387"/>
      <c r="N387" s="95"/>
      <c r="O387" s="95"/>
      <c r="Q387"/>
      <c r="AC387"/>
      <c r="AG387"/>
      <c r="AK387"/>
    </row>
    <row r="388" spans="1:37" ht="15" customHeight="1" x14ac:dyDescent="0.25">
      <c r="A388" s="115" t="s">
        <v>1100</v>
      </c>
      <c r="B388" s="112" t="s">
        <v>688</v>
      </c>
      <c r="C388" s="101">
        <v>51863</v>
      </c>
      <c r="D388" s="102" t="s">
        <v>1277</v>
      </c>
      <c r="E388" s="103" t="s">
        <v>46</v>
      </c>
      <c r="F388" s="103" t="s">
        <v>412</v>
      </c>
      <c r="G388" s="103" t="s">
        <v>425</v>
      </c>
      <c r="H388" s="103" t="s">
        <v>423</v>
      </c>
      <c r="I388" s="104">
        <v>43099</v>
      </c>
      <c r="J388" s="104">
        <v>43099</v>
      </c>
      <c r="K388" s="105">
        <v>48312.02</v>
      </c>
      <c r="M388"/>
      <c r="N388" s="95"/>
      <c r="O388" s="95"/>
      <c r="Q388"/>
      <c r="AC388"/>
      <c r="AG388"/>
      <c r="AK388"/>
    </row>
    <row r="389" spans="1:37" ht="15" customHeight="1" x14ac:dyDescent="0.25">
      <c r="A389" s="115" t="s">
        <v>1100</v>
      </c>
      <c r="B389" s="112" t="s">
        <v>688</v>
      </c>
      <c r="C389" s="101">
        <v>51862</v>
      </c>
      <c r="D389" s="102" t="s">
        <v>1278</v>
      </c>
      <c r="E389" s="103" t="s">
        <v>46</v>
      </c>
      <c r="F389" s="103" t="s">
        <v>412</v>
      </c>
      <c r="G389" s="103" t="s">
        <v>425</v>
      </c>
      <c r="H389" s="103" t="s">
        <v>423</v>
      </c>
      <c r="I389" s="104">
        <v>42338</v>
      </c>
      <c r="J389" s="104">
        <v>42338</v>
      </c>
      <c r="K389" s="105">
        <v>33339.96</v>
      </c>
      <c r="M389"/>
      <c r="N389" s="95"/>
      <c r="O389" s="95"/>
      <c r="Q389"/>
      <c r="AC389"/>
      <c r="AG389"/>
      <c r="AK389"/>
    </row>
    <row r="390" spans="1:37" ht="15" customHeight="1" x14ac:dyDescent="0.25">
      <c r="A390" s="115" t="s">
        <v>1100</v>
      </c>
      <c r="B390" s="112" t="s">
        <v>688</v>
      </c>
      <c r="C390" s="101">
        <v>51861</v>
      </c>
      <c r="D390" s="102" t="s">
        <v>1279</v>
      </c>
      <c r="E390" s="103" t="s">
        <v>46</v>
      </c>
      <c r="F390" s="103" t="s">
        <v>412</v>
      </c>
      <c r="G390" s="103" t="s">
        <v>427</v>
      </c>
      <c r="H390" s="103" t="s">
        <v>423</v>
      </c>
      <c r="I390" s="104">
        <v>41973</v>
      </c>
      <c r="J390" s="104">
        <v>41973</v>
      </c>
      <c r="K390" s="105">
        <v>193920.05</v>
      </c>
      <c r="M390"/>
      <c r="N390" s="95"/>
      <c r="O390" s="95"/>
      <c r="Q390"/>
      <c r="AC390"/>
      <c r="AG390"/>
      <c r="AK390"/>
    </row>
    <row r="391" spans="1:37" ht="15" customHeight="1" x14ac:dyDescent="0.25">
      <c r="A391" s="115" t="s">
        <v>1100</v>
      </c>
      <c r="B391" s="112" t="s">
        <v>688</v>
      </c>
      <c r="C391" s="101">
        <v>51424</v>
      </c>
      <c r="D391" s="102" t="s">
        <v>1280</v>
      </c>
      <c r="E391" s="103" t="s">
        <v>46</v>
      </c>
      <c r="F391" s="103" t="s">
        <v>412</v>
      </c>
      <c r="G391" s="103" t="s">
        <v>413</v>
      </c>
      <c r="H391" s="103" t="s">
        <v>414</v>
      </c>
      <c r="I391" s="104">
        <v>43101</v>
      </c>
      <c r="J391" s="104">
        <v>43101</v>
      </c>
      <c r="K391" s="105">
        <v>57800.02</v>
      </c>
      <c r="M391"/>
      <c r="N391" s="95"/>
      <c r="O391" s="95"/>
      <c r="Q391"/>
      <c r="AC391"/>
      <c r="AG391"/>
      <c r="AK391"/>
    </row>
    <row r="392" spans="1:37" ht="15" customHeight="1" x14ac:dyDescent="0.25">
      <c r="A392" s="115" t="s">
        <v>1100</v>
      </c>
      <c r="B392" s="112" t="s">
        <v>688</v>
      </c>
      <c r="C392" s="101">
        <v>51423</v>
      </c>
      <c r="D392" s="102" t="s">
        <v>1281</v>
      </c>
      <c r="E392" s="103" t="s">
        <v>46</v>
      </c>
      <c r="F392" s="103" t="s">
        <v>412</v>
      </c>
      <c r="G392" s="103" t="s">
        <v>413</v>
      </c>
      <c r="H392" s="103" t="s">
        <v>414</v>
      </c>
      <c r="I392" s="104">
        <v>42736</v>
      </c>
      <c r="J392" s="104">
        <v>42736</v>
      </c>
      <c r="K392" s="105">
        <v>33197.99</v>
      </c>
      <c r="M392"/>
      <c r="N392" s="95"/>
      <c r="O392" s="95"/>
      <c r="Q392"/>
      <c r="AC392"/>
      <c r="AG392"/>
      <c r="AK392"/>
    </row>
    <row r="393" spans="1:37" ht="15" customHeight="1" x14ac:dyDescent="0.25">
      <c r="A393" s="115" t="s">
        <v>1100</v>
      </c>
      <c r="B393" s="112" t="s">
        <v>688</v>
      </c>
      <c r="C393" s="101">
        <v>51422</v>
      </c>
      <c r="D393" s="102" t="s">
        <v>1282</v>
      </c>
      <c r="E393" s="103" t="s">
        <v>46</v>
      </c>
      <c r="F393" s="103" t="s">
        <v>412</v>
      </c>
      <c r="G393" s="103"/>
      <c r="H393" s="103" t="s">
        <v>414</v>
      </c>
      <c r="I393" s="104">
        <v>42016</v>
      </c>
      <c r="J393" s="104">
        <v>42016</v>
      </c>
      <c r="K393" s="105">
        <v>29999.03</v>
      </c>
      <c r="M393"/>
      <c r="N393" s="95"/>
      <c r="O393" s="95"/>
      <c r="Q393"/>
      <c r="AC393"/>
      <c r="AG393"/>
      <c r="AK393"/>
    </row>
    <row r="394" spans="1:37" ht="15" customHeight="1" x14ac:dyDescent="0.25">
      <c r="A394" s="115" t="s">
        <v>1342</v>
      </c>
      <c r="B394" s="112" t="s">
        <v>1139</v>
      </c>
      <c r="C394" s="101">
        <v>64729</v>
      </c>
      <c r="D394" s="102" t="s">
        <v>1343</v>
      </c>
      <c r="E394" s="103" t="s">
        <v>46</v>
      </c>
      <c r="F394" s="103" t="s">
        <v>412</v>
      </c>
      <c r="G394" s="103"/>
      <c r="H394" s="103" t="s">
        <v>481</v>
      </c>
      <c r="I394" s="104">
        <v>45230</v>
      </c>
      <c r="J394" s="104">
        <v>45203</v>
      </c>
      <c r="K394" s="105">
        <v>3450</v>
      </c>
      <c r="M394"/>
      <c r="N394" s="95"/>
      <c r="O394" s="95"/>
      <c r="Q394"/>
      <c r="AC394"/>
      <c r="AG394"/>
      <c r="AK394"/>
    </row>
    <row r="395" spans="1:37" ht="15" customHeight="1" x14ac:dyDescent="0.25">
      <c r="A395" s="115" t="s">
        <v>1342</v>
      </c>
      <c r="B395" s="112" t="s">
        <v>1139</v>
      </c>
      <c r="C395" s="101">
        <v>64730</v>
      </c>
      <c r="D395" s="102" t="s">
        <v>1344</v>
      </c>
      <c r="E395" s="103" t="s">
        <v>46</v>
      </c>
      <c r="F395" s="103" t="s">
        <v>397</v>
      </c>
      <c r="G395" s="103"/>
      <c r="H395" s="103" t="s">
        <v>437</v>
      </c>
      <c r="I395" s="104">
        <v>45260</v>
      </c>
      <c r="J395" s="104"/>
      <c r="K395" s="105">
        <v>52800</v>
      </c>
      <c r="M395"/>
      <c r="N395" s="95"/>
      <c r="O395" s="95"/>
      <c r="Q395"/>
      <c r="AC395"/>
      <c r="AG395"/>
      <c r="AK395"/>
    </row>
    <row r="396" spans="1:37" ht="15" customHeight="1" x14ac:dyDescent="0.25">
      <c r="A396" s="115" t="s">
        <v>1342</v>
      </c>
      <c r="B396" s="112" t="s">
        <v>1139</v>
      </c>
      <c r="C396" s="101">
        <v>65387</v>
      </c>
      <c r="D396" s="102" t="s">
        <v>1345</v>
      </c>
      <c r="E396" s="103" t="s">
        <v>484</v>
      </c>
      <c r="F396" s="103" t="s">
        <v>401</v>
      </c>
      <c r="G396" s="103"/>
      <c r="H396" s="103" t="s">
        <v>437</v>
      </c>
      <c r="I396" s="104">
        <v>45412</v>
      </c>
      <c r="J396" s="104"/>
      <c r="K396" s="105">
        <v>18193.14</v>
      </c>
      <c r="M396"/>
      <c r="N396" s="95"/>
      <c r="O396" s="95"/>
      <c r="Q396"/>
      <c r="AC396"/>
      <c r="AG396"/>
      <c r="AK396"/>
    </row>
    <row r="397" spans="1:37" ht="15" customHeight="1" x14ac:dyDescent="0.25">
      <c r="A397" s="115" t="s">
        <v>1342</v>
      </c>
      <c r="B397" s="112" t="s">
        <v>1139</v>
      </c>
      <c r="C397" s="101">
        <v>64760</v>
      </c>
      <c r="D397" s="102" t="s">
        <v>1346</v>
      </c>
      <c r="E397" s="103" t="s">
        <v>46</v>
      </c>
      <c r="F397" s="103" t="s">
        <v>446</v>
      </c>
      <c r="G397" s="103"/>
      <c r="H397" s="103" t="s">
        <v>437</v>
      </c>
      <c r="I397" s="104">
        <v>45322</v>
      </c>
      <c r="J397" s="104"/>
      <c r="K397" s="105">
        <v>0</v>
      </c>
      <c r="M397"/>
      <c r="N397" s="95"/>
      <c r="O397" s="95"/>
      <c r="Q397"/>
      <c r="AC397"/>
      <c r="AG397"/>
      <c r="AK397"/>
    </row>
    <row r="398" spans="1:37" ht="15" customHeight="1" x14ac:dyDescent="0.25">
      <c r="A398" s="115" t="s">
        <v>1376</v>
      </c>
      <c r="B398" s="112" t="s">
        <v>549</v>
      </c>
      <c r="C398" s="101">
        <v>53398</v>
      </c>
      <c r="D398" s="102" t="s">
        <v>1411</v>
      </c>
      <c r="E398" s="103" t="s">
        <v>46</v>
      </c>
      <c r="F398" s="103" t="s">
        <v>412</v>
      </c>
      <c r="G398" s="103" t="s">
        <v>427</v>
      </c>
      <c r="H398" s="103" t="s">
        <v>423</v>
      </c>
      <c r="I398" s="104">
        <v>42944</v>
      </c>
      <c r="J398" s="104">
        <v>42944</v>
      </c>
      <c r="K398" s="105">
        <v>76364.05</v>
      </c>
      <c r="M398"/>
      <c r="N398" s="95"/>
      <c r="O398" s="95"/>
      <c r="Q398"/>
      <c r="AC398"/>
      <c r="AG398"/>
      <c r="AK398"/>
    </row>
    <row r="399" spans="1:37" ht="15" customHeight="1" x14ac:dyDescent="0.25">
      <c r="A399" s="115" t="s">
        <v>1376</v>
      </c>
      <c r="B399" s="112" t="s">
        <v>549</v>
      </c>
      <c r="C399" s="101">
        <v>52346</v>
      </c>
      <c r="D399" s="102" t="s">
        <v>1412</v>
      </c>
      <c r="E399" s="103" t="s">
        <v>46</v>
      </c>
      <c r="F399" s="103" t="s">
        <v>412</v>
      </c>
      <c r="G399" s="103"/>
      <c r="H399" s="103" t="s">
        <v>433</v>
      </c>
      <c r="I399" s="104">
        <v>43108</v>
      </c>
      <c r="J399" s="104">
        <v>43108</v>
      </c>
      <c r="K399" s="105">
        <v>6000</v>
      </c>
      <c r="M399"/>
      <c r="N399" s="95"/>
      <c r="O399" s="95"/>
      <c r="Q399"/>
      <c r="AC399"/>
      <c r="AG399"/>
      <c r="AK399"/>
    </row>
    <row r="400" spans="1:37" ht="15" customHeight="1" x14ac:dyDescent="0.25">
      <c r="A400" s="115" t="s">
        <v>1376</v>
      </c>
      <c r="B400" s="112" t="s">
        <v>549</v>
      </c>
      <c r="C400" s="101">
        <v>53408</v>
      </c>
      <c r="D400" s="102" t="s">
        <v>1413</v>
      </c>
      <c r="E400" s="103" t="s">
        <v>46</v>
      </c>
      <c r="F400" s="103" t="s">
        <v>412</v>
      </c>
      <c r="G400" s="103" t="s">
        <v>425</v>
      </c>
      <c r="H400" s="103" t="s">
        <v>423</v>
      </c>
      <c r="I400" s="104">
        <v>42948</v>
      </c>
      <c r="J400" s="104">
        <v>42948</v>
      </c>
      <c r="K400" s="105">
        <v>295200.09000000003</v>
      </c>
      <c r="M400"/>
      <c r="N400" s="95"/>
      <c r="O400" s="95"/>
      <c r="Q400"/>
      <c r="AC400"/>
      <c r="AG400"/>
      <c r="AK400"/>
    </row>
    <row r="401" spans="1:37" ht="15" customHeight="1" x14ac:dyDescent="0.25">
      <c r="A401" s="115" t="s">
        <v>1376</v>
      </c>
      <c r="B401" s="112" t="s">
        <v>549</v>
      </c>
      <c r="C401" s="101">
        <v>52231</v>
      </c>
      <c r="D401" s="102" t="s">
        <v>1414</v>
      </c>
      <c r="E401" s="103" t="s">
        <v>46</v>
      </c>
      <c r="F401" s="103" t="s">
        <v>412</v>
      </c>
      <c r="G401" s="103" t="s">
        <v>425</v>
      </c>
      <c r="H401" s="103" t="s">
        <v>423</v>
      </c>
      <c r="I401" s="104">
        <v>43106</v>
      </c>
      <c r="J401" s="104">
        <v>43106</v>
      </c>
      <c r="K401" s="105">
        <v>181560.04</v>
      </c>
      <c r="M401"/>
      <c r="N401" s="95"/>
      <c r="O401" s="95"/>
      <c r="Q401"/>
      <c r="AC401"/>
      <c r="AG401"/>
      <c r="AK401"/>
    </row>
    <row r="402" spans="1:37" ht="15" customHeight="1" x14ac:dyDescent="0.25">
      <c r="A402" s="115" t="s">
        <v>1376</v>
      </c>
      <c r="B402" s="112" t="s">
        <v>549</v>
      </c>
      <c r="C402" s="101">
        <v>58497</v>
      </c>
      <c r="D402" s="102" t="s">
        <v>1415</v>
      </c>
      <c r="E402" s="103" t="s">
        <v>46</v>
      </c>
      <c r="F402" s="103" t="s">
        <v>412</v>
      </c>
      <c r="G402" s="103"/>
      <c r="H402" s="103" t="s">
        <v>437</v>
      </c>
      <c r="I402" s="104">
        <v>43907</v>
      </c>
      <c r="J402" s="104">
        <v>43907</v>
      </c>
      <c r="K402" s="105">
        <v>28080.01</v>
      </c>
      <c r="M402"/>
      <c r="N402" s="95"/>
      <c r="O402" s="95"/>
      <c r="Q402"/>
      <c r="AC402"/>
      <c r="AG402"/>
      <c r="AK402"/>
    </row>
    <row r="403" spans="1:37" ht="15" customHeight="1" x14ac:dyDescent="0.25">
      <c r="A403" s="115" t="s">
        <v>1376</v>
      </c>
      <c r="B403" s="112" t="s">
        <v>549</v>
      </c>
      <c r="C403" s="101">
        <v>58496</v>
      </c>
      <c r="D403" s="102" t="s">
        <v>1416</v>
      </c>
      <c r="E403" s="103" t="s">
        <v>46</v>
      </c>
      <c r="F403" s="103" t="s">
        <v>412</v>
      </c>
      <c r="G403" s="103"/>
      <c r="H403" s="103" t="s">
        <v>437</v>
      </c>
      <c r="I403" s="104">
        <v>43907</v>
      </c>
      <c r="J403" s="104">
        <v>43907</v>
      </c>
      <c r="K403" s="105">
        <v>185175.53</v>
      </c>
      <c r="M403"/>
      <c r="N403" s="95"/>
      <c r="O403" s="95"/>
      <c r="Q403"/>
      <c r="AC403"/>
      <c r="AG403"/>
      <c r="AK403"/>
    </row>
    <row r="404" spans="1:37" ht="15" customHeight="1" x14ac:dyDescent="0.25">
      <c r="A404" s="115" t="s">
        <v>1376</v>
      </c>
      <c r="B404" s="112" t="s">
        <v>549</v>
      </c>
      <c r="C404" s="101">
        <v>65389</v>
      </c>
      <c r="D404" s="102" t="s">
        <v>1417</v>
      </c>
      <c r="E404" s="103" t="s">
        <v>46</v>
      </c>
      <c r="F404" s="103" t="s">
        <v>401</v>
      </c>
      <c r="G404" s="103"/>
      <c r="H404" s="103" t="s">
        <v>437</v>
      </c>
      <c r="I404" s="104">
        <v>45471</v>
      </c>
      <c r="J404" s="104"/>
      <c r="K404" s="105">
        <v>2865324</v>
      </c>
      <c r="M404"/>
      <c r="N404" s="95"/>
      <c r="O404" s="95"/>
      <c r="Q404"/>
      <c r="AC404"/>
      <c r="AG404"/>
      <c r="AK404"/>
    </row>
    <row r="405" spans="1:37" ht="15" customHeight="1" x14ac:dyDescent="0.25">
      <c r="A405" s="115" t="s">
        <v>1376</v>
      </c>
      <c r="B405" s="112" t="s">
        <v>549</v>
      </c>
      <c r="C405" s="101">
        <v>52750</v>
      </c>
      <c r="D405" s="102" t="s">
        <v>1418</v>
      </c>
      <c r="E405" s="103" t="s">
        <v>46</v>
      </c>
      <c r="F405" s="103" t="s">
        <v>412</v>
      </c>
      <c r="G405" s="103" t="s">
        <v>425</v>
      </c>
      <c r="H405" s="103" t="s">
        <v>423</v>
      </c>
      <c r="I405" s="104">
        <v>43131</v>
      </c>
      <c r="J405" s="104">
        <v>43131</v>
      </c>
      <c r="K405" s="105">
        <v>34625.040000000001</v>
      </c>
      <c r="M405"/>
      <c r="N405" s="95"/>
      <c r="O405" s="95"/>
      <c r="Q405"/>
      <c r="AC405"/>
      <c r="AG405"/>
      <c r="AK405"/>
    </row>
    <row r="406" spans="1:37" ht="15" customHeight="1" x14ac:dyDescent="0.25">
      <c r="A406" s="115" t="s">
        <v>1376</v>
      </c>
      <c r="B406" s="112" t="s">
        <v>549</v>
      </c>
      <c r="C406" s="101">
        <v>64882</v>
      </c>
      <c r="D406" s="102" t="s">
        <v>1419</v>
      </c>
      <c r="E406" s="103" t="s">
        <v>46</v>
      </c>
      <c r="F406" s="103" t="s">
        <v>412</v>
      </c>
      <c r="G406" s="103"/>
      <c r="H406" s="103" t="s">
        <v>437</v>
      </c>
      <c r="I406" s="104">
        <v>45199</v>
      </c>
      <c r="J406" s="104">
        <v>45195</v>
      </c>
      <c r="K406" s="105">
        <v>257206.39999999999</v>
      </c>
      <c r="M406"/>
      <c r="N406" s="95"/>
      <c r="O406" s="95"/>
      <c r="Q406"/>
      <c r="AC406"/>
      <c r="AG406"/>
      <c r="AK406"/>
    </row>
    <row r="407" spans="1:37" ht="15" customHeight="1" x14ac:dyDescent="0.25">
      <c r="A407" s="115" t="s">
        <v>1376</v>
      </c>
      <c r="B407" s="112" t="s">
        <v>549</v>
      </c>
      <c r="C407" s="101">
        <v>60684</v>
      </c>
      <c r="D407" s="102" t="s">
        <v>1420</v>
      </c>
      <c r="E407" s="103" t="s">
        <v>46</v>
      </c>
      <c r="F407" s="103" t="s">
        <v>397</v>
      </c>
      <c r="G407" s="103" t="s">
        <v>422</v>
      </c>
      <c r="H407" s="103" t="s">
        <v>423</v>
      </c>
      <c r="I407" s="104">
        <v>44742</v>
      </c>
      <c r="J407" s="104"/>
      <c r="K407" s="105">
        <v>941975.97</v>
      </c>
      <c r="M407"/>
      <c r="N407" s="95"/>
      <c r="O407" s="95"/>
      <c r="Q407"/>
      <c r="AC407"/>
      <c r="AG407"/>
      <c r="AK407"/>
    </row>
    <row r="408" spans="1:37" ht="15" customHeight="1" x14ac:dyDescent="0.25">
      <c r="A408" s="115" t="s">
        <v>1376</v>
      </c>
      <c r="B408" s="112" t="s">
        <v>549</v>
      </c>
      <c r="C408" s="101">
        <v>58289</v>
      </c>
      <c r="D408" s="102" t="s">
        <v>1420</v>
      </c>
      <c r="E408" s="103" t="s">
        <v>46</v>
      </c>
      <c r="F408" s="103" t="s">
        <v>397</v>
      </c>
      <c r="G408" s="103" t="s">
        <v>425</v>
      </c>
      <c r="H408" s="103" t="s">
        <v>423</v>
      </c>
      <c r="I408" s="104"/>
      <c r="J408" s="104"/>
      <c r="K408" s="105">
        <v>0</v>
      </c>
      <c r="M408"/>
      <c r="N408" s="95"/>
      <c r="O408" s="95"/>
      <c r="Q408"/>
      <c r="AC408"/>
      <c r="AG408"/>
      <c r="AK408"/>
    </row>
    <row r="409" spans="1:37" ht="15" customHeight="1" x14ac:dyDescent="0.25">
      <c r="A409" s="115" t="s">
        <v>1376</v>
      </c>
      <c r="B409" s="112" t="s">
        <v>549</v>
      </c>
      <c r="C409" s="101">
        <v>58587</v>
      </c>
      <c r="D409" s="102" t="s">
        <v>1421</v>
      </c>
      <c r="E409" s="103" t="s">
        <v>46</v>
      </c>
      <c r="F409" s="103" t="s">
        <v>412</v>
      </c>
      <c r="G409" s="103"/>
      <c r="H409" s="103" t="s">
        <v>437</v>
      </c>
      <c r="I409" s="104">
        <v>43930</v>
      </c>
      <c r="J409" s="104">
        <v>43930</v>
      </c>
      <c r="K409" s="105">
        <v>3642001.92</v>
      </c>
      <c r="M409"/>
      <c r="N409" s="95"/>
      <c r="O409" s="95"/>
      <c r="Q409"/>
      <c r="AC409"/>
      <c r="AG409"/>
      <c r="AK409"/>
    </row>
    <row r="410" spans="1:37" ht="15" customHeight="1" x14ac:dyDescent="0.25">
      <c r="A410" s="115" t="s">
        <v>1376</v>
      </c>
      <c r="B410" s="112" t="s">
        <v>549</v>
      </c>
      <c r="C410" s="101">
        <v>59523</v>
      </c>
      <c r="D410" s="102" t="s">
        <v>1421</v>
      </c>
      <c r="E410" s="103" t="s">
        <v>46</v>
      </c>
      <c r="F410" s="103" t="s">
        <v>397</v>
      </c>
      <c r="G410" s="103"/>
      <c r="H410" s="103" t="s">
        <v>437</v>
      </c>
      <c r="I410" s="104"/>
      <c r="J410" s="104"/>
      <c r="K410" s="105">
        <v>0</v>
      </c>
      <c r="M410"/>
      <c r="N410" s="95"/>
      <c r="O410" s="95"/>
      <c r="Q410"/>
      <c r="AC410"/>
      <c r="AG410"/>
      <c r="AK410"/>
    </row>
    <row r="411" spans="1:37" ht="15" customHeight="1" x14ac:dyDescent="0.25">
      <c r="A411" s="115" t="s">
        <v>1376</v>
      </c>
      <c r="B411" s="112" t="s">
        <v>549</v>
      </c>
      <c r="C411" s="101">
        <v>63607</v>
      </c>
      <c r="D411" s="102" t="s">
        <v>1422</v>
      </c>
      <c r="E411" s="103" t="s">
        <v>46</v>
      </c>
      <c r="F411" s="103" t="s">
        <v>412</v>
      </c>
      <c r="G411" s="103"/>
      <c r="H411" s="103" t="s">
        <v>437</v>
      </c>
      <c r="I411" s="104">
        <v>44945</v>
      </c>
      <c r="J411" s="104">
        <v>44946</v>
      </c>
      <c r="K411" s="105">
        <v>150567.22</v>
      </c>
      <c r="M411"/>
      <c r="N411" s="95"/>
      <c r="O411" s="95"/>
      <c r="Q411"/>
      <c r="AC411"/>
      <c r="AG411"/>
      <c r="AK411"/>
    </row>
    <row r="412" spans="1:37" ht="15" customHeight="1" x14ac:dyDescent="0.25">
      <c r="A412" s="115" t="s">
        <v>1376</v>
      </c>
      <c r="B412" s="112" t="s">
        <v>549</v>
      </c>
      <c r="C412" s="101">
        <v>65625</v>
      </c>
      <c r="D412" s="102" t="s">
        <v>1423</v>
      </c>
      <c r="E412" s="103" t="s">
        <v>46</v>
      </c>
      <c r="F412" s="103" t="s">
        <v>400</v>
      </c>
      <c r="G412" s="103"/>
      <c r="H412" s="103" t="s">
        <v>437</v>
      </c>
      <c r="I412" s="104"/>
      <c r="J412" s="104"/>
      <c r="K412" s="105">
        <v>277099.13</v>
      </c>
      <c r="M412"/>
      <c r="N412" s="95"/>
      <c r="O412" s="95"/>
      <c r="Q412"/>
      <c r="AC412"/>
      <c r="AG412"/>
      <c r="AK412"/>
    </row>
    <row r="413" spans="1:37" ht="15" customHeight="1" x14ac:dyDescent="0.25">
      <c r="A413" s="115" t="s">
        <v>1376</v>
      </c>
      <c r="B413" s="112" t="s">
        <v>549</v>
      </c>
      <c r="C413" s="101">
        <v>63581</v>
      </c>
      <c r="D413" s="102" t="s">
        <v>1424</v>
      </c>
      <c r="E413" s="103" t="s">
        <v>46</v>
      </c>
      <c r="F413" s="103" t="s">
        <v>412</v>
      </c>
      <c r="G413" s="103"/>
      <c r="H413" s="103" t="s">
        <v>437</v>
      </c>
      <c r="I413" s="104">
        <v>45107</v>
      </c>
      <c r="J413" s="104">
        <v>45091</v>
      </c>
      <c r="K413" s="105">
        <v>3028364.65</v>
      </c>
      <c r="M413"/>
      <c r="N413" s="95"/>
      <c r="O413" s="95"/>
      <c r="Q413"/>
      <c r="AC413"/>
      <c r="AG413"/>
      <c r="AK413"/>
    </row>
    <row r="414" spans="1:37" ht="15" customHeight="1" x14ac:dyDescent="0.25">
      <c r="A414" s="115" t="s">
        <v>1376</v>
      </c>
      <c r="B414" s="112" t="s">
        <v>549</v>
      </c>
      <c r="C414" s="101">
        <v>63425</v>
      </c>
      <c r="D414" s="102" t="s">
        <v>1425</v>
      </c>
      <c r="E414" s="103" t="s">
        <v>46</v>
      </c>
      <c r="F414" s="103" t="s">
        <v>412</v>
      </c>
      <c r="G414" s="103"/>
      <c r="H414" s="103" t="s">
        <v>437</v>
      </c>
      <c r="I414" s="104">
        <v>44926</v>
      </c>
      <c r="J414" s="104">
        <v>44901</v>
      </c>
      <c r="K414" s="105">
        <v>2851612.17</v>
      </c>
      <c r="M414"/>
      <c r="N414" s="95"/>
      <c r="O414" s="95"/>
      <c r="Q414"/>
      <c r="AC414"/>
      <c r="AG414"/>
      <c r="AK414"/>
    </row>
    <row r="415" spans="1:37" ht="15" customHeight="1" x14ac:dyDescent="0.25">
      <c r="A415" s="115" t="s">
        <v>1376</v>
      </c>
      <c r="B415" s="112" t="s">
        <v>549</v>
      </c>
      <c r="C415" s="101">
        <v>65392</v>
      </c>
      <c r="D415" s="102" t="s">
        <v>1426</v>
      </c>
      <c r="E415" s="103" t="s">
        <v>46</v>
      </c>
      <c r="F415" s="103" t="s">
        <v>412</v>
      </c>
      <c r="G415" s="103"/>
      <c r="H415" s="103" t="s">
        <v>437</v>
      </c>
      <c r="I415" s="104">
        <v>45443</v>
      </c>
      <c r="J415" s="104">
        <v>45363</v>
      </c>
      <c r="K415" s="105">
        <v>3595338.85</v>
      </c>
      <c r="M415"/>
      <c r="N415" s="95"/>
      <c r="O415" s="95"/>
      <c r="Q415"/>
      <c r="AC415"/>
      <c r="AG415"/>
      <c r="AK415"/>
    </row>
    <row r="416" spans="1:37" ht="15" customHeight="1" x14ac:dyDescent="0.25">
      <c r="A416" s="115" t="s">
        <v>1376</v>
      </c>
      <c r="B416" s="112" t="s">
        <v>549</v>
      </c>
      <c r="C416" s="101">
        <v>65385</v>
      </c>
      <c r="D416" s="102" t="s">
        <v>1427</v>
      </c>
      <c r="E416" s="103" t="s">
        <v>46</v>
      </c>
      <c r="F416" s="103" t="s">
        <v>412</v>
      </c>
      <c r="G416" s="103"/>
      <c r="H416" s="103" t="s">
        <v>437</v>
      </c>
      <c r="I416" s="104">
        <v>45322</v>
      </c>
      <c r="J416" s="104">
        <v>45292</v>
      </c>
      <c r="K416" s="105">
        <v>288846.69</v>
      </c>
      <c r="M416"/>
      <c r="N416" s="95"/>
      <c r="O416" s="95"/>
      <c r="Q416"/>
      <c r="AC416"/>
      <c r="AG416"/>
      <c r="AK416"/>
    </row>
    <row r="417" spans="1:37" ht="15" customHeight="1" x14ac:dyDescent="0.25">
      <c r="A417" s="115" t="s">
        <v>1376</v>
      </c>
      <c r="B417" s="112" t="s">
        <v>549</v>
      </c>
      <c r="C417" s="101">
        <v>64870</v>
      </c>
      <c r="D417" s="102" t="s">
        <v>1428</v>
      </c>
      <c r="E417" s="103" t="s">
        <v>46</v>
      </c>
      <c r="F417" s="103" t="s">
        <v>412</v>
      </c>
      <c r="G417" s="103"/>
      <c r="H417" s="103" t="s">
        <v>437</v>
      </c>
      <c r="I417" s="104">
        <v>45107</v>
      </c>
      <c r="J417" s="104">
        <v>45091</v>
      </c>
      <c r="K417" s="105">
        <v>3147716.92</v>
      </c>
      <c r="M417"/>
      <c r="N417" s="95"/>
      <c r="O417" s="95"/>
      <c r="Q417"/>
      <c r="AC417"/>
      <c r="AG417"/>
      <c r="AK417"/>
    </row>
    <row r="418" spans="1:37" ht="15" customHeight="1" x14ac:dyDescent="0.25">
      <c r="A418" s="115" t="s">
        <v>1376</v>
      </c>
      <c r="B418" s="112" t="s">
        <v>549</v>
      </c>
      <c r="C418" s="101">
        <v>52232</v>
      </c>
      <c r="D418" s="102" t="s">
        <v>1429</v>
      </c>
      <c r="E418" s="103" t="s">
        <v>46</v>
      </c>
      <c r="F418" s="103" t="s">
        <v>412</v>
      </c>
      <c r="G418" s="103" t="s">
        <v>427</v>
      </c>
      <c r="H418" s="103" t="s">
        <v>423</v>
      </c>
      <c r="I418" s="104">
        <v>43106</v>
      </c>
      <c r="J418" s="104">
        <v>43106</v>
      </c>
      <c r="K418" s="105">
        <v>60840.02</v>
      </c>
      <c r="M418"/>
      <c r="N418" s="95"/>
      <c r="O418" s="95"/>
      <c r="Q418"/>
      <c r="AC418"/>
      <c r="AG418"/>
      <c r="AK418"/>
    </row>
    <row r="419" spans="1:37" ht="15" customHeight="1" x14ac:dyDescent="0.25">
      <c r="A419" s="115" t="s">
        <v>1376</v>
      </c>
      <c r="B419" s="112" t="s">
        <v>549</v>
      </c>
      <c r="C419" s="101">
        <v>52233</v>
      </c>
      <c r="D419" s="102" t="s">
        <v>1430</v>
      </c>
      <c r="E419" s="103" t="s">
        <v>46</v>
      </c>
      <c r="F419" s="103" t="s">
        <v>412</v>
      </c>
      <c r="G419" s="103" t="s">
        <v>425</v>
      </c>
      <c r="H419" s="103" t="s">
        <v>423</v>
      </c>
      <c r="I419" s="104">
        <v>43111</v>
      </c>
      <c r="J419" s="104">
        <v>43111</v>
      </c>
      <c r="K419" s="105">
        <v>182350</v>
      </c>
      <c r="M419"/>
      <c r="N419" s="95"/>
      <c r="O419" s="95"/>
      <c r="Q419"/>
      <c r="AC419"/>
      <c r="AG419"/>
      <c r="AK419"/>
    </row>
    <row r="420" spans="1:37" ht="15" customHeight="1" x14ac:dyDescent="0.25">
      <c r="A420" s="115" t="s">
        <v>1376</v>
      </c>
      <c r="B420" s="112" t="s">
        <v>549</v>
      </c>
      <c r="C420" s="101">
        <v>56820</v>
      </c>
      <c r="D420" s="102" t="s">
        <v>1431</v>
      </c>
      <c r="E420" s="103" t="s">
        <v>46</v>
      </c>
      <c r="F420" s="103" t="s">
        <v>412</v>
      </c>
      <c r="G420" s="103" t="s">
        <v>425</v>
      </c>
      <c r="H420" s="103" t="s">
        <v>423</v>
      </c>
      <c r="I420" s="104">
        <v>43563</v>
      </c>
      <c r="J420" s="104">
        <v>43563</v>
      </c>
      <c r="K420" s="105">
        <v>181560.31</v>
      </c>
      <c r="M420"/>
      <c r="N420" s="95"/>
      <c r="O420" s="95"/>
      <c r="Q420"/>
      <c r="AC420"/>
      <c r="AG420"/>
      <c r="AK420"/>
    </row>
    <row r="421" spans="1:37" ht="15" customHeight="1" x14ac:dyDescent="0.25">
      <c r="A421" s="115" t="s">
        <v>1376</v>
      </c>
      <c r="B421" s="112" t="s">
        <v>549</v>
      </c>
      <c r="C421" s="101">
        <v>62908</v>
      </c>
      <c r="D421" s="102" t="s">
        <v>1432</v>
      </c>
      <c r="E421" s="103" t="s">
        <v>46</v>
      </c>
      <c r="F421" s="103" t="s">
        <v>397</v>
      </c>
      <c r="G421" s="103" t="s">
        <v>413</v>
      </c>
      <c r="H421" s="103" t="s">
        <v>414</v>
      </c>
      <c r="I421" s="104">
        <v>45169</v>
      </c>
      <c r="J421" s="104"/>
      <c r="K421" s="105">
        <v>191747.56</v>
      </c>
      <c r="M421"/>
      <c r="N421" s="95"/>
      <c r="O421" s="95"/>
      <c r="Q421"/>
      <c r="AC421"/>
      <c r="AG421"/>
      <c r="AK421"/>
    </row>
    <row r="422" spans="1:37" ht="15" customHeight="1" x14ac:dyDescent="0.25">
      <c r="A422" s="115" t="s">
        <v>1376</v>
      </c>
      <c r="B422" s="112" t="s">
        <v>549</v>
      </c>
      <c r="C422" s="101">
        <v>61415</v>
      </c>
      <c r="D422" s="102" t="s">
        <v>1433</v>
      </c>
      <c r="E422" s="103" t="s">
        <v>46</v>
      </c>
      <c r="F422" s="103" t="s">
        <v>412</v>
      </c>
      <c r="G422" s="103" t="s">
        <v>413</v>
      </c>
      <c r="H422" s="103" t="s">
        <v>414</v>
      </c>
      <c r="I422" s="104">
        <v>44771</v>
      </c>
      <c r="J422" s="104">
        <v>44782</v>
      </c>
      <c r="K422" s="105">
        <v>182616.72</v>
      </c>
      <c r="M422"/>
      <c r="N422" s="95"/>
      <c r="O422" s="95"/>
      <c r="Q422"/>
      <c r="AC422"/>
      <c r="AG422"/>
      <c r="AK422"/>
    </row>
    <row r="423" spans="1:37" ht="15" customHeight="1" x14ac:dyDescent="0.25">
      <c r="A423" s="115" t="s">
        <v>1376</v>
      </c>
      <c r="B423" s="112" t="s">
        <v>549</v>
      </c>
      <c r="C423" s="101">
        <v>59702</v>
      </c>
      <c r="D423" s="102" t="s">
        <v>1434</v>
      </c>
      <c r="E423" s="103" t="s">
        <v>46</v>
      </c>
      <c r="F423" s="103" t="s">
        <v>412</v>
      </c>
      <c r="G423" s="103" t="s">
        <v>413</v>
      </c>
      <c r="H423" s="103" t="s">
        <v>414</v>
      </c>
      <c r="I423" s="104">
        <v>44408</v>
      </c>
      <c r="J423" s="104">
        <v>44417</v>
      </c>
      <c r="K423" s="105">
        <v>182630.75</v>
      </c>
      <c r="M423"/>
      <c r="N423" s="95"/>
      <c r="O423" s="95"/>
      <c r="Q423"/>
      <c r="AC423"/>
      <c r="AG423"/>
      <c r="AK423"/>
    </row>
    <row r="424" spans="1:37" ht="15" customHeight="1" x14ac:dyDescent="0.25">
      <c r="A424" s="115" t="s">
        <v>1376</v>
      </c>
      <c r="B424" s="112" t="s">
        <v>549</v>
      </c>
      <c r="C424" s="101">
        <v>58902</v>
      </c>
      <c r="D424" s="102" t="s">
        <v>1435</v>
      </c>
      <c r="E424" s="103" t="s">
        <v>46</v>
      </c>
      <c r="F424" s="103" t="s">
        <v>412</v>
      </c>
      <c r="G424" s="103" t="s">
        <v>413</v>
      </c>
      <c r="H424" s="103" t="s">
        <v>414</v>
      </c>
      <c r="I424" s="104">
        <v>44043</v>
      </c>
      <c r="J424" s="104">
        <v>44018</v>
      </c>
      <c r="K424" s="105">
        <v>150890.85</v>
      </c>
      <c r="M424"/>
      <c r="N424" s="95"/>
      <c r="O424" s="95"/>
      <c r="Q424"/>
      <c r="AC424"/>
      <c r="AG424"/>
      <c r="AK424"/>
    </row>
    <row r="425" spans="1:37" ht="15" customHeight="1" x14ac:dyDescent="0.25">
      <c r="A425" s="115" t="s">
        <v>1376</v>
      </c>
      <c r="B425" s="112" t="s">
        <v>549</v>
      </c>
      <c r="C425" s="101">
        <v>57873</v>
      </c>
      <c r="D425" s="102" t="s">
        <v>1436</v>
      </c>
      <c r="E425" s="103" t="s">
        <v>46</v>
      </c>
      <c r="F425" s="103" t="s">
        <v>412</v>
      </c>
      <c r="G425" s="103" t="s">
        <v>413</v>
      </c>
      <c r="H425" s="103" t="s">
        <v>414</v>
      </c>
      <c r="I425" s="104">
        <v>43775</v>
      </c>
      <c r="J425" s="104">
        <v>43775</v>
      </c>
      <c r="K425" s="105">
        <v>150890.93</v>
      </c>
      <c r="M425"/>
      <c r="N425" s="95"/>
      <c r="O425" s="95"/>
      <c r="Q425"/>
      <c r="AC425"/>
      <c r="AG425"/>
      <c r="AK425"/>
    </row>
    <row r="426" spans="1:37" ht="15" customHeight="1" x14ac:dyDescent="0.25">
      <c r="A426" s="115" t="s">
        <v>1376</v>
      </c>
      <c r="B426" s="112" t="s">
        <v>549</v>
      </c>
      <c r="C426" s="101">
        <v>51527</v>
      </c>
      <c r="D426" s="102" t="s">
        <v>1437</v>
      </c>
      <c r="E426" s="103" t="s">
        <v>46</v>
      </c>
      <c r="F426" s="103" t="s">
        <v>412</v>
      </c>
      <c r="G426" s="103" t="s">
        <v>413</v>
      </c>
      <c r="H426" s="103" t="s">
        <v>414</v>
      </c>
      <c r="I426" s="104">
        <v>43106</v>
      </c>
      <c r="J426" s="104">
        <v>43106</v>
      </c>
      <c r="K426" s="105">
        <v>1133680.3500000001</v>
      </c>
      <c r="M426"/>
      <c r="N426" s="95"/>
      <c r="O426" s="95"/>
      <c r="Q426"/>
      <c r="AC426"/>
      <c r="AG426"/>
      <c r="AK426"/>
    </row>
    <row r="427" spans="1:37" ht="15" customHeight="1" x14ac:dyDescent="0.25">
      <c r="A427" s="115" t="s">
        <v>1376</v>
      </c>
      <c r="B427" s="112" t="s">
        <v>549</v>
      </c>
      <c r="C427" s="101">
        <v>57214</v>
      </c>
      <c r="D427" s="102" t="s">
        <v>1438</v>
      </c>
      <c r="E427" s="103" t="s">
        <v>46</v>
      </c>
      <c r="F427" s="103" t="s">
        <v>397</v>
      </c>
      <c r="G427" s="103" t="s">
        <v>427</v>
      </c>
      <c r="H427" s="103" t="s">
        <v>437</v>
      </c>
      <c r="I427" s="104">
        <v>43708</v>
      </c>
      <c r="J427" s="104"/>
      <c r="K427" s="105">
        <v>14400</v>
      </c>
      <c r="M427"/>
      <c r="N427" s="95"/>
      <c r="O427" s="95"/>
      <c r="Q427"/>
      <c r="AC427"/>
      <c r="AG427"/>
      <c r="AK427"/>
    </row>
    <row r="428" spans="1:37" ht="15" customHeight="1" x14ac:dyDescent="0.25">
      <c r="A428" s="115" t="s">
        <v>1376</v>
      </c>
      <c r="B428" s="112" t="s">
        <v>549</v>
      </c>
      <c r="C428" s="101">
        <v>57755</v>
      </c>
      <c r="D428" s="102" t="s">
        <v>1439</v>
      </c>
      <c r="E428" s="103" t="s">
        <v>46</v>
      </c>
      <c r="F428" s="103" t="s">
        <v>412</v>
      </c>
      <c r="G428" s="103"/>
      <c r="H428" s="103" t="s">
        <v>437</v>
      </c>
      <c r="I428" s="104">
        <v>43826</v>
      </c>
      <c r="J428" s="104">
        <v>43802</v>
      </c>
      <c r="K428" s="105">
        <v>139080.18</v>
      </c>
      <c r="M428"/>
      <c r="N428" s="95"/>
      <c r="O428" s="95"/>
      <c r="Q428"/>
      <c r="AC428"/>
      <c r="AG428"/>
      <c r="AK428"/>
    </row>
    <row r="429" spans="1:37" ht="15" customHeight="1" x14ac:dyDescent="0.25">
      <c r="A429" s="115" t="s">
        <v>1376</v>
      </c>
      <c r="B429" s="112" t="s">
        <v>549</v>
      </c>
      <c r="C429" s="101">
        <v>57130</v>
      </c>
      <c r="D429" s="102" t="s">
        <v>1440</v>
      </c>
      <c r="E429" s="103" t="s">
        <v>46</v>
      </c>
      <c r="F429" s="103" t="s">
        <v>412</v>
      </c>
      <c r="G429" s="103"/>
      <c r="H429" s="103" t="s">
        <v>437</v>
      </c>
      <c r="I429" s="104">
        <v>43623</v>
      </c>
      <c r="J429" s="104">
        <v>43628</v>
      </c>
      <c r="K429" s="105">
        <v>16000</v>
      </c>
      <c r="M429"/>
      <c r="N429" s="95"/>
      <c r="O429" s="95"/>
      <c r="Q429"/>
      <c r="AC429"/>
      <c r="AG429"/>
      <c r="AK429"/>
    </row>
    <row r="430" spans="1:37" ht="15" customHeight="1" x14ac:dyDescent="0.25">
      <c r="A430" s="115" t="s">
        <v>1376</v>
      </c>
      <c r="B430" s="112" t="s">
        <v>549</v>
      </c>
      <c r="C430" s="101">
        <v>57413</v>
      </c>
      <c r="D430" s="102" t="s">
        <v>1441</v>
      </c>
      <c r="E430" s="103" t="s">
        <v>46</v>
      </c>
      <c r="F430" s="103" t="s">
        <v>412</v>
      </c>
      <c r="G430" s="103"/>
      <c r="H430" s="103" t="s">
        <v>437</v>
      </c>
      <c r="I430" s="104">
        <v>43827</v>
      </c>
      <c r="J430" s="104">
        <v>43802</v>
      </c>
      <c r="K430" s="105">
        <v>18800.099999999999</v>
      </c>
      <c r="M430"/>
      <c r="N430" s="95"/>
      <c r="O430" s="95"/>
      <c r="Q430"/>
      <c r="AC430"/>
      <c r="AG430"/>
      <c r="AK430"/>
    </row>
    <row r="431" spans="1:37" ht="15" customHeight="1" x14ac:dyDescent="0.25">
      <c r="A431" s="115" t="s">
        <v>1376</v>
      </c>
      <c r="B431" s="112" t="s">
        <v>549</v>
      </c>
      <c r="C431" s="101">
        <v>57947</v>
      </c>
      <c r="D431" s="102" t="s">
        <v>1442</v>
      </c>
      <c r="E431" s="103" t="s">
        <v>46</v>
      </c>
      <c r="F431" s="103" t="s">
        <v>412</v>
      </c>
      <c r="G431" s="103"/>
      <c r="H431" s="103" t="s">
        <v>437</v>
      </c>
      <c r="I431" s="104">
        <v>43790</v>
      </c>
      <c r="J431" s="104">
        <v>43790</v>
      </c>
      <c r="K431" s="105">
        <v>54000.02</v>
      </c>
      <c r="M431"/>
      <c r="N431" s="95"/>
      <c r="O431" s="95"/>
      <c r="Q431"/>
      <c r="AC431"/>
      <c r="AG431"/>
      <c r="AK431"/>
    </row>
    <row r="432" spans="1:37" ht="15" customHeight="1" x14ac:dyDescent="0.25">
      <c r="A432" s="115" t="s">
        <v>1376</v>
      </c>
      <c r="B432" s="112" t="s">
        <v>549</v>
      </c>
      <c r="C432" s="101">
        <v>58269</v>
      </c>
      <c r="D432" s="102" t="s">
        <v>1443</v>
      </c>
      <c r="E432" s="103" t="s">
        <v>46</v>
      </c>
      <c r="F432" s="103" t="s">
        <v>412</v>
      </c>
      <c r="G432" s="103"/>
      <c r="H432" s="103" t="s">
        <v>437</v>
      </c>
      <c r="I432" s="104">
        <v>43859</v>
      </c>
      <c r="J432" s="104">
        <v>43859</v>
      </c>
      <c r="K432" s="105">
        <v>40000.519999999997</v>
      </c>
      <c r="M432"/>
      <c r="N432" s="95"/>
      <c r="O432" s="95"/>
      <c r="Q432"/>
      <c r="AC432"/>
      <c r="AG432"/>
      <c r="AK432"/>
    </row>
    <row r="433" spans="1:37" ht="15" customHeight="1" x14ac:dyDescent="0.25">
      <c r="A433" s="115" t="s">
        <v>1376</v>
      </c>
      <c r="B433" s="112" t="s">
        <v>549</v>
      </c>
      <c r="C433" s="101">
        <v>57764</v>
      </c>
      <c r="D433" s="102" t="s">
        <v>1444</v>
      </c>
      <c r="E433" s="103" t="s">
        <v>46</v>
      </c>
      <c r="F433" s="103" t="s">
        <v>397</v>
      </c>
      <c r="G433" s="103" t="s">
        <v>427</v>
      </c>
      <c r="H433" s="103" t="s">
        <v>437</v>
      </c>
      <c r="I433" s="104">
        <v>43753</v>
      </c>
      <c r="J433" s="104"/>
      <c r="K433" s="105">
        <v>20440.36</v>
      </c>
      <c r="M433"/>
      <c r="N433" s="95"/>
      <c r="O433" s="95"/>
      <c r="Q433"/>
      <c r="AC433"/>
      <c r="AG433"/>
      <c r="AK433"/>
    </row>
    <row r="434" spans="1:37" ht="15" customHeight="1" x14ac:dyDescent="0.25">
      <c r="A434" s="115" t="s">
        <v>1376</v>
      </c>
      <c r="B434" s="112" t="s">
        <v>549</v>
      </c>
      <c r="C434" s="101">
        <v>56847</v>
      </c>
      <c r="D434" s="102" t="s">
        <v>1445</v>
      </c>
      <c r="E434" s="103" t="s">
        <v>46</v>
      </c>
      <c r="F434" s="103" t="s">
        <v>412</v>
      </c>
      <c r="G434" s="103"/>
      <c r="H434" s="103" t="s">
        <v>437</v>
      </c>
      <c r="I434" s="104">
        <v>43565</v>
      </c>
      <c r="J434" s="104">
        <v>43565</v>
      </c>
      <c r="K434" s="105">
        <v>50908.4</v>
      </c>
      <c r="M434"/>
      <c r="N434" s="95"/>
      <c r="O434" s="95"/>
      <c r="Q434"/>
      <c r="AC434"/>
      <c r="AG434"/>
      <c r="AK434"/>
    </row>
    <row r="435" spans="1:37" ht="15" customHeight="1" x14ac:dyDescent="0.25">
      <c r="A435" s="115" t="s">
        <v>1376</v>
      </c>
      <c r="B435" s="112" t="s">
        <v>549</v>
      </c>
      <c r="C435" s="101">
        <v>57766</v>
      </c>
      <c r="D435" s="102" t="s">
        <v>1446</v>
      </c>
      <c r="E435" s="103" t="s">
        <v>46</v>
      </c>
      <c r="F435" s="103" t="s">
        <v>397</v>
      </c>
      <c r="G435" s="103" t="s">
        <v>427</v>
      </c>
      <c r="H435" s="103" t="s">
        <v>437</v>
      </c>
      <c r="I435" s="104">
        <v>43753</v>
      </c>
      <c r="J435" s="104"/>
      <c r="K435" s="105">
        <v>114507.05</v>
      </c>
      <c r="M435"/>
      <c r="N435" s="95"/>
      <c r="O435" s="95"/>
      <c r="Q435"/>
      <c r="AC435"/>
      <c r="AG435"/>
      <c r="AK435"/>
    </row>
    <row r="436" spans="1:37" ht="15" customHeight="1" x14ac:dyDescent="0.25">
      <c r="A436" s="115" t="s">
        <v>1376</v>
      </c>
      <c r="B436" s="112" t="s">
        <v>549</v>
      </c>
      <c r="C436" s="101">
        <v>57989</v>
      </c>
      <c r="D436" s="102" t="s">
        <v>1447</v>
      </c>
      <c r="E436" s="103" t="s">
        <v>46</v>
      </c>
      <c r="F436" s="103" t="s">
        <v>412</v>
      </c>
      <c r="G436" s="103"/>
      <c r="H436" s="103" t="s">
        <v>437</v>
      </c>
      <c r="I436" s="104">
        <v>43798</v>
      </c>
      <c r="J436" s="104">
        <v>43798</v>
      </c>
      <c r="K436" s="105">
        <v>68850.03</v>
      </c>
      <c r="M436"/>
      <c r="N436" s="95"/>
      <c r="O436" s="95"/>
      <c r="Q436"/>
      <c r="AC436"/>
      <c r="AG436"/>
      <c r="AK436"/>
    </row>
    <row r="437" spans="1:37" ht="15" customHeight="1" x14ac:dyDescent="0.25">
      <c r="A437" s="115" t="s">
        <v>1376</v>
      </c>
      <c r="B437" s="112" t="s">
        <v>549</v>
      </c>
      <c r="C437" s="101">
        <v>57737</v>
      </c>
      <c r="D437" s="102" t="s">
        <v>1448</v>
      </c>
      <c r="E437" s="103" t="s">
        <v>46</v>
      </c>
      <c r="F437" s="103" t="s">
        <v>412</v>
      </c>
      <c r="G437" s="103"/>
      <c r="H437" s="103" t="s">
        <v>437</v>
      </c>
      <c r="I437" s="104">
        <v>43753</v>
      </c>
      <c r="J437" s="104">
        <v>43753</v>
      </c>
      <c r="K437" s="105">
        <v>236115.1</v>
      </c>
      <c r="M437"/>
      <c r="N437" s="95"/>
      <c r="O437" s="95"/>
      <c r="Q437"/>
      <c r="AC437"/>
      <c r="AG437"/>
      <c r="AK437"/>
    </row>
    <row r="438" spans="1:37" ht="15" customHeight="1" x14ac:dyDescent="0.25">
      <c r="A438" s="115" t="s">
        <v>1376</v>
      </c>
      <c r="B438" s="112" t="s">
        <v>549</v>
      </c>
      <c r="C438" s="101">
        <v>57494</v>
      </c>
      <c r="D438" s="102" t="s">
        <v>1449</v>
      </c>
      <c r="E438" s="103" t="s">
        <v>46</v>
      </c>
      <c r="F438" s="103" t="s">
        <v>412</v>
      </c>
      <c r="G438" s="103"/>
      <c r="H438" s="103" t="s">
        <v>437</v>
      </c>
      <c r="I438" s="104">
        <v>43697</v>
      </c>
      <c r="J438" s="104">
        <v>43697</v>
      </c>
      <c r="K438" s="105">
        <v>675000.3</v>
      </c>
      <c r="M438"/>
      <c r="N438" s="95"/>
      <c r="O438" s="95"/>
      <c r="Q438"/>
      <c r="AC438"/>
      <c r="AG438"/>
      <c r="AK438"/>
    </row>
    <row r="439" spans="1:37" ht="15" customHeight="1" x14ac:dyDescent="0.25">
      <c r="A439" s="115" t="s">
        <v>1376</v>
      </c>
      <c r="B439" s="112" t="s">
        <v>549</v>
      </c>
      <c r="C439" s="101">
        <v>56825</v>
      </c>
      <c r="D439" s="102" t="s">
        <v>1450</v>
      </c>
      <c r="E439" s="103" t="s">
        <v>46</v>
      </c>
      <c r="F439" s="103" t="s">
        <v>412</v>
      </c>
      <c r="G439" s="103"/>
      <c r="H439" s="103" t="s">
        <v>437</v>
      </c>
      <c r="I439" s="104">
        <v>43550</v>
      </c>
      <c r="J439" s="104">
        <v>43550</v>
      </c>
      <c r="K439" s="105">
        <v>104231.19</v>
      </c>
      <c r="M439"/>
      <c r="N439" s="95"/>
      <c r="O439" s="95"/>
      <c r="Q439"/>
      <c r="AC439"/>
      <c r="AG439"/>
      <c r="AK439"/>
    </row>
    <row r="440" spans="1:37" ht="15" customHeight="1" x14ac:dyDescent="0.25">
      <c r="A440" s="115" t="s">
        <v>1376</v>
      </c>
      <c r="B440" s="112" t="s">
        <v>549</v>
      </c>
      <c r="C440" s="101">
        <v>57169</v>
      </c>
      <c r="D440" s="102" t="s">
        <v>1451</v>
      </c>
      <c r="E440" s="103" t="s">
        <v>46</v>
      </c>
      <c r="F440" s="103" t="s">
        <v>412</v>
      </c>
      <c r="G440" s="103"/>
      <c r="H440" s="103" t="s">
        <v>437</v>
      </c>
      <c r="I440" s="104">
        <v>43627</v>
      </c>
      <c r="J440" s="104">
        <v>43640</v>
      </c>
      <c r="K440" s="105">
        <v>106684.5</v>
      </c>
      <c r="M440"/>
      <c r="N440" s="95"/>
      <c r="O440" s="95"/>
      <c r="Q440"/>
      <c r="AC440"/>
      <c r="AG440"/>
      <c r="AK440"/>
    </row>
    <row r="441" spans="1:37" ht="15" customHeight="1" x14ac:dyDescent="0.25">
      <c r="A441" s="115" t="s">
        <v>1376</v>
      </c>
      <c r="B441" s="112" t="s">
        <v>549</v>
      </c>
      <c r="C441" s="101">
        <v>57440</v>
      </c>
      <c r="D441" s="102" t="s">
        <v>1452</v>
      </c>
      <c r="E441" s="103" t="s">
        <v>46</v>
      </c>
      <c r="F441" s="103" t="s">
        <v>412</v>
      </c>
      <c r="G441" s="103"/>
      <c r="H441" s="103" t="s">
        <v>437</v>
      </c>
      <c r="I441" s="104">
        <v>43697</v>
      </c>
      <c r="J441" s="104">
        <v>43697</v>
      </c>
      <c r="K441" s="105">
        <v>116576.6</v>
      </c>
      <c r="M441"/>
      <c r="N441" s="95"/>
      <c r="O441" s="95"/>
      <c r="Q441"/>
      <c r="AC441"/>
      <c r="AG441"/>
      <c r="AK441"/>
    </row>
    <row r="442" spans="1:37" ht="15" customHeight="1" x14ac:dyDescent="0.25">
      <c r="A442" s="115" t="s">
        <v>1376</v>
      </c>
      <c r="B442" s="112" t="s">
        <v>549</v>
      </c>
      <c r="C442" s="101">
        <v>57305</v>
      </c>
      <c r="D442" s="102" t="s">
        <v>1452</v>
      </c>
      <c r="E442" s="103" t="s">
        <v>46</v>
      </c>
      <c r="F442" s="103" t="s">
        <v>412</v>
      </c>
      <c r="G442" s="103"/>
      <c r="H442" s="103" t="s">
        <v>437</v>
      </c>
      <c r="I442" s="104">
        <v>43670</v>
      </c>
      <c r="J442" s="104">
        <v>43670</v>
      </c>
      <c r="K442" s="105">
        <v>96681.64</v>
      </c>
      <c r="M442"/>
      <c r="N442" s="95"/>
      <c r="O442" s="95"/>
      <c r="Q442"/>
      <c r="AC442"/>
      <c r="AG442"/>
      <c r="AK442"/>
    </row>
    <row r="443" spans="1:37" ht="15" customHeight="1" x14ac:dyDescent="0.25">
      <c r="A443" s="115" t="s">
        <v>1376</v>
      </c>
      <c r="B443" s="112" t="s">
        <v>549</v>
      </c>
      <c r="C443" s="101">
        <v>56849</v>
      </c>
      <c r="D443" s="102" t="s">
        <v>1453</v>
      </c>
      <c r="E443" s="103" t="s">
        <v>46</v>
      </c>
      <c r="F443" s="103" t="s">
        <v>412</v>
      </c>
      <c r="G443" s="103"/>
      <c r="H443" s="103" t="s">
        <v>437</v>
      </c>
      <c r="I443" s="104">
        <v>43565</v>
      </c>
      <c r="J443" s="104">
        <v>43565</v>
      </c>
      <c r="K443" s="105">
        <v>13500.01</v>
      </c>
      <c r="M443"/>
      <c r="N443" s="95"/>
      <c r="O443" s="95"/>
      <c r="Q443"/>
      <c r="AC443"/>
      <c r="AG443"/>
      <c r="AK443"/>
    </row>
    <row r="444" spans="1:37" ht="15" customHeight="1" x14ac:dyDescent="0.25">
      <c r="A444" s="115" t="s">
        <v>1376</v>
      </c>
      <c r="B444" s="112" t="s">
        <v>549</v>
      </c>
      <c r="C444" s="101">
        <v>56840</v>
      </c>
      <c r="D444" s="102" t="s">
        <v>1454</v>
      </c>
      <c r="E444" s="103" t="s">
        <v>46</v>
      </c>
      <c r="F444" s="103" t="s">
        <v>412</v>
      </c>
      <c r="G444" s="103" t="s">
        <v>447</v>
      </c>
      <c r="H444" s="103" t="s">
        <v>437</v>
      </c>
      <c r="I444" s="104">
        <v>43559</v>
      </c>
      <c r="J444" s="104">
        <v>43559</v>
      </c>
      <c r="K444" s="105">
        <v>13500.01</v>
      </c>
      <c r="M444"/>
      <c r="N444" s="95"/>
      <c r="O444" s="95"/>
      <c r="Q444"/>
      <c r="AC444"/>
      <c r="AG444"/>
      <c r="AK444"/>
    </row>
    <row r="445" spans="1:37" ht="15" customHeight="1" x14ac:dyDescent="0.25">
      <c r="A445" s="115" t="s">
        <v>1376</v>
      </c>
      <c r="B445" s="112" t="s">
        <v>549</v>
      </c>
      <c r="C445" s="101">
        <v>58382</v>
      </c>
      <c r="D445" s="102" t="s">
        <v>1454</v>
      </c>
      <c r="E445" s="103" t="s">
        <v>46</v>
      </c>
      <c r="F445" s="103" t="s">
        <v>412</v>
      </c>
      <c r="G445" s="103"/>
      <c r="H445" s="103" t="s">
        <v>437</v>
      </c>
      <c r="I445" s="104">
        <v>43889</v>
      </c>
      <c r="J445" s="104">
        <v>43881</v>
      </c>
      <c r="K445" s="105">
        <v>185176.07</v>
      </c>
      <c r="M445"/>
      <c r="N445" s="95"/>
      <c r="O445" s="95"/>
      <c r="Q445"/>
      <c r="AC445"/>
      <c r="AG445"/>
      <c r="AK445"/>
    </row>
    <row r="446" spans="1:37" ht="15" customHeight="1" x14ac:dyDescent="0.25">
      <c r="A446" s="115" t="s">
        <v>1376</v>
      </c>
      <c r="B446" s="112" t="s">
        <v>549</v>
      </c>
      <c r="C446" s="101">
        <v>58075</v>
      </c>
      <c r="D446" s="102" t="s">
        <v>1455</v>
      </c>
      <c r="E446" s="103" t="s">
        <v>46</v>
      </c>
      <c r="F446" s="103" t="s">
        <v>412</v>
      </c>
      <c r="G446" s="103"/>
      <c r="H446" s="103" t="s">
        <v>437</v>
      </c>
      <c r="I446" s="104">
        <v>43815</v>
      </c>
      <c r="J446" s="104">
        <v>43815</v>
      </c>
      <c r="K446" s="105">
        <v>26365.51</v>
      </c>
      <c r="M446"/>
      <c r="N446" s="95"/>
      <c r="O446" s="95"/>
      <c r="Q446"/>
      <c r="AC446"/>
      <c r="AG446"/>
      <c r="AK446"/>
    </row>
    <row r="447" spans="1:37" ht="15" customHeight="1" x14ac:dyDescent="0.25">
      <c r="A447" s="115" t="s">
        <v>1376</v>
      </c>
      <c r="B447" s="112" t="s">
        <v>549</v>
      </c>
      <c r="C447" s="101">
        <v>57631</v>
      </c>
      <c r="D447" s="102" t="s">
        <v>1455</v>
      </c>
      <c r="E447" s="103" t="s">
        <v>46</v>
      </c>
      <c r="F447" s="103" t="s">
        <v>412</v>
      </c>
      <c r="G447" s="103"/>
      <c r="H447" s="103" t="s">
        <v>437</v>
      </c>
      <c r="I447" s="104">
        <v>43728</v>
      </c>
      <c r="J447" s="104">
        <v>43728</v>
      </c>
      <c r="K447" s="105">
        <v>35200.050000000003</v>
      </c>
      <c r="M447"/>
      <c r="N447" s="95"/>
      <c r="O447" s="95"/>
      <c r="Q447"/>
      <c r="AC447"/>
      <c r="AG447"/>
      <c r="AK447"/>
    </row>
    <row r="448" spans="1:37" ht="15" customHeight="1" x14ac:dyDescent="0.25">
      <c r="A448" s="115" t="s">
        <v>1376</v>
      </c>
      <c r="B448" s="112" t="s">
        <v>549</v>
      </c>
      <c r="C448" s="101">
        <v>57495</v>
      </c>
      <c r="D448" s="102" t="s">
        <v>1456</v>
      </c>
      <c r="E448" s="103" t="s">
        <v>46</v>
      </c>
      <c r="F448" s="103" t="s">
        <v>412</v>
      </c>
      <c r="G448" s="103"/>
      <c r="H448" s="103" t="s">
        <v>437</v>
      </c>
      <c r="I448" s="104">
        <v>43707</v>
      </c>
      <c r="J448" s="104">
        <v>43707</v>
      </c>
      <c r="K448" s="105">
        <v>135000.06</v>
      </c>
      <c r="M448"/>
      <c r="N448" s="95"/>
      <c r="O448" s="95"/>
      <c r="Q448"/>
      <c r="AC448"/>
      <c r="AG448"/>
      <c r="AK448"/>
    </row>
    <row r="449" spans="1:37" ht="15" customHeight="1" x14ac:dyDescent="0.25">
      <c r="A449" s="115" t="s">
        <v>1376</v>
      </c>
      <c r="B449" s="112" t="s">
        <v>549</v>
      </c>
      <c r="C449" s="101">
        <v>56848</v>
      </c>
      <c r="D449" s="102" t="s">
        <v>1457</v>
      </c>
      <c r="E449" s="103" t="s">
        <v>46</v>
      </c>
      <c r="F449" s="103" t="s">
        <v>412</v>
      </c>
      <c r="G449" s="103"/>
      <c r="H449" s="103" t="s">
        <v>437</v>
      </c>
      <c r="I449" s="104">
        <v>43565</v>
      </c>
      <c r="J449" s="104">
        <v>43565</v>
      </c>
      <c r="K449" s="105">
        <v>15452.12</v>
      </c>
      <c r="M449"/>
      <c r="N449" s="95"/>
      <c r="O449" s="95"/>
      <c r="Q449"/>
      <c r="AC449"/>
      <c r="AG449"/>
      <c r="AK449"/>
    </row>
    <row r="450" spans="1:37" ht="15" customHeight="1" x14ac:dyDescent="0.25">
      <c r="A450" s="115" t="s">
        <v>1376</v>
      </c>
      <c r="B450" s="112" t="s">
        <v>549</v>
      </c>
      <c r="C450" s="101">
        <v>57171</v>
      </c>
      <c r="D450" s="102" t="s">
        <v>1458</v>
      </c>
      <c r="E450" s="103" t="s">
        <v>46</v>
      </c>
      <c r="F450" s="103" t="s">
        <v>412</v>
      </c>
      <c r="G450" s="103"/>
      <c r="H450" s="103" t="s">
        <v>437</v>
      </c>
      <c r="I450" s="104">
        <v>43627</v>
      </c>
      <c r="J450" s="104">
        <v>43640</v>
      </c>
      <c r="K450" s="105">
        <v>19738.330000000002</v>
      </c>
      <c r="M450"/>
      <c r="N450" s="95"/>
      <c r="O450" s="95"/>
      <c r="Q450"/>
      <c r="AC450"/>
      <c r="AG450"/>
      <c r="AK450"/>
    </row>
    <row r="451" spans="1:37" ht="15" customHeight="1" x14ac:dyDescent="0.25">
      <c r="A451" s="115" t="s">
        <v>1376</v>
      </c>
      <c r="B451" s="112" t="s">
        <v>549</v>
      </c>
      <c r="C451" s="101">
        <v>56827</v>
      </c>
      <c r="D451" s="102" t="s">
        <v>1459</v>
      </c>
      <c r="E451" s="103" t="s">
        <v>46</v>
      </c>
      <c r="F451" s="103" t="s">
        <v>412</v>
      </c>
      <c r="G451" s="103"/>
      <c r="H451" s="103" t="s">
        <v>437</v>
      </c>
      <c r="I451" s="104">
        <v>43550</v>
      </c>
      <c r="J451" s="104">
        <v>43550</v>
      </c>
      <c r="K451" s="105">
        <v>15452.1</v>
      </c>
      <c r="M451"/>
      <c r="N451" s="95"/>
      <c r="O451" s="95"/>
      <c r="Q451"/>
      <c r="AC451"/>
      <c r="AG451"/>
      <c r="AK451"/>
    </row>
    <row r="452" spans="1:37" ht="15" customHeight="1" x14ac:dyDescent="0.25">
      <c r="A452" s="115" t="s">
        <v>1376</v>
      </c>
      <c r="B452" s="112" t="s">
        <v>549</v>
      </c>
      <c r="C452" s="101">
        <v>57116</v>
      </c>
      <c r="D452" s="102" t="s">
        <v>1460</v>
      </c>
      <c r="E452" s="103" t="s">
        <v>46</v>
      </c>
      <c r="F452" s="103" t="s">
        <v>412</v>
      </c>
      <c r="G452" s="103"/>
      <c r="H452" s="103" t="s">
        <v>437</v>
      </c>
      <c r="I452" s="104">
        <v>43607</v>
      </c>
      <c r="J452" s="104">
        <v>43607</v>
      </c>
      <c r="K452" s="105">
        <v>57014.95</v>
      </c>
      <c r="M452"/>
      <c r="N452" s="95"/>
      <c r="O452" s="95"/>
      <c r="Q452"/>
      <c r="AC452"/>
      <c r="AG452"/>
      <c r="AK452"/>
    </row>
    <row r="453" spans="1:37" ht="15" customHeight="1" x14ac:dyDescent="0.25">
      <c r="A453" s="115" t="s">
        <v>1376</v>
      </c>
      <c r="B453" s="112" t="s">
        <v>549</v>
      </c>
      <c r="C453" s="101">
        <v>57115</v>
      </c>
      <c r="D453" s="102" t="s">
        <v>1460</v>
      </c>
      <c r="E453" s="103" t="s">
        <v>46</v>
      </c>
      <c r="F453" s="103" t="s">
        <v>412</v>
      </c>
      <c r="G453" s="103"/>
      <c r="H453" s="103" t="s">
        <v>437</v>
      </c>
      <c r="I453" s="104">
        <v>43607</v>
      </c>
      <c r="J453" s="104">
        <v>43607</v>
      </c>
      <c r="K453" s="105">
        <v>19867.43</v>
      </c>
      <c r="M453"/>
      <c r="N453" s="95"/>
      <c r="O453" s="95"/>
      <c r="Q453"/>
      <c r="AC453"/>
      <c r="AG453"/>
      <c r="AK453"/>
    </row>
    <row r="454" spans="1:37" ht="15" customHeight="1" x14ac:dyDescent="0.25">
      <c r="A454" s="115" t="s">
        <v>1376</v>
      </c>
      <c r="B454" s="112" t="s">
        <v>549</v>
      </c>
      <c r="C454" s="101">
        <v>57441</v>
      </c>
      <c r="D454" s="102" t="s">
        <v>1461</v>
      </c>
      <c r="E454" s="103" t="s">
        <v>46</v>
      </c>
      <c r="F454" s="103" t="s">
        <v>412</v>
      </c>
      <c r="G454" s="103"/>
      <c r="H454" s="103" t="s">
        <v>437</v>
      </c>
      <c r="I454" s="104">
        <v>43697</v>
      </c>
      <c r="J454" s="104">
        <v>43697</v>
      </c>
      <c r="K454" s="105">
        <v>20173.07</v>
      </c>
      <c r="M454"/>
      <c r="N454" s="95"/>
      <c r="O454" s="95"/>
      <c r="Q454"/>
      <c r="AC454"/>
      <c r="AG454"/>
      <c r="AK454"/>
    </row>
    <row r="455" spans="1:37" ht="15" customHeight="1" x14ac:dyDescent="0.25">
      <c r="A455" s="115" t="s">
        <v>1376</v>
      </c>
      <c r="B455" s="112" t="s">
        <v>549</v>
      </c>
      <c r="C455" s="101">
        <v>56547</v>
      </c>
      <c r="D455" s="102" t="s">
        <v>1461</v>
      </c>
      <c r="E455" s="103" t="s">
        <v>46</v>
      </c>
      <c r="F455" s="103" t="s">
        <v>412</v>
      </c>
      <c r="G455" s="103"/>
      <c r="H455" s="103" t="s">
        <v>437</v>
      </c>
      <c r="I455" s="104">
        <v>43507</v>
      </c>
      <c r="J455" s="104">
        <v>43507</v>
      </c>
      <c r="K455" s="105">
        <v>23014.89</v>
      </c>
      <c r="M455"/>
      <c r="N455" s="95"/>
      <c r="O455" s="95"/>
      <c r="Q455"/>
      <c r="AC455"/>
      <c r="AG455"/>
      <c r="AK455"/>
    </row>
    <row r="456" spans="1:37" ht="15" customHeight="1" x14ac:dyDescent="0.25">
      <c r="A456" s="115" t="s">
        <v>1376</v>
      </c>
      <c r="B456" s="112" t="s">
        <v>549</v>
      </c>
      <c r="C456" s="101">
        <v>57306</v>
      </c>
      <c r="D456" s="102" t="s">
        <v>1461</v>
      </c>
      <c r="E456" s="103" t="s">
        <v>46</v>
      </c>
      <c r="F456" s="103" t="s">
        <v>412</v>
      </c>
      <c r="G456" s="103"/>
      <c r="H456" s="103" t="s">
        <v>437</v>
      </c>
      <c r="I456" s="104">
        <v>43670</v>
      </c>
      <c r="J456" s="104">
        <v>43670</v>
      </c>
      <c r="K456" s="105">
        <v>17992.810000000001</v>
      </c>
      <c r="M456"/>
      <c r="N456" s="95"/>
      <c r="O456" s="95"/>
      <c r="Q456"/>
      <c r="AC456"/>
      <c r="AG456"/>
      <c r="AK456"/>
    </row>
    <row r="457" spans="1:37" ht="15" customHeight="1" x14ac:dyDescent="0.25">
      <c r="A457" s="115" t="s">
        <v>1376</v>
      </c>
      <c r="B457" s="112" t="s">
        <v>549</v>
      </c>
      <c r="C457" s="101">
        <v>57045</v>
      </c>
      <c r="D457" s="102" t="s">
        <v>1461</v>
      </c>
      <c r="E457" s="103" t="s">
        <v>46</v>
      </c>
      <c r="F457" s="103" t="s">
        <v>412</v>
      </c>
      <c r="G457" s="103"/>
      <c r="H457" s="103" t="s">
        <v>437</v>
      </c>
      <c r="I457" s="104">
        <v>43607</v>
      </c>
      <c r="J457" s="104">
        <v>43607</v>
      </c>
      <c r="K457" s="105">
        <v>15452.11</v>
      </c>
      <c r="M457"/>
      <c r="N457" s="95"/>
      <c r="O457" s="95"/>
      <c r="Q457"/>
      <c r="AC457"/>
      <c r="AG457"/>
      <c r="AK457"/>
    </row>
    <row r="458" spans="1:37" ht="15" customHeight="1" x14ac:dyDescent="0.25">
      <c r="A458" s="115" t="s">
        <v>1376</v>
      </c>
      <c r="B458" s="112" t="s">
        <v>549</v>
      </c>
      <c r="C458" s="101">
        <v>57496</v>
      </c>
      <c r="D458" s="102" t="s">
        <v>1462</v>
      </c>
      <c r="E458" s="103" t="s">
        <v>46</v>
      </c>
      <c r="F458" s="103" t="s">
        <v>412</v>
      </c>
      <c r="G458" s="103"/>
      <c r="H458" s="103" t="s">
        <v>437</v>
      </c>
      <c r="I458" s="104">
        <v>43707</v>
      </c>
      <c r="J458" s="104">
        <v>43707</v>
      </c>
      <c r="K458" s="105">
        <v>135000.06</v>
      </c>
      <c r="M458"/>
      <c r="N458" s="95"/>
      <c r="O458" s="95"/>
      <c r="Q458"/>
      <c r="AC458"/>
      <c r="AG458"/>
      <c r="AK458"/>
    </row>
    <row r="459" spans="1:37" ht="15" customHeight="1" x14ac:dyDescent="0.25">
      <c r="A459" s="115" t="s">
        <v>1376</v>
      </c>
      <c r="B459" s="112" t="s">
        <v>549</v>
      </c>
      <c r="C459" s="101">
        <v>57443</v>
      </c>
      <c r="D459" s="102" t="s">
        <v>1463</v>
      </c>
      <c r="E459" s="103" t="s">
        <v>46</v>
      </c>
      <c r="F459" s="103" t="s">
        <v>412</v>
      </c>
      <c r="G459" s="103"/>
      <c r="H459" s="103" t="s">
        <v>437</v>
      </c>
      <c r="I459" s="104">
        <v>43697</v>
      </c>
      <c r="J459" s="104">
        <v>43697</v>
      </c>
      <c r="K459" s="105">
        <v>24340.51</v>
      </c>
      <c r="M459"/>
      <c r="N459" s="95"/>
      <c r="O459" s="95"/>
      <c r="Q459"/>
      <c r="AC459"/>
      <c r="AG459"/>
      <c r="AK459"/>
    </row>
    <row r="460" spans="1:37" ht="15" customHeight="1" x14ac:dyDescent="0.25">
      <c r="A460" s="115" t="s">
        <v>1376</v>
      </c>
      <c r="B460" s="112" t="s">
        <v>549</v>
      </c>
      <c r="C460" s="101">
        <v>57307</v>
      </c>
      <c r="D460" s="102" t="s">
        <v>1464</v>
      </c>
      <c r="E460" s="103" t="s">
        <v>46</v>
      </c>
      <c r="F460" s="103" t="s">
        <v>412</v>
      </c>
      <c r="G460" s="103"/>
      <c r="H460" s="103" t="s">
        <v>437</v>
      </c>
      <c r="I460" s="104">
        <v>43670</v>
      </c>
      <c r="J460" s="104">
        <v>43670</v>
      </c>
      <c r="K460" s="105">
        <v>3105</v>
      </c>
      <c r="M460"/>
      <c r="N460" s="95"/>
      <c r="O460" s="95"/>
      <c r="Q460"/>
      <c r="AC460"/>
      <c r="AG460"/>
      <c r="AK460"/>
    </row>
    <row r="461" spans="1:37" ht="15" customHeight="1" x14ac:dyDescent="0.25">
      <c r="A461" s="115" t="s">
        <v>1376</v>
      </c>
      <c r="B461" s="112" t="s">
        <v>549</v>
      </c>
      <c r="C461" s="101">
        <v>57630</v>
      </c>
      <c r="D461" s="102" t="s">
        <v>1465</v>
      </c>
      <c r="E461" s="103" t="s">
        <v>46</v>
      </c>
      <c r="F461" s="103" t="s">
        <v>412</v>
      </c>
      <c r="G461" s="103"/>
      <c r="H461" s="103" t="s">
        <v>437</v>
      </c>
      <c r="I461" s="104">
        <v>43728</v>
      </c>
      <c r="J461" s="104">
        <v>43728</v>
      </c>
      <c r="K461" s="105">
        <v>67800.02</v>
      </c>
      <c r="M461"/>
      <c r="N461" s="95"/>
      <c r="O461" s="95"/>
      <c r="Q461"/>
      <c r="AC461"/>
      <c r="AG461"/>
      <c r="AK461"/>
    </row>
    <row r="462" spans="1:37" ht="15" customHeight="1" x14ac:dyDescent="0.25">
      <c r="A462" s="115" t="s">
        <v>1376</v>
      </c>
      <c r="B462" s="112" t="s">
        <v>549</v>
      </c>
      <c r="C462" s="101">
        <v>56826</v>
      </c>
      <c r="D462" s="102" t="s">
        <v>1466</v>
      </c>
      <c r="E462" s="103" t="s">
        <v>46</v>
      </c>
      <c r="F462" s="103" t="s">
        <v>412</v>
      </c>
      <c r="G462" s="103"/>
      <c r="H462" s="103" t="s">
        <v>437</v>
      </c>
      <c r="I462" s="104">
        <v>43550</v>
      </c>
      <c r="J462" s="104">
        <v>43550</v>
      </c>
      <c r="K462" s="105">
        <v>72046.3</v>
      </c>
      <c r="M462"/>
      <c r="N462" s="95"/>
      <c r="O462" s="95"/>
      <c r="Q462"/>
      <c r="AC462"/>
      <c r="AG462"/>
      <c r="AK462"/>
    </row>
    <row r="463" spans="1:37" ht="15" customHeight="1" x14ac:dyDescent="0.25">
      <c r="A463" s="115" t="s">
        <v>1376</v>
      </c>
      <c r="B463" s="112" t="s">
        <v>549</v>
      </c>
      <c r="C463" s="101">
        <v>57044</v>
      </c>
      <c r="D463" s="102" t="s">
        <v>1467</v>
      </c>
      <c r="E463" s="103" t="s">
        <v>46</v>
      </c>
      <c r="F463" s="103" t="s">
        <v>412</v>
      </c>
      <c r="G463" s="103"/>
      <c r="H463" s="103" t="s">
        <v>437</v>
      </c>
      <c r="I463" s="104">
        <v>43607</v>
      </c>
      <c r="J463" s="104">
        <v>43607</v>
      </c>
      <c r="K463" s="105">
        <v>57014.58</v>
      </c>
      <c r="M463"/>
      <c r="N463" s="95"/>
      <c r="O463" s="95"/>
      <c r="Q463"/>
      <c r="AC463"/>
      <c r="AG463"/>
      <c r="AK463"/>
    </row>
    <row r="464" spans="1:37" ht="15" customHeight="1" x14ac:dyDescent="0.25">
      <c r="A464" s="115" t="s">
        <v>1376</v>
      </c>
      <c r="B464" s="112" t="s">
        <v>549</v>
      </c>
      <c r="C464" s="101">
        <v>56548</v>
      </c>
      <c r="D464" s="102" t="s">
        <v>1467</v>
      </c>
      <c r="E464" s="103" t="s">
        <v>46</v>
      </c>
      <c r="F464" s="103" t="s">
        <v>412</v>
      </c>
      <c r="G464" s="103"/>
      <c r="H464" s="103" t="s">
        <v>437</v>
      </c>
      <c r="I464" s="104">
        <v>43507</v>
      </c>
      <c r="J464" s="104">
        <v>43507</v>
      </c>
      <c r="K464" s="105">
        <v>25785.01</v>
      </c>
      <c r="M464"/>
      <c r="N464" s="95"/>
      <c r="O464" s="95"/>
      <c r="Q464"/>
      <c r="AC464"/>
      <c r="AG464"/>
      <c r="AK464"/>
    </row>
    <row r="465" spans="1:37" ht="15" customHeight="1" x14ac:dyDescent="0.25">
      <c r="A465" s="115" t="s">
        <v>1376</v>
      </c>
      <c r="B465" s="112" t="s">
        <v>549</v>
      </c>
      <c r="C465" s="101">
        <v>57170</v>
      </c>
      <c r="D465" s="102" t="s">
        <v>1468</v>
      </c>
      <c r="E465" s="103" t="s">
        <v>46</v>
      </c>
      <c r="F465" s="103" t="s">
        <v>412</v>
      </c>
      <c r="G465" s="103"/>
      <c r="H465" s="103" t="s">
        <v>437</v>
      </c>
      <c r="I465" s="104">
        <v>43627</v>
      </c>
      <c r="J465" s="104">
        <v>43640</v>
      </c>
      <c r="K465" s="105">
        <v>53445.599999999999</v>
      </c>
      <c r="M465"/>
      <c r="N465" s="95"/>
      <c r="O465" s="95"/>
      <c r="Q465"/>
      <c r="AC465"/>
      <c r="AG465"/>
      <c r="AK465"/>
    </row>
    <row r="466" spans="1:37" ht="15" customHeight="1" x14ac:dyDescent="0.25">
      <c r="A466" s="115" t="s">
        <v>1376</v>
      </c>
      <c r="B466" s="112" t="s">
        <v>549</v>
      </c>
      <c r="C466" s="101">
        <v>57765</v>
      </c>
      <c r="D466" s="102" t="s">
        <v>1469</v>
      </c>
      <c r="E466" s="103" t="s">
        <v>46</v>
      </c>
      <c r="F466" s="103" t="s">
        <v>397</v>
      </c>
      <c r="G466" s="103" t="s">
        <v>427</v>
      </c>
      <c r="H466" s="103" t="s">
        <v>437</v>
      </c>
      <c r="I466" s="104">
        <v>43753</v>
      </c>
      <c r="J466" s="104"/>
      <c r="K466" s="105">
        <v>21074.86</v>
      </c>
      <c r="M466"/>
      <c r="N466" s="95"/>
      <c r="O466" s="95"/>
      <c r="Q466"/>
      <c r="AC466"/>
      <c r="AG466"/>
      <c r="AK466"/>
    </row>
    <row r="467" spans="1:37" ht="15" customHeight="1" x14ac:dyDescent="0.25">
      <c r="A467" s="115" t="s">
        <v>1376</v>
      </c>
      <c r="B467" s="112" t="s">
        <v>549</v>
      </c>
      <c r="C467" s="101">
        <v>58074</v>
      </c>
      <c r="D467" s="102" t="s">
        <v>1470</v>
      </c>
      <c r="E467" s="103" t="s">
        <v>46</v>
      </c>
      <c r="F467" s="103" t="s">
        <v>397</v>
      </c>
      <c r="G467" s="103" t="s">
        <v>427</v>
      </c>
      <c r="H467" s="103" t="s">
        <v>437</v>
      </c>
      <c r="I467" s="104">
        <v>43815</v>
      </c>
      <c r="J467" s="104"/>
      <c r="K467" s="105">
        <v>104226.8</v>
      </c>
      <c r="M467"/>
      <c r="N467" s="95"/>
      <c r="O467" s="95"/>
      <c r="Q467"/>
      <c r="AC467"/>
      <c r="AG467"/>
      <c r="AK467"/>
    </row>
    <row r="468" spans="1:37" ht="15" customHeight="1" x14ac:dyDescent="0.25">
      <c r="A468" s="115" t="s">
        <v>1376</v>
      </c>
      <c r="B468" s="112" t="s">
        <v>549</v>
      </c>
      <c r="C468" s="101">
        <v>57043</v>
      </c>
      <c r="D468" s="102" t="s">
        <v>1470</v>
      </c>
      <c r="E468" s="103" t="s">
        <v>46</v>
      </c>
      <c r="F468" s="103" t="s">
        <v>412</v>
      </c>
      <c r="G468" s="103"/>
      <c r="H468" s="103" t="s">
        <v>437</v>
      </c>
      <c r="I468" s="104">
        <v>43607</v>
      </c>
      <c r="J468" s="104">
        <v>43607</v>
      </c>
      <c r="K468" s="105">
        <v>86670.04</v>
      </c>
      <c r="M468"/>
      <c r="N468" s="95"/>
      <c r="O468" s="95"/>
      <c r="Q468"/>
      <c r="AC468"/>
      <c r="AG468"/>
      <c r="AK468"/>
    </row>
    <row r="469" spans="1:37" ht="15" customHeight="1" x14ac:dyDescent="0.25">
      <c r="A469" s="115" t="s">
        <v>1376</v>
      </c>
      <c r="B469" s="112" t="s">
        <v>549</v>
      </c>
      <c r="C469" s="101">
        <v>58239</v>
      </c>
      <c r="D469" s="102" t="s">
        <v>1471</v>
      </c>
      <c r="E469" s="103" t="s">
        <v>46</v>
      </c>
      <c r="F469" s="103" t="s">
        <v>412</v>
      </c>
      <c r="G469" s="103"/>
      <c r="H469" s="103" t="s">
        <v>437</v>
      </c>
      <c r="I469" s="104">
        <v>43854</v>
      </c>
      <c r="J469" s="104">
        <v>43854</v>
      </c>
      <c r="K469" s="105">
        <v>185139.08</v>
      </c>
      <c r="M469"/>
      <c r="N469" s="95"/>
      <c r="O469" s="95"/>
      <c r="Q469"/>
      <c r="AC469"/>
      <c r="AG469"/>
      <c r="AK469"/>
    </row>
    <row r="470" spans="1:37" ht="15" customHeight="1" x14ac:dyDescent="0.25">
      <c r="A470" s="115" t="s">
        <v>1376</v>
      </c>
      <c r="B470" s="112" t="s">
        <v>549</v>
      </c>
      <c r="C470" s="101">
        <v>58007</v>
      </c>
      <c r="D470" s="102" t="s">
        <v>1472</v>
      </c>
      <c r="E470" s="103" t="s">
        <v>46</v>
      </c>
      <c r="F470" s="103" t="s">
        <v>412</v>
      </c>
      <c r="G470" s="103"/>
      <c r="H470" s="103" t="s">
        <v>437</v>
      </c>
      <c r="I470" s="104">
        <v>43803</v>
      </c>
      <c r="J470" s="104">
        <v>43803</v>
      </c>
      <c r="K470" s="105">
        <v>68850.03</v>
      </c>
      <c r="M470"/>
      <c r="N470" s="95"/>
      <c r="O470" s="95"/>
      <c r="Q470"/>
      <c r="AC470"/>
      <c r="AG470"/>
      <c r="AK470"/>
    </row>
    <row r="471" spans="1:37" ht="15" customHeight="1" x14ac:dyDescent="0.25">
      <c r="A471" s="115" t="s">
        <v>1376</v>
      </c>
      <c r="B471" s="112" t="s">
        <v>549</v>
      </c>
      <c r="C471" s="101">
        <v>52211</v>
      </c>
      <c r="D471" s="102" t="s">
        <v>1473</v>
      </c>
      <c r="E471" s="103" t="s">
        <v>46</v>
      </c>
      <c r="F471" s="103" t="s">
        <v>412</v>
      </c>
      <c r="G471" s="103"/>
      <c r="H471" s="103" t="s">
        <v>437</v>
      </c>
      <c r="I471" s="104">
        <v>43108</v>
      </c>
      <c r="J471" s="104">
        <v>43108</v>
      </c>
      <c r="K471" s="105">
        <v>351000.16</v>
      </c>
      <c r="M471"/>
      <c r="N471" s="95"/>
      <c r="O471" s="95"/>
      <c r="Q471"/>
      <c r="AC471"/>
      <c r="AG471"/>
      <c r="AK471"/>
    </row>
    <row r="472" spans="1:37" ht="15" customHeight="1" x14ac:dyDescent="0.25">
      <c r="A472" s="115" t="s">
        <v>1376</v>
      </c>
      <c r="B472" s="112" t="s">
        <v>549</v>
      </c>
      <c r="C472" s="101">
        <v>52213</v>
      </c>
      <c r="D472" s="102" t="s">
        <v>1474</v>
      </c>
      <c r="E472" s="103" t="s">
        <v>46</v>
      </c>
      <c r="F472" s="103" t="s">
        <v>412</v>
      </c>
      <c r="G472" s="103"/>
      <c r="H472" s="103" t="s">
        <v>437</v>
      </c>
      <c r="I472" s="104">
        <v>43410</v>
      </c>
      <c r="J472" s="104">
        <v>43410</v>
      </c>
      <c r="K472" s="105">
        <v>202500.09</v>
      </c>
      <c r="M472"/>
      <c r="N472" s="95"/>
      <c r="O472" s="95"/>
      <c r="Q472"/>
      <c r="AC472"/>
      <c r="AG472"/>
      <c r="AK472"/>
    </row>
    <row r="473" spans="1:37" ht="15" customHeight="1" x14ac:dyDescent="0.25">
      <c r="A473" s="115" t="s">
        <v>1376</v>
      </c>
      <c r="B473" s="112" t="s">
        <v>549</v>
      </c>
      <c r="C473" s="101">
        <v>52210</v>
      </c>
      <c r="D473" s="102" t="s">
        <v>1475</v>
      </c>
      <c r="E473" s="103" t="s">
        <v>46</v>
      </c>
      <c r="F473" s="103" t="s">
        <v>412</v>
      </c>
      <c r="G473" s="103"/>
      <c r="H473" s="103" t="s">
        <v>437</v>
      </c>
      <c r="I473" s="104">
        <v>43107</v>
      </c>
      <c r="J473" s="104">
        <v>43107</v>
      </c>
      <c r="K473" s="105">
        <v>194000.23</v>
      </c>
      <c r="M473"/>
      <c r="N473" s="95"/>
      <c r="O473" s="95"/>
      <c r="Q473"/>
      <c r="AC473"/>
      <c r="AG473"/>
      <c r="AK473"/>
    </row>
    <row r="474" spans="1:37" ht="15" customHeight="1" x14ac:dyDescent="0.25">
      <c r="A474" s="115" t="s">
        <v>1376</v>
      </c>
      <c r="B474" s="112" t="s">
        <v>549</v>
      </c>
      <c r="C474" s="101">
        <v>52212</v>
      </c>
      <c r="D474" s="102" t="s">
        <v>1476</v>
      </c>
      <c r="E474" s="103" t="s">
        <v>46</v>
      </c>
      <c r="F474" s="103" t="s">
        <v>412</v>
      </c>
      <c r="G474" s="103"/>
      <c r="H474" s="103" t="s">
        <v>437</v>
      </c>
      <c r="I474" s="104">
        <v>43109</v>
      </c>
      <c r="J474" s="104">
        <v>43109</v>
      </c>
      <c r="K474" s="105">
        <v>172800.08</v>
      </c>
      <c r="N474" s="95"/>
      <c r="O474" s="95"/>
      <c r="Q474"/>
      <c r="AC474"/>
      <c r="AG474"/>
      <c r="AK474"/>
    </row>
    <row r="475" spans="1:37" ht="15" customHeight="1" x14ac:dyDescent="0.25">
      <c r="A475" s="115" t="s">
        <v>1376</v>
      </c>
      <c r="B475" s="112" t="s">
        <v>549</v>
      </c>
      <c r="C475" s="101">
        <v>52214</v>
      </c>
      <c r="D475" s="102" t="s">
        <v>1477</v>
      </c>
      <c r="E475" s="103" t="s">
        <v>46</v>
      </c>
      <c r="F475" s="103" t="s">
        <v>412</v>
      </c>
      <c r="G475" s="103"/>
      <c r="H475" s="103" t="s">
        <v>437</v>
      </c>
      <c r="I475" s="104">
        <v>43445</v>
      </c>
      <c r="J475" s="104">
        <v>43445</v>
      </c>
      <c r="K475" s="105">
        <v>162000.07</v>
      </c>
      <c r="M475"/>
      <c r="N475" s="95"/>
      <c r="O475" s="95"/>
      <c r="Q475"/>
      <c r="AC475"/>
      <c r="AG475"/>
      <c r="AK475"/>
    </row>
    <row r="476" spans="1:37" ht="15" customHeight="1" x14ac:dyDescent="0.25">
      <c r="A476" s="115" t="s">
        <v>1376</v>
      </c>
      <c r="B476" s="112" t="s">
        <v>549</v>
      </c>
      <c r="C476" s="101">
        <v>52215</v>
      </c>
      <c r="D476" s="102" t="s">
        <v>1478</v>
      </c>
      <c r="E476" s="103" t="s">
        <v>46</v>
      </c>
      <c r="F476" s="103" t="s">
        <v>412</v>
      </c>
      <c r="G476" s="103"/>
      <c r="H476" s="103" t="s">
        <v>437</v>
      </c>
      <c r="I476" s="104">
        <v>43454</v>
      </c>
      <c r="J476" s="104">
        <v>43454</v>
      </c>
      <c r="K476" s="105">
        <v>162000.07</v>
      </c>
      <c r="M476"/>
      <c r="N476" s="95"/>
      <c r="O476" s="95"/>
      <c r="Q476"/>
      <c r="AC476"/>
      <c r="AG476"/>
      <c r="AK476"/>
    </row>
    <row r="477" spans="1:37" ht="15" customHeight="1" x14ac:dyDescent="0.25">
      <c r="A477" s="115" t="s">
        <v>1376</v>
      </c>
      <c r="B477" s="112" t="s">
        <v>549</v>
      </c>
      <c r="C477" s="101">
        <v>56846</v>
      </c>
      <c r="D477" s="102" t="s">
        <v>1479</v>
      </c>
      <c r="E477" s="103" t="s">
        <v>46</v>
      </c>
      <c r="F477" s="103" t="s">
        <v>412</v>
      </c>
      <c r="G477" s="103"/>
      <c r="H477" s="103" t="s">
        <v>437</v>
      </c>
      <c r="I477" s="104">
        <v>43565</v>
      </c>
      <c r="J477" s="104">
        <v>43565</v>
      </c>
      <c r="K477" s="105">
        <v>96087.69</v>
      </c>
      <c r="M477"/>
      <c r="N477" s="95"/>
      <c r="O477" s="95"/>
      <c r="Q477"/>
      <c r="AC477"/>
      <c r="AG477"/>
      <c r="AK477"/>
    </row>
    <row r="478" spans="1:37" ht="15" customHeight="1" x14ac:dyDescent="0.25">
      <c r="A478" s="115" t="s">
        <v>1376</v>
      </c>
      <c r="B478" s="112" t="s">
        <v>549</v>
      </c>
      <c r="C478" s="101">
        <v>56549</v>
      </c>
      <c r="D478" s="102" t="s">
        <v>1452</v>
      </c>
      <c r="E478" s="103" t="s">
        <v>46</v>
      </c>
      <c r="F478" s="103" t="s">
        <v>412</v>
      </c>
      <c r="G478" s="103"/>
      <c r="H478" s="103" t="s">
        <v>437</v>
      </c>
      <c r="I478" s="104">
        <v>43507</v>
      </c>
      <c r="J478" s="104">
        <v>43866</v>
      </c>
      <c r="K478" s="105">
        <v>108000.05</v>
      </c>
      <c r="M478"/>
      <c r="N478" s="95"/>
      <c r="O478" s="95"/>
      <c r="Q478"/>
      <c r="AC478"/>
      <c r="AG478"/>
      <c r="AK478"/>
    </row>
    <row r="479" spans="1:37" ht="15" customHeight="1" x14ac:dyDescent="0.25">
      <c r="A479" s="115" t="s">
        <v>1376</v>
      </c>
      <c r="B479" s="112" t="s">
        <v>549</v>
      </c>
      <c r="C479" s="101">
        <v>52209</v>
      </c>
      <c r="D479" s="102" t="s">
        <v>1480</v>
      </c>
      <c r="E479" s="103" t="s">
        <v>46</v>
      </c>
      <c r="F479" s="103" t="s">
        <v>412</v>
      </c>
      <c r="G479" s="103"/>
      <c r="H479" s="103" t="s">
        <v>437</v>
      </c>
      <c r="I479" s="104">
        <v>43252</v>
      </c>
      <c r="J479" s="104">
        <v>43192</v>
      </c>
      <c r="K479" s="105">
        <v>232400.13</v>
      </c>
      <c r="M479"/>
      <c r="N479" s="95"/>
      <c r="O479" s="95"/>
      <c r="Q479"/>
      <c r="AC479"/>
      <c r="AG479"/>
      <c r="AK479"/>
    </row>
    <row r="480" spans="1:37" ht="15" customHeight="1" x14ac:dyDescent="0.25">
      <c r="A480" s="115" t="s">
        <v>1376</v>
      </c>
      <c r="B480" s="112" t="s">
        <v>549</v>
      </c>
      <c r="C480" s="101">
        <v>57271</v>
      </c>
      <c r="D480" s="102" t="s">
        <v>1481</v>
      </c>
      <c r="E480" s="103" t="s">
        <v>46</v>
      </c>
      <c r="F480" s="103" t="s">
        <v>412</v>
      </c>
      <c r="G480" s="103"/>
      <c r="H480" s="103" t="s">
        <v>437</v>
      </c>
      <c r="I480" s="104">
        <v>43671</v>
      </c>
      <c r="J480" s="104">
        <v>43671</v>
      </c>
      <c r="K480" s="105">
        <v>11997.12</v>
      </c>
      <c r="M480"/>
      <c r="N480" s="95"/>
      <c r="O480" s="95"/>
      <c r="Q480"/>
      <c r="AC480"/>
      <c r="AG480"/>
      <c r="AK480"/>
    </row>
    <row r="481" spans="1:37" ht="15" customHeight="1" x14ac:dyDescent="0.25">
      <c r="A481" s="115" t="s">
        <v>1376</v>
      </c>
      <c r="B481" s="112" t="s">
        <v>549</v>
      </c>
      <c r="C481" s="101">
        <v>52979</v>
      </c>
      <c r="D481" s="102" t="s">
        <v>1482</v>
      </c>
      <c r="E481" s="103" t="s">
        <v>46</v>
      </c>
      <c r="F481" s="103" t="s">
        <v>412</v>
      </c>
      <c r="G481" s="103"/>
      <c r="H481" s="103" t="s">
        <v>437</v>
      </c>
      <c r="I481" s="104">
        <v>43473</v>
      </c>
      <c r="J481" s="104">
        <v>43473</v>
      </c>
      <c r="K481" s="105">
        <v>23400</v>
      </c>
      <c r="M481"/>
      <c r="N481" s="95"/>
      <c r="O481" s="95"/>
      <c r="Q481"/>
      <c r="AC481"/>
      <c r="AG481"/>
      <c r="AK481"/>
    </row>
    <row r="482" spans="1:37" ht="15" customHeight="1" x14ac:dyDescent="0.25">
      <c r="A482" s="115" t="s">
        <v>1376</v>
      </c>
      <c r="B482" s="112" t="s">
        <v>549</v>
      </c>
      <c r="C482" s="101">
        <v>52980</v>
      </c>
      <c r="D482" s="102" t="s">
        <v>1483</v>
      </c>
      <c r="E482" s="103" t="s">
        <v>46</v>
      </c>
      <c r="F482" s="103" t="s">
        <v>412</v>
      </c>
      <c r="G482" s="103"/>
      <c r="H482" s="103" t="s">
        <v>437</v>
      </c>
      <c r="I482" s="104">
        <v>43473</v>
      </c>
      <c r="J482" s="104">
        <v>43473</v>
      </c>
      <c r="K482" s="105">
        <v>5460</v>
      </c>
      <c r="M482"/>
      <c r="N482" s="95"/>
      <c r="O482" s="95"/>
      <c r="Q482"/>
      <c r="AC482"/>
      <c r="AG482"/>
      <c r="AK482"/>
    </row>
    <row r="483" spans="1:37" ht="15" customHeight="1" x14ac:dyDescent="0.25">
      <c r="A483" s="115" t="s">
        <v>1390</v>
      </c>
      <c r="B483" s="112" t="s">
        <v>611</v>
      </c>
      <c r="C483" s="101">
        <v>65505</v>
      </c>
      <c r="D483" s="102" t="s">
        <v>1484</v>
      </c>
      <c r="E483" s="103" t="s">
        <v>46</v>
      </c>
      <c r="F483" s="103" t="s">
        <v>440</v>
      </c>
      <c r="G483" s="103"/>
      <c r="H483" s="103" t="s">
        <v>437</v>
      </c>
      <c r="I483" s="104">
        <v>45412</v>
      </c>
      <c r="J483" s="104"/>
      <c r="K483" s="105">
        <v>576878.4</v>
      </c>
      <c r="M483"/>
      <c r="N483" s="95"/>
      <c r="O483" s="95"/>
      <c r="Q483"/>
      <c r="AC483"/>
      <c r="AG483"/>
      <c r="AK483"/>
    </row>
    <row r="484" spans="1:37" ht="15" customHeight="1" x14ac:dyDescent="0.25">
      <c r="A484" s="115" t="s">
        <v>1390</v>
      </c>
      <c r="B484" s="112" t="s">
        <v>611</v>
      </c>
      <c r="C484" s="101">
        <v>63967</v>
      </c>
      <c r="D484" s="102" t="s">
        <v>1485</v>
      </c>
      <c r="E484" s="103" t="s">
        <v>510</v>
      </c>
      <c r="F484" s="103" t="s">
        <v>397</v>
      </c>
      <c r="G484" s="103"/>
      <c r="H484" s="103" t="s">
        <v>437</v>
      </c>
      <c r="I484" s="104">
        <v>45169</v>
      </c>
      <c r="J484" s="104"/>
      <c r="K484" s="105">
        <v>233120</v>
      </c>
      <c r="M484"/>
      <c r="N484" s="95"/>
      <c r="O484" s="95"/>
      <c r="Q484"/>
      <c r="AC484"/>
      <c r="AG484"/>
      <c r="AK484"/>
    </row>
    <row r="485" spans="1:37" ht="15" customHeight="1" x14ac:dyDescent="0.25">
      <c r="A485" s="115" t="s">
        <v>1390</v>
      </c>
      <c r="B485" s="112" t="s">
        <v>611</v>
      </c>
      <c r="C485" s="101">
        <v>65584</v>
      </c>
      <c r="D485" s="102" t="s">
        <v>1486</v>
      </c>
      <c r="E485" s="103" t="s">
        <v>46</v>
      </c>
      <c r="F485" s="103" t="s">
        <v>397</v>
      </c>
      <c r="G485" s="103" t="s">
        <v>447</v>
      </c>
      <c r="H485" s="103" t="s">
        <v>437</v>
      </c>
      <c r="I485" s="104">
        <v>45444</v>
      </c>
      <c r="J485" s="104"/>
      <c r="K485" s="105">
        <v>0</v>
      </c>
      <c r="M485"/>
      <c r="N485" s="95"/>
      <c r="O485" s="95"/>
      <c r="Q485"/>
      <c r="AC485"/>
      <c r="AG485"/>
      <c r="AK485"/>
    </row>
    <row r="486" spans="1:37" ht="15" customHeight="1" x14ac:dyDescent="0.25">
      <c r="A486" s="115" t="s">
        <v>1490</v>
      </c>
      <c r="B486" s="112" t="s">
        <v>1543</v>
      </c>
      <c r="C486" s="101">
        <v>58731</v>
      </c>
      <c r="D486" s="102" t="s">
        <v>1545</v>
      </c>
      <c r="E486" s="103" t="s">
        <v>46</v>
      </c>
      <c r="F486" s="103" t="s">
        <v>412</v>
      </c>
      <c r="G486" s="103" t="s">
        <v>413</v>
      </c>
      <c r="H486" s="103" t="s">
        <v>414</v>
      </c>
      <c r="I486" s="104"/>
      <c r="J486" s="104">
        <v>44176</v>
      </c>
      <c r="K486" s="105">
        <v>204943</v>
      </c>
      <c r="M486"/>
      <c r="N486" s="95"/>
      <c r="O486" s="95"/>
      <c r="Q486"/>
      <c r="AC486"/>
      <c r="AG486"/>
      <c r="AK486"/>
    </row>
    <row r="487" spans="1:37" ht="15" customHeight="1" x14ac:dyDescent="0.25">
      <c r="A487" s="115" t="s">
        <v>1490</v>
      </c>
      <c r="B487" s="112" t="s">
        <v>1543</v>
      </c>
      <c r="C487" s="101">
        <v>57254</v>
      </c>
      <c r="D487" s="102" t="s">
        <v>1546</v>
      </c>
      <c r="E487" s="103" t="s">
        <v>46</v>
      </c>
      <c r="F487" s="103" t="s">
        <v>412</v>
      </c>
      <c r="G487" s="103" t="s">
        <v>413</v>
      </c>
      <c r="H487" s="103" t="s">
        <v>414</v>
      </c>
      <c r="I487" s="104">
        <v>43746</v>
      </c>
      <c r="J487" s="104">
        <v>43741</v>
      </c>
      <c r="K487" s="105">
        <v>213000.02</v>
      </c>
      <c r="M487"/>
      <c r="N487" s="95"/>
      <c r="O487" s="95"/>
      <c r="Q487"/>
      <c r="AC487"/>
      <c r="AG487"/>
      <c r="AK487"/>
    </row>
    <row r="488" spans="1:37" ht="15" customHeight="1" x14ac:dyDescent="0.25">
      <c r="A488" s="115" t="s">
        <v>1490</v>
      </c>
      <c r="B488" s="112" t="s">
        <v>1543</v>
      </c>
      <c r="C488" s="101">
        <v>50382</v>
      </c>
      <c r="D488" s="102" t="s">
        <v>1547</v>
      </c>
      <c r="E488" s="103" t="s">
        <v>46</v>
      </c>
      <c r="F488" s="103" t="s">
        <v>412</v>
      </c>
      <c r="G488" s="103" t="s">
        <v>413</v>
      </c>
      <c r="H488" s="103" t="s">
        <v>414</v>
      </c>
      <c r="I488" s="104">
        <v>43108</v>
      </c>
      <c r="J488" s="104">
        <v>43108</v>
      </c>
      <c r="K488" s="105">
        <v>260355.31</v>
      </c>
      <c r="M488"/>
      <c r="N488" s="95"/>
      <c r="O488" s="95"/>
      <c r="Q488"/>
      <c r="AC488"/>
      <c r="AG488"/>
      <c r="AK488"/>
    </row>
    <row r="489" spans="1:37" ht="15" customHeight="1" x14ac:dyDescent="0.25">
      <c r="A489" s="115" t="s">
        <v>1490</v>
      </c>
      <c r="B489" s="112" t="s">
        <v>1543</v>
      </c>
      <c r="C489" s="101">
        <v>50381</v>
      </c>
      <c r="D489" s="102" t="s">
        <v>1548</v>
      </c>
      <c r="E489" s="103" t="s">
        <v>46</v>
      </c>
      <c r="F489" s="103" t="s">
        <v>412</v>
      </c>
      <c r="G489" s="103" t="s">
        <v>413</v>
      </c>
      <c r="H489" s="103" t="s">
        <v>414</v>
      </c>
      <c r="I489" s="104">
        <v>42743</v>
      </c>
      <c r="J489" s="104">
        <v>42743</v>
      </c>
      <c r="K489" s="105">
        <v>241843.4</v>
      </c>
      <c r="M489"/>
      <c r="N489" s="95"/>
      <c r="O489" s="95"/>
      <c r="Q489"/>
      <c r="AC489"/>
      <c r="AG489"/>
      <c r="AK489"/>
    </row>
    <row r="490" spans="1:37" ht="15" customHeight="1" x14ac:dyDescent="0.25">
      <c r="A490" s="115" t="s">
        <v>1490</v>
      </c>
      <c r="B490" s="112" t="s">
        <v>1543</v>
      </c>
      <c r="C490" s="101">
        <v>50383</v>
      </c>
      <c r="D490" s="102" t="s">
        <v>1549</v>
      </c>
      <c r="E490" s="103" t="s">
        <v>46</v>
      </c>
      <c r="F490" s="103" t="s">
        <v>412</v>
      </c>
      <c r="G490" s="103" t="s">
        <v>413</v>
      </c>
      <c r="H490" s="103" t="s">
        <v>414</v>
      </c>
      <c r="I490" s="104">
        <v>42376</v>
      </c>
      <c r="J490" s="104">
        <v>42376</v>
      </c>
      <c r="K490" s="105">
        <v>240017.05</v>
      </c>
      <c r="M490"/>
      <c r="N490" s="95"/>
      <c r="O490" s="95"/>
      <c r="Q490"/>
      <c r="AC490"/>
      <c r="AG490"/>
      <c r="AK490"/>
    </row>
    <row r="491" spans="1:37" ht="15" customHeight="1" x14ac:dyDescent="0.25">
      <c r="A491" s="115" t="s">
        <v>1490</v>
      </c>
      <c r="B491" s="112" t="s">
        <v>1543</v>
      </c>
      <c r="C491" s="101">
        <v>50385</v>
      </c>
      <c r="D491" s="102" t="s">
        <v>1550</v>
      </c>
      <c r="E491" s="103" t="s">
        <v>46</v>
      </c>
      <c r="F491" s="103" t="s">
        <v>412</v>
      </c>
      <c r="G491" s="103" t="s">
        <v>413</v>
      </c>
      <c r="H491" s="103" t="s">
        <v>414</v>
      </c>
      <c r="I491" s="104">
        <v>42009</v>
      </c>
      <c r="J491" s="104">
        <v>42009</v>
      </c>
      <c r="K491" s="105">
        <v>176338.24</v>
      </c>
      <c r="M491"/>
      <c r="N491" s="95"/>
      <c r="O491" s="95"/>
      <c r="Q491"/>
      <c r="AC491"/>
      <c r="AG491"/>
      <c r="AK491"/>
    </row>
    <row r="492" spans="1:37" ht="15" customHeight="1" x14ac:dyDescent="0.25">
      <c r="A492" s="115" t="s">
        <v>1490</v>
      </c>
      <c r="B492" s="112" t="s">
        <v>1543</v>
      </c>
      <c r="C492" s="101">
        <v>54115</v>
      </c>
      <c r="D492" s="102" t="s">
        <v>1551</v>
      </c>
      <c r="E492" s="103" t="s">
        <v>46</v>
      </c>
      <c r="F492" s="103" t="s">
        <v>412</v>
      </c>
      <c r="G492" s="103" t="s">
        <v>413</v>
      </c>
      <c r="H492" s="103" t="s">
        <v>414</v>
      </c>
      <c r="I492" s="104">
        <v>42083</v>
      </c>
      <c r="J492" s="104">
        <v>42083</v>
      </c>
      <c r="K492" s="105">
        <v>683.28</v>
      </c>
      <c r="M492"/>
      <c r="N492" s="95"/>
      <c r="O492" s="95"/>
      <c r="Q492"/>
      <c r="AC492"/>
      <c r="AG492"/>
      <c r="AK492"/>
    </row>
    <row r="493" spans="1:37" ht="15" customHeight="1" x14ac:dyDescent="0.25">
      <c r="A493" s="115" t="s">
        <v>1490</v>
      </c>
      <c r="B493" s="112" t="s">
        <v>1543</v>
      </c>
      <c r="C493" s="101">
        <v>50387</v>
      </c>
      <c r="D493" s="102" t="s">
        <v>1552</v>
      </c>
      <c r="E493" s="103" t="s">
        <v>46</v>
      </c>
      <c r="F493" s="103" t="s">
        <v>412</v>
      </c>
      <c r="G493" s="103" t="s">
        <v>413</v>
      </c>
      <c r="H493" s="103" t="s">
        <v>414</v>
      </c>
      <c r="I493" s="104">
        <v>42007</v>
      </c>
      <c r="J493" s="104">
        <v>42007</v>
      </c>
      <c r="K493" s="105">
        <v>220724.83</v>
      </c>
      <c r="M493"/>
      <c r="N493" s="95"/>
      <c r="O493" s="95"/>
      <c r="Q493"/>
      <c r="AC493"/>
      <c r="AG493"/>
      <c r="AK493"/>
    </row>
    <row r="494" spans="1:37" ht="15" customHeight="1" x14ac:dyDescent="0.25">
      <c r="A494" s="115" t="s">
        <v>1490</v>
      </c>
      <c r="B494" s="112" t="s">
        <v>1543</v>
      </c>
      <c r="C494" s="101">
        <v>50384</v>
      </c>
      <c r="D494" s="102" t="s">
        <v>1553</v>
      </c>
      <c r="E494" s="103" t="s">
        <v>46</v>
      </c>
      <c r="F494" s="103" t="s">
        <v>412</v>
      </c>
      <c r="G494" s="103" t="s">
        <v>413</v>
      </c>
      <c r="H494" s="103" t="s">
        <v>414</v>
      </c>
      <c r="I494" s="104">
        <v>42376</v>
      </c>
      <c r="J494" s="104">
        <v>42376</v>
      </c>
      <c r="K494" s="105">
        <v>15466.03</v>
      </c>
      <c r="M494"/>
      <c r="N494" s="95"/>
      <c r="O494" s="95"/>
      <c r="Q494"/>
      <c r="AC494"/>
      <c r="AG494"/>
      <c r="AK494"/>
    </row>
    <row r="495" spans="1:37" ht="15" customHeight="1" x14ac:dyDescent="0.25">
      <c r="A495" s="115" t="s">
        <v>1490</v>
      </c>
      <c r="B495" s="112" t="s">
        <v>1543</v>
      </c>
      <c r="C495" s="101">
        <v>50386</v>
      </c>
      <c r="D495" s="102" t="s">
        <v>1554</v>
      </c>
      <c r="E495" s="103" t="s">
        <v>46</v>
      </c>
      <c r="F495" s="103" t="s">
        <v>412</v>
      </c>
      <c r="G495" s="103" t="s">
        <v>413</v>
      </c>
      <c r="H495" s="103" t="s">
        <v>414</v>
      </c>
      <c r="I495" s="104">
        <v>41642</v>
      </c>
      <c r="J495" s="104">
        <v>41642</v>
      </c>
      <c r="K495" s="105">
        <v>313265.98</v>
      </c>
      <c r="M495"/>
      <c r="N495" s="95"/>
      <c r="O495" s="95"/>
      <c r="Q495"/>
      <c r="AC495"/>
      <c r="AG495"/>
      <c r="AK495"/>
    </row>
    <row r="496" spans="1:37" ht="15" customHeight="1" x14ac:dyDescent="0.25">
      <c r="A496" s="115" t="s">
        <v>1490</v>
      </c>
      <c r="B496" s="112" t="s">
        <v>1543</v>
      </c>
      <c r="C496" s="101">
        <v>56276</v>
      </c>
      <c r="D496" s="102" t="s">
        <v>1555</v>
      </c>
      <c r="E496" s="103" t="s">
        <v>46</v>
      </c>
      <c r="F496" s="103" t="s">
        <v>412</v>
      </c>
      <c r="G496" s="103" t="s">
        <v>425</v>
      </c>
      <c r="H496" s="103" t="s">
        <v>423</v>
      </c>
      <c r="I496" s="104">
        <v>41968</v>
      </c>
      <c r="J496" s="104">
        <v>41968</v>
      </c>
      <c r="K496" s="105">
        <v>81847.740000000005</v>
      </c>
      <c r="M496"/>
      <c r="N496" s="95"/>
      <c r="O496" s="95"/>
      <c r="Q496"/>
      <c r="AC496"/>
      <c r="AG496"/>
      <c r="AK496"/>
    </row>
    <row r="497" spans="1:37" ht="15" customHeight="1" x14ac:dyDescent="0.25">
      <c r="A497" s="115" t="s">
        <v>1490</v>
      </c>
      <c r="B497" s="112" t="s">
        <v>1543</v>
      </c>
      <c r="C497" s="101">
        <v>54428</v>
      </c>
      <c r="D497" s="102" t="s">
        <v>1556</v>
      </c>
      <c r="E497" s="103" t="s">
        <v>46</v>
      </c>
      <c r="F497" s="103" t="s">
        <v>412</v>
      </c>
      <c r="G497" s="103" t="s">
        <v>425</v>
      </c>
      <c r="H497" s="103" t="s">
        <v>423</v>
      </c>
      <c r="I497" s="104">
        <v>42327</v>
      </c>
      <c r="J497" s="104">
        <v>42327</v>
      </c>
      <c r="K497" s="105">
        <v>78300.03</v>
      </c>
      <c r="M497"/>
      <c r="N497" s="95"/>
      <c r="O497" s="95"/>
      <c r="Q497"/>
      <c r="AC497"/>
      <c r="AG497"/>
      <c r="AK497"/>
    </row>
    <row r="498" spans="1:37" ht="15" customHeight="1" x14ac:dyDescent="0.25">
      <c r="A498" s="115" t="s">
        <v>1490</v>
      </c>
      <c r="B498" s="112" t="s">
        <v>1543</v>
      </c>
      <c r="C498" s="101">
        <v>56261</v>
      </c>
      <c r="D498" s="102" t="s">
        <v>1557</v>
      </c>
      <c r="E498" s="103" t="s">
        <v>46</v>
      </c>
      <c r="F498" s="103" t="s">
        <v>412</v>
      </c>
      <c r="G498" s="103" t="s">
        <v>427</v>
      </c>
      <c r="H498" s="103" t="s">
        <v>423</v>
      </c>
      <c r="I498" s="104"/>
      <c r="J498" s="104">
        <v>41402</v>
      </c>
      <c r="K498" s="105">
        <v>0</v>
      </c>
      <c r="M498"/>
      <c r="N498" s="95"/>
      <c r="O498" s="95"/>
      <c r="Q498"/>
      <c r="AC498"/>
      <c r="AG498"/>
      <c r="AK498"/>
    </row>
    <row r="499" spans="1:37" ht="15" customHeight="1" x14ac:dyDescent="0.25">
      <c r="A499" s="115" t="s">
        <v>1490</v>
      </c>
      <c r="B499" s="112" t="s">
        <v>1543</v>
      </c>
      <c r="C499" s="101">
        <v>53464</v>
      </c>
      <c r="D499" s="102" t="s">
        <v>1558</v>
      </c>
      <c r="E499" s="103" t="s">
        <v>46</v>
      </c>
      <c r="F499" s="103" t="s">
        <v>412</v>
      </c>
      <c r="G499" s="103" t="s">
        <v>425</v>
      </c>
      <c r="H499" s="103" t="s">
        <v>423</v>
      </c>
      <c r="I499" s="104">
        <v>43007</v>
      </c>
      <c r="J499" s="104">
        <v>43007</v>
      </c>
      <c r="K499" s="105">
        <v>111000.04</v>
      </c>
      <c r="M499"/>
      <c r="N499" s="95"/>
      <c r="O499" s="95"/>
      <c r="Q499"/>
      <c r="AC499"/>
      <c r="AG499"/>
      <c r="AK499"/>
    </row>
    <row r="500" spans="1:37" ht="15" customHeight="1" x14ac:dyDescent="0.25">
      <c r="A500" s="115" t="s">
        <v>1490</v>
      </c>
      <c r="B500" s="112" t="s">
        <v>1543</v>
      </c>
      <c r="C500" s="101">
        <v>56270</v>
      </c>
      <c r="D500" s="102" t="s">
        <v>1559</v>
      </c>
      <c r="E500" s="103" t="s">
        <v>46</v>
      </c>
      <c r="F500" s="103" t="s">
        <v>412</v>
      </c>
      <c r="G500" s="103" t="s">
        <v>425</v>
      </c>
      <c r="H500" s="103" t="s">
        <v>423</v>
      </c>
      <c r="I500" s="104"/>
      <c r="J500" s="104">
        <v>41582</v>
      </c>
      <c r="K500" s="105">
        <v>0</v>
      </c>
      <c r="M500"/>
      <c r="N500" s="95"/>
      <c r="O500" s="95"/>
      <c r="Q500"/>
      <c r="AC500"/>
      <c r="AG500"/>
      <c r="AK500"/>
    </row>
    <row r="501" spans="1:37" ht="15" customHeight="1" x14ac:dyDescent="0.25">
      <c r="A501" s="115" t="s">
        <v>1490</v>
      </c>
      <c r="B501" s="112" t="s">
        <v>1543</v>
      </c>
      <c r="C501" s="101">
        <v>56269</v>
      </c>
      <c r="D501" s="102" t="s">
        <v>1560</v>
      </c>
      <c r="E501" s="103" t="s">
        <v>46</v>
      </c>
      <c r="F501" s="103" t="s">
        <v>412</v>
      </c>
      <c r="G501" s="103" t="s">
        <v>425</v>
      </c>
      <c r="H501" s="103" t="s">
        <v>423</v>
      </c>
      <c r="I501" s="104"/>
      <c r="J501" s="104">
        <v>41561</v>
      </c>
      <c r="K501" s="105">
        <v>0</v>
      </c>
      <c r="M501"/>
      <c r="N501" s="95"/>
      <c r="O501" s="95"/>
      <c r="Q501"/>
      <c r="AC501"/>
      <c r="AG501"/>
      <c r="AK501"/>
    </row>
    <row r="502" spans="1:37" ht="15" customHeight="1" x14ac:dyDescent="0.25">
      <c r="A502" s="115" t="s">
        <v>1490</v>
      </c>
      <c r="B502" s="112" t="s">
        <v>1543</v>
      </c>
      <c r="C502" s="101">
        <v>56268</v>
      </c>
      <c r="D502" s="102" t="s">
        <v>1561</v>
      </c>
      <c r="E502" s="103" t="s">
        <v>46</v>
      </c>
      <c r="F502" s="103" t="s">
        <v>412</v>
      </c>
      <c r="G502" s="103" t="s">
        <v>425</v>
      </c>
      <c r="H502" s="103" t="s">
        <v>423</v>
      </c>
      <c r="I502" s="104"/>
      <c r="J502" s="104">
        <v>41544</v>
      </c>
      <c r="K502" s="105">
        <v>0</v>
      </c>
      <c r="M502"/>
      <c r="N502" s="95"/>
      <c r="O502" s="95"/>
      <c r="Q502"/>
      <c r="AC502"/>
      <c r="AG502"/>
      <c r="AK502"/>
    </row>
    <row r="503" spans="1:37" ht="15" customHeight="1" x14ac:dyDescent="0.25">
      <c r="A503" s="115" t="s">
        <v>1490</v>
      </c>
      <c r="B503" s="112" t="s">
        <v>1543</v>
      </c>
      <c r="C503" s="101">
        <v>56275</v>
      </c>
      <c r="D503" s="102" t="s">
        <v>1562</v>
      </c>
      <c r="E503" s="103" t="s">
        <v>46</v>
      </c>
      <c r="F503" s="103" t="s">
        <v>412</v>
      </c>
      <c r="G503" s="103" t="s">
        <v>425</v>
      </c>
      <c r="H503" s="103" t="s">
        <v>423</v>
      </c>
      <c r="I503" s="104"/>
      <c r="J503" s="104">
        <v>41831</v>
      </c>
      <c r="K503" s="105">
        <v>0</v>
      </c>
      <c r="M503"/>
      <c r="N503" s="95"/>
      <c r="O503" s="95"/>
      <c r="Q503"/>
      <c r="AC503"/>
      <c r="AG503"/>
      <c r="AK503"/>
    </row>
    <row r="504" spans="1:37" ht="15" customHeight="1" x14ac:dyDescent="0.25">
      <c r="A504" s="115" t="s">
        <v>1490</v>
      </c>
      <c r="B504" s="112" t="s">
        <v>1543</v>
      </c>
      <c r="C504" s="101">
        <v>54031</v>
      </c>
      <c r="D504" s="102" t="s">
        <v>1563</v>
      </c>
      <c r="E504" s="103" t="s">
        <v>46</v>
      </c>
      <c r="F504" s="103" t="s">
        <v>412</v>
      </c>
      <c r="G504" s="103" t="s">
        <v>425</v>
      </c>
      <c r="H504" s="103" t="s">
        <v>423</v>
      </c>
      <c r="I504" s="104">
        <v>42012</v>
      </c>
      <c r="J504" s="104">
        <v>42012</v>
      </c>
      <c r="K504" s="105">
        <v>5734.16</v>
      </c>
      <c r="M504"/>
      <c r="N504" s="95"/>
      <c r="O504" s="95"/>
      <c r="Q504"/>
      <c r="AC504"/>
      <c r="AG504"/>
      <c r="AK504"/>
    </row>
    <row r="505" spans="1:37" ht="15" customHeight="1" x14ac:dyDescent="0.25">
      <c r="A505" s="115" t="s">
        <v>1490</v>
      </c>
      <c r="B505" s="112" t="s">
        <v>1543</v>
      </c>
      <c r="C505" s="101">
        <v>56264</v>
      </c>
      <c r="D505" s="102" t="s">
        <v>1564</v>
      </c>
      <c r="E505" s="103" t="s">
        <v>46</v>
      </c>
      <c r="F505" s="103" t="s">
        <v>412</v>
      </c>
      <c r="G505" s="103" t="s">
        <v>425</v>
      </c>
      <c r="H505" s="103" t="s">
        <v>423</v>
      </c>
      <c r="I505" s="104"/>
      <c r="J505" s="104">
        <v>41495</v>
      </c>
      <c r="K505" s="105">
        <v>0</v>
      </c>
      <c r="M505"/>
      <c r="N505" s="95"/>
      <c r="O505" s="95"/>
      <c r="Q505"/>
      <c r="AC505"/>
      <c r="AG505"/>
      <c r="AK505"/>
    </row>
    <row r="506" spans="1:37" ht="15" customHeight="1" x14ac:dyDescent="0.25">
      <c r="A506" s="115" t="s">
        <v>1490</v>
      </c>
      <c r="B506" s="112" t="s">
        <v>1543</v>
      </c>
      <c r="C506" s="101">
        <v>54156</v>
      </c>
      <c r="D506" s="102" t="s">
        <v>1565</v>
      </c>
      <c r="E506" s="103" t="s">
        <v>46</v>
      </c>
      <c r="F506" s="103" t="s">
        <v>412</v>
      </c>
      <c r="G506" s="103" t="s">
        <v>425</v>
      </c>
      <c r="H506" s="103" t="s">
        <v>423</v>
      </c>
      <c r="I506" s="104">
        <v>42094</v>
      </c>
      <c r="J506" s="104">
        <v>42094</v>
      </c>
      <c r="K506" s="105">
        <v>13920</v>
      </c>
      <c r="M506"/>
      <c r="N506" s="95"/>
      <c r="O506" s="95"/>
      <c r="Q506"/>
      <c r="AC506"/>
      <c r="AG506"/>
      <c r="AK506"/>
    </row>
    <row r="507" spans="1:37" ht="15" customHeight="1" x14ac:dyDescent="0.25">
      <c r="A507" s="115" t="s">
        <v>1490</v>
      </c>
      <c r="B507" s="112" t="s">
        <v>1543</v>
      </c>
      <c r="C507" s="101">
        <v>54052</v>
      </c>
      <c r="D507" s="102" t="s">
        <v>1566</v>
      </c>
      <c r="E507" s="103" t="s">
        <v>46</v>
      </c>
      <c r="F507" s="103" t="s">
        <v>412</v>
      </c>
      <c r="G507" s="103" t="s">
        <v>425</v>
      </c>
      <c r="H507" s="103" t="s">
        <v>423</v>
      </c>
      <c r="I507" s="104">
        <v>42035</v>
      </c>
      <c r="J507" s="104">
        <v>42035</v>
      </c>
      <c r="K507" s="105">
        <v>46400.02</v>
      </c>
      <c r="M507"/>
      <c r="N507" s="95"/>
      <c r="O507" s="95"/>
      <c r="Q507"/>
      <c r="AC507"/>
      <c r="AG507"/>
      <c r="AK507"/>
    </row>
    <row r="508" spans="1:37" ht="15" customHeight="1" x14ac:dyDescent="0.25">
      <c r="A508" s="115" t="s">
        <v>1490</v>
      </c>
      <c r="B508" s="112" t="s">
        <v>1543</v>
      </c>
      <c r="C508" s="101">
        <v>53849</v>
      </c>
      <c r="D508" s="102" t="s">
        <v>1567</v>
      </c>
      <c r="E508" s="103" t="s">
        <v>46</v>
      </c>
      <c r="F508" s="103" t="s">
        <v>412</v>
      </c>
      <c r="G508" s="103" t="s">
        <v>425</v>
      </c>
      <c r="H508" s="103" t="s">
        <v>423</v>
      </c>
      <c r="I508" s="104">
        <v>42551</v>
      </c>
      <c r="J508" s="104">
        <v>42551</v>
      </c>
      <c r="K508" s="105">
        <v>15000</v>
      </c>
      <c r="M508"/>
      <c r="N508" s="95"/>
      <c r="O508" s="95"/>
      <c r="Q508"/>
      <c r="AC508"/>
      <c r="AG508"/>
      <c r="AK508"/>
    </row>
    <row r="509" spans="1:37" ht="15" customHeight="1" x14ac:dyDescent="0.25">
      <c r="A509" s="115" t="s">
        <v>1490</v>
      </c>
      <c r="B509" s="112" t="s">
        <v>1543</v>
      </c>
      <c r="C509" s="101">
        <v>53747</v>
      </c>
      <c r="D509" s="102" t="s">
        <v>1568</v>
      </c>
      <c r="E509" s="103" t="s">
        <v>46</v>
      </c>
      <c r="F509" s="103" t="s">
        <v>412</v>
      </c>
      <c r="G509" s="103" t="s">
        <v>425</v>
      </c>
      <c r="H509" s="103" t="s">
        <v>423</v>
      </c>
      <c r="I509" s="104">
        <v>42488</v>
      </c>
      <c r="J509" s="104">
        <v>42488</v>
      </c>
      <c r="K509" s="105">
        <v>15300</v>
      </c>
      <c r="M509"/>
      <c r="N509" s="95"/>
      <c r="O509" s="95"/>
      <c r="Q509"/>
      <c r="AC509"/>
      <c r="AG509"/>
      <c r="AK509"/>
    </row>
    <row r="510" spans="1:37" ht="15" customHeight="1" x14ac:dyDescent="0.25">
      <c r="A510" s="115" t="s">
        <v>1490</v>
      </c>
      <c r="B510" s="112" t="s">
        <v>1543</v>
      </c>
      <c r="C510" s="101">
        <v>60075</v>
      </c>
      <c r="D510" s="102" t="s">
        <v>1569</v>
      </c>
      <c r="E510" s="103" t="s">
        <v>484</v>
      </c>
      <c r="F510" s="103" t="s">
        <v>397</v>
      </c>
      <c r="G510" s="103" t="s">
        <v>427</v>
      </c>
      <c r="H510" s="103" t="s">
        <v>437</v>
      </c>
      <c r="I510" s="104">
        <v>44286</v>
      </c>
      <c r="J510" s="104"/>
      <c r="K510" s="105">
        <v>117.82</v>
      </c>
      <c r="M510"/>
      <c r="N510" s="95"/>
      <c r="O510" s="95"/>
      <c r="Q510"/>
      <c r="AC510"/>
      <c r="AG510"/>
      <c r="AK510"/>
    </row>
    <row r="511" spans="1:37" ht="15" customHeight="1" x14ac:dyDescent="0.25">
      <c r="A511" s="115" t="s">
        <v>1490</v>
      </c>
      <c r="B511" s="112" t="s">
        <v>1543</v>
      </c>
      <c r="C511" s="101">
        <v>56271</v>
      </c>
      <c r="D511" s="102" t="s">
        <v>1570</v>
      </c>
      <c r="E511" s="103" t="s">
        <v>46</v>
      </c>
      <c r="F511" s="103" t="s">
        <v>412</v>
      </c>
      <c r="G511" s="103" t="s">
        <v>425</v>
      </c>
      <c r="H511" s="103" t="s">
        <v>423</v>
      </c>
      <c r="I511" s="104"/>
      <c r="J511" s="104">
        <v>41617</v>
      </c>
      <c r="K511" s="105">
        <v>0</v>
      </c>
      <c r="M511"/>
      <c r="N511" s="95"/>
      <c r="O511" s="95"/>
      <c r="Q511"/>
      <c r="AC511"/>
      <c r="AG511"/>
      <c r="AK511"/>
    </row>
    <row r="512" spans="1:37" ht="15" customHeight="1" x14ac:dyDescent="0.25">
      <c r="A512" s="115" t="s">
        <v>1490</v>
      </c>
      <c r="B512" s="112" t="s">
        <v>1543</v>
      </c>
      <c r="C512" s="101">
        <v>56266</v>
      </c>
      <c r="D512" s="102" t="s">
        <v>1571</v>
      </c>
      <c r="E512" s="103" t="s">
        <v>46</v>
      </c>
      <c r="F512" s="103" t="s">
        <v>412</v>
      </c>
      <c r="G512" s="103" t="s">
        <v>425</v>
      </c>
      <c r="H512" s="103" t="s">
        <v>423</v>
      </c>
      <c r="I512" s="104"/>
      <c r="J512" s="104">
        <v>41502</v>
      </c>
      <c r="K512" s="105">
        <v>0</v>
      </c>
      <c r="M512"/>
      <c r="N512" s="95"/>
      <c r="O512" s="95"/>
      <c r="Q512"/>
      <c r="AC512"/>
      <c r="AG512"/>
      <c r="AK512"/>
    </row>
    <row r="513" spans="1:37" ht="15" customHeight="1" x14ac:dyDescent="0.25">
      <c r="A513" s="115" t="s">
        <v>1490</v>
      </c>
      <c r="B513" s="112" t="s">
        <v>1543</v>
      </c>
      <c r="C513" s="101">
        <v>56273</v>
      </c>
      <c r="D513" s="102" t="s">
        <v>1572</v>
      </c>
      <c r="E513" s="103" t="s">
        <v>46</v>
      </c>
      <c r="F513" s="103" t="s">
        <v>412</v>
      </c>
      <c r="G513" s="103" t="s">
        <v>425</v>
      </c>
      <c r="H513" s="103" t="s">
        <v>423</v>
      </c>
      <c r="I513" s="104"/>
      <c r="J513" s="104">
        <v>41696</v>
      </c>
      <c r="K513" s="105">
        <v>0</v>
      </c>
      <c r="M513"/>
      <c r="N513" s="95"/>
      <c r="O513" s="95"/>
      <c r="Q513"/>
      <c r="AC513"/>
      <c r="AG513"/>
      <c r="AK513"/>
    </row>
    <row r="514" spans="1:37" ht="15" customHeight="1" x14ac:dyDescent="0.25">
      <c r="A514" s="115" t="s">
        <v>1490</v>
      </c>
      <c r="B514" s="112" t="s">
        <v>1543</v>
      </c>
      <c r="C514" s="101">
        <v>56262</v>
      </c>
      <c r="D514" s="102" t="s">
        <v>1573</v>
      </c>
      <c r="E514" s="103" t="s">
        <v>46</v>
      </c>
      <c r="F514" s="103" t="s">
        <v>412</v>
      </c>
      <c r="G514" s="103" t="s">
        <v>425</v>
      </c>
      <c r="H514" s="103" t="s">
        <v>423</v>
      </c>
      <c r="I514" s="104"/>
      <c r="J514" s="104">
        <v>41408</v>
      </c>
      <c r="K514" s="105">
        <v>0</v>
      </c>
      <c r="M514"/>
      <c r="N514" s="95"/>
      <c r="O514" s="95"/>
      <c r="Q514"/>
      <c r="AC514"/>
      <c r="AG514"/>
      <c r="AK514"/>
    </row>
    <row r="515" spans="1:37" ht="15" customHeight="1" x14ac:dyDescent="0.25">
      <c r="A515" s="115" t="s">
        <v>1490</v>
      </c>
      <c r="B515" s="112" t="s">
        <v>1543</v>
      </c>
      <c r="C515" s="101">
        <v>56267</v>
      </c>
      <c r="D515" s="102" t="s">
        <v>1574</v>
      </c>
      <c r="E515" s="103" t="s">
        <v>46</v>
      </c>
      <c r="F515" s="103" t="s">
        <v>412</v>
      </c>
      <c r="G515" s="103" t="s">
        <v>425</v>
      </c>
      <c r="H515" s="103" t="s">
        <v>423</v>
      </c>
      <c r="I515" s="104"/>
      <c r="J515" s="104">
        <v>41521</v>
      </c>
      <c r="K515" s="105">
        <v>0</v>
      </c>
      <c r="M515"/>
      <c r="N515" s="95"/>
      <c r="O515" s="95"/>
      <c r="Q515"/>
      <c r="AC515"/>
      <c r="AG515"/>
      <c r="AK515"/>
    </row>
    <row r="516" spans="1:37" ht="15" customHeight="1" x14ac:dyDescent="0.25">
      <c r="A516" s="115" t="s">
        <v>1490</v>
      </c>
      <c r="B516" s="112" t="s">
        <v>1543</v>
      </c>
      <c r="C516" s="101">
        <v>56265</v>
      </c>
      <c r="D516" s="102" t="s">
        <v>1575</v>
      </c>
      <c r="E516" s="103" t="s">
        <v>46</v>
      </c>
      <c r="F516" s="103" t="s">
        <v>412</v>
      </c>
      <c r="G516" s="103" t="s">
        <v>425</v>
      </c>
      <c r="H516" s="103" t="s">
        <v>423</v>
      </c>
      <c r="I516" s="104"/>
      <c r="J516" s="104">
        <v>41499</v>
      </c>
      <c r="K516" s="105">
        <v>0</v>
      </c>
      <c r="M516"/>
      <c r="N516" s="95"/>
      <c r="O516" s="95"/>
      <c r="Q516"/>
      <c r="AC516"/>
      <c r="AG516"/>
      <c r="AK516"/>
    </row>
    <row r="517" spans="1:37" ht="15" customHeight="1" x14ac:dyDescent="0.25">
      <c r="A517" s="115" t="s">
        <v>1490</v>
      </c>
      <c r="B517" s="112" t="s">
        <v>1543</v>
      </c>
      <c r="C517" s="101">
        <v>56272</v>
      </c>
      <c r="D517" s="102" t="s">
        <v>1576</v>
      </c>
      <c r="E517" s="103" t="s">
        <v>46</v>
      </c>
      <c r="F517" s="103" t="s">
        <v>412</v>
      </c>
      <c r="G517" s="103" t="s">
        <v>425</v>
      </c>
      <c r="H517" s="103" t="s">
        <v>423</v>
      </c>
      <c r="I517" s="104">
        <v>41620</v>
      </c>
      <c r="J517" s="104">
        <v>41620</v>
      </c>
      <c r="K517" s="105">
        <v>47162.3</v>
      </c>
      <c r="M517"/>
      <c r="N517" s="95"/>
      <c r="O517" s="95"/>
      <c r="Q517"/>
      <c r="AC517"/>
      <c r="AG517"/>
      <c r="AK517"/>
    </row>
    <row r="518" spans="1:37" ht="15" customHeight="1" x14ac:dyDescent="0.25">
      <c r="A518" s="115" t="s">
        <v>1490</v>
      </c>
      <c r="B518" s="112" t="s">
        <v>1543</v>
      </c>
      <c r="C518" s="101">
        <v>52296</v>
      </c>
      <c r="D518" s="102" t="s">
        <v>1577</v>
      </c>
      <c r="E518" s="103" t="s">
        <v>46</v>
      </c>
      <c r="F518" s="103" t="s">
        <v>412</v>
      </c>
      <c r="G518" s="103" t="s">
        <v>427</v>
      </c>
      <c r="H518" s="103" t="s">
        <v>423</v>
      </c>
      <c r="I518" s="104">
        <v>43105</v>
      </c>
      <c r="J518" s="104">
        <v>43105</v>
      </c>
      <c r="K518" s="105">
        <v>8880.08</v>
      </c>
      <c r="M518"/>
      <c r="N518" s="95"/>
      <c r="O518" s="95"/>
      <c r="Q518"/>
      <c r="AC518"/>
      <c r="AG518"/>
      <c r="AK518"/>
    </row>
    <row r="519" spans="1:37" ht="15" customHeight="1" x14ac:dyDescent="0.25">
      <c r="A519" s="115" t="s">
        <v>1490</v>
      </c>
      <c r="B519" s="112" t="s">
        <v>1543</v>
      </c>
      <c r="C519" s="101">
        <v>56274</v>
      </c>
      <c r="D519" s="102" t="s">
        <v>1578</v>
      </c>
      <c r="E519" s="103" t="s">
        <v>46</v>
      </c>
      <c r="F519" s="103" t="s">
        <v>412</v>
      </c>
      <c r="G519" s="103" t="s">
        <v>425</v>
      </c>
      <c r="H519" s="103" t="s">
        <v>423</v>
      </c>
      <c r="I519" s="104">
        <v>41801</v>
      </c>
      <c r="J519" s="104">
        <v>41801</v>
      </c>
      <c r="K519" s="105">
        <v>313031.26</v>
      </c>
      <c r="M519"/>
      <c r="N519" s="95"/>
      <c r="O519" s="95"/>
      <c r="Q519"/>
      <c r="AC519"/>
      <c r="AG519"/>
      <c r="AK519"/>
    </row>
    <row r="520" spans="1:37" ht="15" customHeight="1" x14ac:dyDescent="0.25">
      <c r="A520" s="115" t="s">
        <v>1490</v>
      </c>
      <c r="B520" s="112" t="s">
        <v>1543</v>
      </c>
      <c r="C520" s="101">
        <v>52297</v>
      </c>
      <c r="D520" s="102" t="s">
        <v>1579</v>
      </c>
      <c r="E520" s="103" t="s">
        <v>46</v>
      </c>
      <c r="F520" s="103" t="s">
        <v>412</v>
      </c>
      <c r="G520" s="103" t="s">
        <v>427</v>
      </c>
      <c r="H520" s="103" t="s">
        <v>423</v>
      </c>
      <c r="I520" s="104">
        <v>43112</v>
      </c>
      <c r="J520" s="104">
        <v>43112</v>
      </c>
      <c r="K520" s="105">
        <v>40149.96</v>
      </c>
      <c r="M520"/>
      <c r="N520" s="95"/>
      <c r="O520" s="95"/>
      <c r="Q520"/>
      <c r="AC520"/>
      <c r="AG520"/>
      <c r="AK520"/>
    </row>
    <row r="521" spans="1:37" ht="15" customHeight="1" x14ac:dyDescent="0.25">
      <c r="A521" s="115" t="s">
        <v>1490</v>
      </c>
      <c r="B521" s="112" t="s">
        <v>1543</v>
      </c>
      <c r="C521" s="101">
        <v>56263</v>
      </c>
      <c r="D521" s="102" t="s">
        <v>1580</v>
      </c>
      <c r="E521" s="103" t="s">
        <v>46</v>
      </c>
      <c r="F521" s="103" t="s">
        <v>412</v>
      </c>
      <c r="G521" s="103" t="s">
        <v>425</v>
      </c>
      <c r="H521" s="103" t="s">
        <v>423</v>
      </c>
      <c r="I521" s="104">
        <v>41422</v>
      </c>
      <c r="J521" s="104">
        <v>41422</v>
      </c>
      <c r="K521" s="105">
        <v>511685.72</v>
      </c>
      <c r="M521"/>
      <c r="N521" s="95"/>
      <c r="O521" s="95"/>
      <c r="Q521"/>
      <c r="AC521"/>
      <c r="AG521"/>
      <c r="AK521"/>
    </row>
    <row r="522" spans="1:37" ht="15" customHeight="1" x14ac:dyDescent="0.25">
      <c r="A522" s="115" t="s">
        <v>1490</v>
      </c>
      <c r="B522" s="112" t="s">
        <v>1543</v>
      </c>
      <c r="C522" s="101">
        <v>52298</v>
      </c>
      <c r="D522" s="102" t="s">
        <v>1581</v>
      </c>
      <c r="E522" s="103" t="s">
        <v>46</v>
      </c>
      <c r="F522" s="103" t="s">
        <v>412</v>
      </c>
      <c r="G522" s="103" t="s">
        <v>425</v>
      </c>
      <c r="H522" s="103" t="s">
        <v>423</v>
      </c>
      <c r="I522" s="104">
        <v>43102</v>
      </c>
      <c r="J522" s="104">
        <v>43102</v>
      </c>
      <c r="K522" s="105">
        <v>30216.7</v>
      </c>
      <c r="M522"/>
      <c r="N522" s="95"/>
      <c r="O522" s="95"/>
      <c r="Q522"/>
      <c r="AC522"/>
      <c r="AG522"/>
      <c r="AK522"/>
    </row>
    <row r="523" spans="1:37" ht="15" customHeight="1" x14ac:dyDescent="0.25">
      <c r="A523" s="115" t="s">
        <v>1490</v>
      </c>
      <c r="B523" s="112" t="s">
        <v>1543</v>
      </c>
      <c r="C523" s="101">
        <v>54131</v>
      </c>
      <c r="D523" s="102" t="s">
        <v>1582</v>
      </c>
      <c r="E523" s="103" t="s">
        <v>46</v>
      </c>
      <c r="F523" s="103" t="s">
        <v>412</v>
      </c>
      <c r="G523" s="103" t="s">
        <v>425</v>
      </c>
      <c r="H523" s="103" t="s">
        <v>423</v>
      </c>
      <c r="I523" s="104">
        <v>42090</v>
      </c>
      <c r="J523" s="104">
        <v>42090</v>
      </c>
      <c r="K523" s="105">
        <v>89975</v>
      </c>
      <c r="M523"/>
      <c r="N523" s="95"/>
      <c r="O523" s="95"/>
      <c r="Q523"/>
      <c r="AC523"/>
      <c r="AG523"/>
      <c r="AK523"/>
    </row>
    <row r="524" spans="1:37" ht="15" customHeight="1" x14ac:dyDescent="0.25">
      <c r="A524" s="115" t="s">
        <v>1490</v>
      </c>
      <c r="B524" s="112" t="s">
        <v>1543</v>
      </c>
      <c r="C524" s="101">
        <v>52299</v>
      </c>
      <c r="D524" s="102" t="s">
        <v>1583</v>
      </c>
      <c r="E524" s="103" t="s">
        <v>46</v>
      </c>
      <c r="F524" s="103" t="s">
        <v>412</v>
      </c>
      <c r="G524" s="103" t="s">
        <v>427</v>
      </c>
      <c r="H524" s="103" t="s">
        <v>423</v>
      </c>
      <c r="I524" s="104">
        <v>43112</v>
      </c>
      <c r="J524" s="104">
        <v>43112</v>
      </c>
      <c r="K524" s="105">
        <v>22266.6</v>
      </c>
      <c r="M524"/>
      <c r="N524" s="95"/>
      <c r="O524" s="95"/>
      <c r="Q524"/>
      <c r="AC524"/>
      <c r="AG524"/>
      <c r="AK524"/>
    </row>
    <row r="525" spans="1:37" ht="15" customHeight="1" x14ac:dyDescent="0.25">
      <c r="A525" s="115" t="s">
        <v>1490</v>
      </c>
      <c r="B525" s="112" t="s">
        <v>1543</v>
      </c>
      <c r="C525" s="101">
        <v>56560</v>
      </c>
      <c r="D525" s="102" t="s">
        <v>1584</v>
      </c>
      <c r="E525" s="103" t="s">
        <v>46</v>
      </c>
      <c r="F525" s="103" t="s">
        <v>412</v>
      </c>
      <c r="G525" s="103" t="s">
        <v>425</v>
      </c>
      <c r="H525" s="103" t="s">
        <v>423</v>
      </c>
      <c r="I525" s="104">
        <v>43644</v>
      </c>
      <c r="J525" s="104">
        <v>43644</v>
      </c>
      <c r="K525" s="105">
        <v>126262.35</v>
      </c>
      <c r="M525"/>
      <c r="N525" s="95"/>
      <c r="O525" s="95"/>
      <c r="Q525"/>
      <c r="AC525"/>
      <c r="AG525"/>
      <c r="AK525"/>
    </row>
    <row r="526" spans="1:37" ht="15" customHeight="1" x14ac:dyDescent="0.25">
      <c r="A526" s="115" t="s">
        <v>1490</v>
      </c>
      <c r="B526" s="112" t="s">
        <v>1543</v>
      </c>
      <c r="C526" s="101">
        <v>54234</v>
      </c>
      <c r="D526" s="102" t="s">
        <v>1585</v>
      </c>
      <c r="E526" s="103" t="s">
        <v>46</v>
      </c>
      <c r="F526" s="103" t="s">
        <v>412</v>
      </c>
      <c r="G526" s="103" t="s">
        <v>425</v>
      </c>
      <c r="H526" s="103" t="s">
        <v>423</v>
      </c>
      <c r="I526" s="104">
        <v>42165</v>
      </c>
      <c r="J526" s="104">
        <v>42165</v>
      </c>
      <c r="K526" s="105">
        <v>12596.04</v>
      </c>
      <c r="M526"/>
      <c r="N526" s="95"/>
      <c r="O526" s="95"/>
      <c r="Q526"/>
      <c r="AC526"/>
      <c r="AG526"/>
      <c r="AK526"/>
    </row>
    <row r="527" spans="1:37" ht="15" customHeight="1" x14ac:dyDescent="0.25">
      <c r="A527" s="115" t="s">
        <v>1490</v>
      </c>
      <c r="B527" s="112" t="s">
        <v>1543</v>
      </c>
      <c r="C527" s="101">
        <v>54100</v>
      </c>
      <c r="D527" s="102" t="s">
        <v>1586</v>
      </c>
      <c r="E527" s="103" t="s">
        <v>46</v>
      </c>
      <c r="F527" s="103" t="s">
        <v>412</v>
      </c>
      <c r="G527" s="103" t="s">
        <v>425</v>
      </c>
      <c r="H527" s="103" t="s">
        <v>423</v>
      </c>
      <c r="I527" s="104">
        <v>42075</v>
      </c>
      <c r="J527" s="104">
        <v>42075</v>
      </c>
      <c r="K527" s="105">
        <v>4060</v>
      </c>
      <c r="M527"/>
      <c r="N527" s="95"/>
      <c r="O527" s="95"/>
      <c r="Q527"/>
      <c r="AC527"/>
      <c r="AG527"/>
      <c r="AK527"/>
    </row>
    <row r="528" spans="1:37" ht="15" customHeight="1" x14ac:dyDescent="0.25">
      <c r="A528" s="115" t="s">
        <v>1490</v>
      </c>
      <c r="B528" s="112" t="s">
        <v>1543</v>
      </c>
      <c r="C528" s="101">
        <v>54116</v>
      </c>
      <c r="D528" s="102" t="s">
        <v>1587</v>
      </c>
      <c r="E528" s="103" t="s">
        <v>46</v>
      </c>
      <c r="F528" s="103" t="s">
        <v>412</v>
      </c>
      <c r="G528" s="103" t="s">
        <v>425</v>
      </c>
      <c r="H528" s="103" t="s">
        <v>423</v>
      </c>
      <c r="I528" s="104">
        <v>42083</v>
      </c>
      <c r="J528" s="104">
        <v>42083</v>
      </c>
      <c r="K528" s="105">
        <v>10576</v>
      </c>
      <c r="M528"/>
      <c r="N528" s="95"/>
      <c r="O528" s="95"/>
      <c r="Q528"/>
      <c r="AC528"/>
      <c r="AG528"/>
      <c r="AK528"/>
    </row>
    <row r="529" spans="1:37" ht="15" customHeight="1" x14ac:dyDescent="0.25">
      <c r="A529" s="115" t="s">
        <v>1490</v>
      </c>
      <c r="B529" s="112" t="s">
        <v>1543</v>
      </c>
      <c r="C529" s="101">
        <v>52295</v>
      </c>
      <c r="D529" s="102" t="s">
        <v>1588</v>
      </c>
      <c r="E529" s="103" t="s">
        <v>484</v>
      </c>
      <c r="F529" s="103" t="s">
        <v>412</v>
      </c>
      <c r="G529" s="103"/>
      <c r="H529" s="103" t="s">
        <v>437</v>
      </c>
      <c r="I529" s="104">
        <v>43106</v>
      </c>
      <c r="J529" s="104">
        <v>43106</v>
      </c>
      <c r="K529" s="105">
        <v>9464</v>
      </c>
      <c r="M529"/>
      <c r="N529" s="95"/>
      <c r="O529" s="95"/>
      <c r="Q529"/>
      <c r="AC529"/>
      <c r="AG529"/>
      <c r="AK529"/>
    </row>
    <row r="530" spans="1:37" ht="15" customHeight="1" x14ac:dyDescent="0.25">
      <c r="A530" s="115" t="s">
        <v>1490</v>
      </c>
      <c r="B530" s="112" t="s">
        <v>1543</v>
      </c>
      <c r="C530" s="101">
        <v>54211</v>
      </c>
      <c r="D530" s="102" t="s">
        <v>1589</v>
      </c>
      <c r="E530" s="103" t="s">
        <v>484</v>
      </c>
      <c r="F530" s="103" t="s">
        <v>412</v>
      </c>
      <c r="G530" s="103"/>
      <c r="H530" s="103" t="s">
        <v>437</v>
      </c>
      <c r="I530" s="104"/>
      <c r="J530" s="104">
        <v>42150</v>
      </c>
      <c r="K530" s="105">
        <v>0</v>
      </c>
      <c r="M530"/>
      <c r="N530" s="95"/>
      <c r="O530" s="95"/>
      <c r="Q530"/>
      <c r="AC530"/>
      <c r="AG530"/>
      <c r="AK530"/>
    </row>
    <row r="531" spans="1:37" ht="15" customHeight="1" x14ac:dyDescent="0.25">
      <c r="A531" s="115" t="s">
        <v>1490</v>
      </c>
      <c r="B531" s="112" t="s">
        <v>1543</v>
      </c>
      <c r="C531" s="101">
        <v>54084</v>
      </c>
      <c r="D531" s="102" t="s">
        <v>1590</v>
      </c>
      <c r="E531" s="103" t="s">
        <v>484</v>
      </c>
      <c r="F531" s="103" t="s">
        <v>412</v>
      </c>
      <c r="G531" s="103"/>
      <c r="H531" s="103" t="s">
        <v>437</v>
      </c>
      <c r="I531" s="104">
        <v>42066</v>
      </c>
      <c r="J531" s="104">
        <v>42066</v>
      </c>
      <c r="K531" s="105">
        <v>46400.02</v>
      </c>
      <c r="M531"/>
      <c r="N531" s="95"/>
      <c r="O531" s="95"/>
      <c r="Q531"/>
      <c r="AC531"/>
      <c r="AG531"/>
      <c r="AK531"/>
    </row>
    <row r="532" spans="1:37" ht="15" customHeight="1" x14ac:dyDescent="0.25">
      <c r="A532" s="115" t="s">
        <v>1490</v>
      </c>
      <c r="B532" s="112" t="s">
        <v>1543</v>
      </c>
      <c r="C532" s="101">
        <v>54297</v>
      </c>
      <c r="D532" s="102" t="s">
        <v>1591</v>
      </c>
      <c r="E532" s="103" t="s">
        <v>46</v>
      </c>
      <c r="F532" s="103" t="s">
        <v>412</v>
      </c>
      <c r="G532" s="103" t="s">
        <v>425</v>
      </c>
      <c r="H532" s="103" t="s">
        <v>423</v>
      </c>
      <c r="I532" s="104">
        <v>42205</v>
      </c>
      <c r="J532" s="104">
        <v>42205</v>
      </c>
      <c r="K532" s="105">
        <v>65600.22</v>
      </c>
      <c r="M532"/>
      <c r="N532" s="95"/>
      <c r="O532" s="95"/>
      <c r="Q532"/>
      <c r="AC532"/>
      <c r="AG532"/>
      <c r="AK532"/>
    </row>
    <row r="533" spans="1:37" ht="15" customHeight="1" x14ac:dyDescent="0.25">
      <c r="A533" s="115" t="s">
        <v>1490</v>
      </c>
      <c r="B533" s="112" t="s">
        <v>1543</v>
      </c>
      <c r="C533" s="101">
        <v>54217</v>
      </c>
      <c r="D533" s="102" t="s">
        <v>1592</v>
      </c>
      <c r="E533" s="103" t="s">
        <v>46</v>
      </c>
      <c r="F533" s="103" t="s">
        <v>412</v>
      </c>
      <c r="G533" s="103" t="s">
        <v>425</v>
      </c>
      <c r="H533" s="103" t="s">
        <v>423</v>
      </c>
      <c r="I533" s="104">
        <v>42153</v>
      </c>
      <c r="J533" s="104">
        <v>42153</v>
      </c>
      <c r="K533" s="105">
        <v>87000.03</v>
      </c>
      <c r="M533"/>
      <c r="N533" s="95"/>
      <c r="O533" s="95"/>
      <c r="Q533"/>
      <c r="AC533"/>
      <c r="AG533"/>
      <c r="AK533"/>
    </row>
    <row r="534" spans="1:37" ht="15" customHeight="1" x14ac:dyDescent="0.25">
      <c r="A534" s="115" t="s">
        <v>1490</v>
      </c>
      <c r="B534" s="112" t="s">
        <v>1543</v>
      </c>
      <c r="C534" s="101">
        <v>54441</v>
      </c>
      <c r="D534" s="102" t="s">
        <v>1593</v>
      </c>
      <c r="E534" s="103" t="s">
        <v>46</v>
      </c>
      <c r="F534" s="103" t="s">
        <v>412</v>
      </c>
      <c r="G534" s="103" t="s">
        <v>425</v>
      </c>
      <c r="H534" s="103" t="s">
        <v>423</v>
      </c>
      <c r="I534" s="104">
        <v>42339</v>
      </c>
      <c r="J534" s="104">
        <v>42339</v>
      </c>
      <c r="K534" s="105">
        <v>13200</v>
      </c>
      <c r="M534"/>
      <c r="N534" s="95"/>
      <c r="O534" s="95"/>
      <c r="Q534"/>
      <c r="AC534"/>
      <c r="AG534"/>
      <c r="AK534"/>
    </row>
    <row r="535" spans="1:37" ht="15" customHeight="1" x14ac:dyDescent="0.25">
      <c r="A535" s="115" t="s">
        <v>1490</v>
      </c>
      <c r="B535" s="112" t="s">
        <v>1543</v>
      </c>
      <c r="C535" s="101">
        <v>59248</v>
      </c>
      <c r="D535" s="102" t="s">
        <v>1594</v>
      </c>
      <c r="E535" s="103" t="s">
        <v>451</v>
      </c>
      <c r="F535" s="103" t="s">
        <v>397</v>
      </c>
      <c r="G535" s="103" t="s">
        <v>427</v>
      </c>
      <c r="H535" s="103" t="s">
        <v>437</v>
      </c>
      <c r="I535" s="104">
        <v>44165</v>
      </c>
      <c r="J535" s="104"/>
      <c r="K535" s="105">
        <v>465500</v>
      </c>
      <c r="M535"/>
      <c r="N535" s="95"/>
      <c r="O535" s="95"/>
      <c r="Q535"/>
      <c r="AC535"/>
      <c r="AG535"/>
      <c r="AK535"/>
    </row>
    <row r="536" spans="1:37" ht="15" customHeight="1" x14ac:dyDescent="0.25">
      <c r="A536" s="115" t="s">
        <v>1490</v>
      </c>
      <c r="B536" s="112" t="s">
        <v>1543</v>
      </c>
      <c r="C536" s="101">
        <v>60922</v>
      </c>
      <c r="D536" s="102" t="s">
        <v>1595</v>
      </c>
      <c r="E536" s="103" t="s">
        <v>67</v>
      </c>
      <c r="F536" s="103" t="s">
        <v>412</v>
      </c>
      <c r="G536" s="103"/>
      <c r="H536" s="103" t="s">
        <v>437</v>
      </c>
      <c r="I536" s="104">
        <v>44469</v>
      </c>
      <c r="J536" s="104">
        <v>44466</v>
      </c>
      <c r="K536" s="105">
        <v>0</v>
      </c>
      <c r="M536"/>
      <c r="N536" s="95"/>
      <c r="O536" s="95"/>
      <c r="Q536"/>
      <c r="AC536"/>
      <c r="AG536"/>
      <c r="AK536"/>
    </row>
    <row r="537" spans="1:37" ht="15" customHeight="1" x14ac:dyDescent="0.25">
      <c r="A537" s="115" t="s">
        <v>1490</v>
      </c>
      <c r="B537" s="112" t="s">
        <v>1543</v>
      </c>
      <c r="C537" s="101">
        <v>61018</v>
      </c>
      <c r="D537" s="102" t="s">
        <v>1596</v>
      </c>
      <c r="E537" s="103" t="s">
        <v>67</v>
      </c>
      <c r="F537" s="103" t="s">
        <v>412</v>
      </c>
      <c r="G537" s="103"/>
      <c r="H537" s="103" t="s">
        <v>437</v>
      </c>
      <c r="I537" s="104">
        <v>44561</v>
      </c>
      <c r="J537" s="104">
        <v>44539</v>
      </c>
      <c r="K537" s="105">
        <v>0</v>
      </c>
      <c r="M537"/>
      <c r="N537" s="95"/>
      <c r="O537" s="95"/>
      <c r="Q537"/>
      <c r="AC537"/>
      <c r="AG537"/>
      <c r="AK537"/>
    </row>
    <row r="538" spans="1:37" ht="15" customHeight="1" x14ac:dyDescent="0.25">
      <c r="A538" s="115" t="s">
        <v>1490</v>
      </c>
      <c r="B538" s="112" t="s">
        <v>1543</v>
      </c>
      <c r="C538" s="101">
        <v>58150</v>
      </c>
      <c r="D538" s="102" t="s">
        <v>1597</v>
      </c>
      <c r="E538" s="103" t="s">
        <v>67</v>
      </c>
      <c r="F538" s="103" t="s">
        <v>412</v>
      </c>
      <c r="G538" s="103"/>
      <c r="H538" s="103" t="s">
        <v>437</v>
      </c>
      <c r="I538" s="104">
        <v>43921</v>
      </c>
      <c r="J538" s="104">
        <v>43903</v>
      </c>
      <c r="K538" s="105">
        <v>1539949.92</v>
      </c>
      <c r="M538"/>
      <c r="N538" s="95"/>
      <c r="O538" s="95"/>
      <c r="Q538"/>
      <c r="AC538"/>
      <c r="AG538"/>
      <c r="AK538"/>
    </row>
    <row r="539" spans="1:37" ht="15" customHeight="1" x14ac:dyDescent="0.25">
      <c r="A539" s="115" t="s">
        <v>1490</v>
      </c>
      <c r="B539" s="112" t="s">
        <v>1543</v>
      </c>
      <c r="C539" s="101">
        <v>58503</v>
      </c>
      <c r="D539" s="102" t="s">
        <v>1598</v>
      </c>
      <c r="E539" s="103" t="s">
        <v>67</v>
      </c>
      <c r="F539" s="103" t="s">
        <v>397</v>
      </c>
      <c r="G539" s="103" t="s">
        <v>427</v>
      </c>
      <c r="H539" s="103" t="s">
        <v>437</v>
      </c>
      <c r="I539" s="104">
        <v>44074</v>
      </c>
      <c r="J539" s="104"/>
      <c r="K539" s="105">
        <v>735750.11</v>
      </c>
      <c r="M539"/>
      <c r="N539" s="95"/>
      <c r="O539" s="95"/>
      <c r="Q539"/>
      <c r="AC539"/>
      <c r="AG539"/>
      <c r="AK539"/>
    </row>
    <row r="540" spans="1:37" ht="15" customHeight="1" x14ac:dyDescent="0.25">
      <c r="A540" s="115" t="s">
        <v>1490</v>
      </c>
      <c r="B540" s="112" t="s">
        <v>1543</v>
      </c>
      <c r="C540" s="101">
        <v>59977</v>
      </c>
      <c r="D540" s="102" t="s">
        <v>1599</v>
      </c>
      <c r="E540" s="103" t="s">
        <v>484</v>
      </c>
      <c r="F540" s="103" t="s">
        <v>397</v>
      </c>
      <c r="G540" s="103" t="s">
        <v>427</v>
      </c>
      <c r="H540" s="103" t="s">
        <v>437</v>
      </c>
      <c r="I540" s="104">
        <v>44377</v>
      </c>
      <c r="J540" s="104"/>
      <c r="K540" s="105">
        <v>19199.990000000002</v>
      </c>
      <c r="M540"/>
      <c r="N540" s="95"/>
      <c r="O540" s="95"/>
      <c r="Q540"/>
      <c r="AC540"/>
      <c r="AG540"/>
      <c r="AK540"/>
    </row>
    <row r="541" spans="1:37" ht="15" customHeight="1" x14ac:dyDescent="0.25">
      <c r="A541" s="115" t="s">
        <v>1490</v>
      </c>
      <c r="B541" s="112" t="s">
        <v>1543</v>
      </c>
      <c r="C541" s="101">
        <v>62948</v>
      </c>
      <c r="D541" s="102" t="s">
        <v>1600</v>
      </c>
      <c r="E541" s="103" t="s">
        <v>451</v>
      </c>
      <c r="F541" s="103" t="s">
        <v>412</v>
      </c>
      <c r="G541" s="103"/>
      <c r="H541" s="103" t="s">
        <v>437</v>
      </c>
      <c r="I541" s="104">
        <v>44796</v>
      </c>
      <c r="J541" s="104">
        <v>44796</v>
      </c>
      <c r="K541" s="105">
        <v>405215.93</v>
      </c>
      <c r="M541"/>
      <c r="N541" s="95"/>
      <c r="O541" s="95"/>
      <c r="Q541"/>
      <c r="AC541"/>
      <c r="AG541"/>
      <c r="AK541"/>
    </row>
    <row r="542" spans="1:37" ht="15" customHeight="1" x14ac:dyDescent="0.25">
      <c r="A542" s="115" t="s">
        <v>1490</v>
      </c>
      <c r="B542" s="112" t="s">
        <v>1543</v>
      </c>
      <c r="C542" s="101">
        <v>65244</v>
      </c>
      <c r="D542" s="102" t="s">
        <v>1601</v>
      </c>
      <c r="E542" s="103" t="s">
        <v>451</v>
      </c>
      <c r="F542" s="103" t="s">
        <v>412</v>
      </c>
      <c r="G542" s="103"/>
      <c r="H542" s="103" t="s">
        <v>437</v>
      </c>
      <c r="I542" s="104">
        <v>45351</v>
      </c>
      <c r="J542" s="104">
        <v>45274</v>
      </c>
      <c r="K542" s="105">
        <v>419126.42</v>
      </c>
      <c r="M542"/>
      <c r="N542" s="95"/>
      <c r="O542" s="95"/>
      <c r="Q542"/>
      <c r="AC542"/>
      <c r="AG542"/>
      <c r="AK542"/>
    </row>
    <row r="543" spans="1:37" ht="15" customHeight="1" x14ac:dyDescent="0.25">
      <c r="A543" s="115" t="s">
        <v>1490</v>
      </c>
      <c r="B543" s="112" t="s">
        <v>1543</v>
      </c>
      <c r="C543" s="101">
        <v>65506</v>
      </c>
      <c r="D543" s="102" t="s">
        <v>1602</v>
      </c>
      <c r="E543" s="103" t="s">
        <v>451</v>
      </c>
      <c r="F543" s="103" t="s">
        <v>412</v>
      </c>
      <c r="G543" s="103"/>
      <c r="H543" s="103" t="s">
        <v>437</v>
      </c>
      <c r="I543" s="104">
        <v>45380</v>
      </c>
      <c r="J543" s="104">
        <v>45355</v>
      </c>
      <c r="K543" s="105">
        <v>360852.8</v>
      </c>
      <c r="M543"/>
      <c r="N543" s="95"/>
      <c r="O543" s="95"/>
      <c r="Q543"/>
      <c r="AC543"/>
      <c r="AG543"/>
      <c r="AK543"/>
    </row>
    <row r="544" spans="1:37" ht="15" customHeight="1" x14ac:dyDescent="0.25">
      <c r="A544" s="115" t="s">
        <v>1490</v>
      </c>
      <c r="B544" s="112" t="s">
        <v>1543</v>
      </c>
      <c r="C544" s="101">
        <v>63885</v>
      </c>
      <c r="D544" s="102" t="s">
        <v>1603</v>
      </c>
      <c r="E544" s="103" t="s">
        <v>821</v>
      </c>
      <c r="F544" s="103" t="s">
        <v>412</v>
      </c>
      <c r="G544" s="103"/>
      <c r="H544" s="103" t="s">
        <v>437</v>
      </c>
      <c r="I544" s="104"/>
      <c r="J544" s="104">
        <v>45008</v>
      </c>
      <c r="K544" s="105">
        <v>337679.94</v>
      </c>
      <c r="M544"/>
      <c r="N544" s="95"/>
      <c r="O544" s="95"/>
      <c r="Q544"/>
      <c r="AC544"/>
      <c r="AG544"/>
      <c r="AK544"/>
    </row>
    <row r="545" spans="1:45" ht="15" customHeight="1" x14ac:dyDescent="0.25">
      <c r="A545" s="115" t="s">
        <v>1490</v>
      </c>
      <c r="B545" s="112" t="s">
        <v>1543</v>
      </c>
      <c r="C545" s="101">
        <v>64354</v>
      </c>
      <c r="D545" s="102" t="s">
        <v>1604</v>
      </c>
      <c r="E545" s="103" t="s">
        <v>821</v>
      </c>
      <c r="F545" s="103" t="s">
        <v>412</v>
      </c>
      <c r="G545" s="103"/>
      <c r="H545" s="103" t="s">
        <v>437</v>
      </c>
      <c r="I545" s="104">
        <v>45077</v>
      </c>
      <c r="J545" s="104">
        <v>45077</v>
      </c>
      <c r="K545" s="105">
        <v>287733.62</v>
      </c>
      <c r="M545"/>
      <c r="N545" s="95"/>
      <c r="O545" s="95"/>
      <c r="Q545"/>
      <c r="AC545"/>
      <c r="AG545"/>
      <c r="AK545"/>
    </row>
    <row r="546" spans="1:45" ht="15" customHeight="1" x14ac:dyDescent="0.25">
      <c r="A546" s="115" t="s">
        <v>1490</v>
      </c>
      <c r="B546" s="112" t="s">
        <v>1543</v>
      </c>
      <c r="C546" s="101">
        <v>65243</v>
      </c>
      <c r="D546" s="102" t="s">
        <v>1605</v>
      </c>
      <c r="E546" s="103" t="s">
        <v>451</v>
      </c>
      <c r="F546" s="103" t="s">
        <v>412</v>
      </c>
      <c r="G546" s="103"/>
      <c r="H546" s="103" t="s">
        <v>437</v>
      </c>
      <c r="I546" s="104">
        <v>45351</v>
      </c>
      <c r="J546" s="104">
        <v>45274</v>
      </c>
      <c r="K546" s="105">
        <v>457631.78</v>
      </c>
      <c r="M546"/>
      <c r="N546" s="95"/>
      <c r="O546" s="95"/>
      <c r="Q546"/>
      <c r="AC546"/>
      <c r="AG546"/>
      <c r="AK546"/>
    </row>
    <row r="547" spans="1:45" ht="15" customHeight="1" x14ac:dyDescent="0.25">
      <c r="A547" s="115" t="s">
        <v>1490</v>
      </c>
      <c r="B547" s="112" t="s">
        <v>1543</v>
      </c>
      <c r="C547" s="101">
        <v>63896</v>
      </c>
      <c r="D547" s="102" t="s">
        <v>1606</v>
      </c>
      <c r="E547" s="103" t="s">
        <v>821</v>
      </c>
      <c r="F547" s="103" t="s">
        <v>412</v>
      </c>
      <c r="G547" s="103"/>
      <c r="H547" s="103" t="s">
        <v>437</v>
      </c>
      <c r="I547" s="104">
        <v>45077</v>
      </c>
      <c r="J547" s="104">
        <v>45009</v>
      </c>
      <c r="K547" s="105">
        <v>370464.08</v>
      </c>
      <c r="M547"/>
      <c r="N547" s="95"/>
      <c r="O547" s="95"/>
      <c r="Q547"/>
      <c r="AC547"/>
      <c r="AG547"/>
      <c r="AK547"/>
    </row>
    <row r="548" spans="1:45" ht="15" customHeight="1" x14ac:dyDescent="0.25">
      <c r="A548" s="115" t="s">
        <v>1490</v>
      </c>
      <c r="B548" s="112" t="s">
        <v>1543</v>
      </c>
      <c r="C548" s="101">
        <v>59816</v>
      </c>
      <c r="D548" s="102" t="s">
        <v>1607</v>
      </c>
      <c r="E548" s="103" t="s">
        <v>484</v>
      </c>
      <c r="F548" s="103" t="s">
        <v>397</v>
      </c>
      <c r="G548" s="103" t="s">
        <v>427</v>
      </c>
      <c r="H548" s="103" t="s">
        <v>437</v>
      </c>
      <c r="I548" s="104">
        <v>44286</v>
      </c>
      <c r="J548" s="104"/>
      <c r="K548" s="105">
        <v>217</v>
      </c>
      <c r="M548"/>
      <c r="N548" s="95"/>
      <c r="O548" s="95"/>
      <c r="Q548"/>
      <c r="AC548"/>
      <c r="AG548"/>
      <c r="AK548"/>
    </row>
    <row r="549" spans="1:45" ht="15" customHeight="1" x14ac:dyDescent="0.25">
      <c r="A549" s="115" t="s">
        <v>1490</v>
      </c>
      <c r="B549" s="112" t="s">
        <v>1543</v>
      </c>
      <c r="C549" s="101">
        <v>59392</v>
      </c>
      <c r="D549" s="102" t="s">
        <v>1608</v>
      </c>
      <c r="E549" s="103" t="s">
        <v>484</v>
      </c>
      <c r="F549" s="103" t="s">
        <v>397</v>
      </c>
      <c r="G549" s="103" t="s">
        <v>427</v>
      </c>
      <c r="H549" s="103" t="s">
        <v>437</v>
      </c>
      <c r="I549" s="104">
        <v>44286</v>
      </c>
      <c r="J549" s="104"/>
      <c r="K549" s="105">
        <v>500000.48</v>
      </c>
      <c r="M549"/>
      <c r="N549" s="95"/>
      <c r="O549" s="95"/>
      <c r="Q549"/>
      <c r="AC549"/>
      <c r="AG549"/>
      <c r="AK549"/>
    </row>
    <row r="550" spans="1:45" ht="15" customHeight="1" x14ac:dyDescent="0.25">
      <c r="A550" s="115" t="s">
        <v>1490</v>
      </c>
      <c r="B550" s="112" t="s">
        <v>1543</v>
      </c>
      <c r="C550" s="101">
        <v>59170</v>
      </c>
      <c r="D550" s="102" t="s">
        <v>1609</v>
      </c>
      <c r="E550" s="103" t="s">
        <v>484</v>
      </c>
      <c r="F550" s="103" t="s">
        <v>397</v>
      </c>
      <c r="G550" s="103" t="s">
        <v>427</v>
      </c>
      <c r="H550" s="103" t="s">
        <v>437</v>
      </c>
      <c r="I550" s="104">
        <v>44253</v>
      </c>
      <c r="J550" s="104"/>
      <c r="K550" s="105">
        <v>807459.92</v>
      </c>
      <c r="M550"/>
      <c r="N550" s="95"/>
      <c r="O550" s="95"/>
      <c r="Q550"/>
      <c r="AC550"/>
      <c r="AG550"/>
      <c r="AK550"/>
    </row>
    <row r="551" spans="1:45" ht="15" customHeight="1" x14ac:dyDescent="0.25">
      <c r="A551" s="115" t="s">
        <v>1490</v>
      </c>
      <c r="B551" s="112" t="s">
        <v>1543</v>
      </c>
      <c r="C551" s="101">
        <v>58589</v>
      </c>
      <c r="D551" s="102" t="s">
        <v>1610</v>
      </c>
      <c r="E551" s="103" t="s">
        <v>46</v>
      </c>
      <c r="F551" s="103" t="s">
        <v>412</v>
      </c>
      <c r="G551" s="103" t="s">
        <v>427</v>
      </c>
      <c r="H551" s="103" t="s">
        <v>437</v>
      </c>
      <c r="I551" s="104">
        <v>44041</v>
      </c>
      <c r="J551" s="104">
        <v>44040</v>
      </c>
      <c r="K551" s="105">
        <v>2090338.54</v>
      </c>
      <c r="M551"/>
      <c r="N551" s="95"/>
      <c r="O551" s="95"/>
      <c r="Q551"/>
      <c r="AC551"/>
      <c r="AG551"/>
      <c r="AK551"/>
    </row>
    <row r="552" spans="1:45" ht="15" customHeight="1" x14ac:dyDescent="0.25">
      <c r="A552" s="115" t="s">
        <v>1490</v>
      </c>
      <c r="B552" s="112" t="s">
        <v>1543</v>
      </c>
      <c r="C552" s="101">
        <v>57963</v>
      </c>
      <c r="D552" s="102" t="s">
        <v>1611</v>
      </c>
      <c r="E552" s="103" t="s">
        <v>451</v>
      </c>
      <c r="F552" s="103" t="s">
        <v>397</v>
      </c>
      <c r="G552" s="103"/>
      <c r="H552" s="103" t="s">
        <v>437</v>
      </c>
      <c r="I552" s="104">
        <v>44163</v>
      </c>
      <c r="J552" s="104"/>
      <c r="K552" s="105">
        <v>32760</v>
      </c>
      <c r="M552"/>
      <c r="N552" s="95"/>
      <c r="O552" s="95"/>
      <c r="Q552"/>
      <c r="AC552"/>
      <c r="AG552"/>
      <c r="AK552"/>
    </row>
    <row r="553" spans="1:45" ht="15" customHeight="1" x14ac:dyDescent="0.25">
      <c r="A553" s="115" t="s">
        <v>1490</v>
      </c>
      <c r="B553" s="112" t="s">
        <v>1543</v>
      </c>
      <c r="C553" s="101">
        <v>57019</v>
      </c>
      <c r="D553" s="102" t="s">
        <v>1612</v>
      </c>
      <c r="E553" s="103" t="s">
        <v>484</v>
      </c>
      <c r="F553" s="103" t="s">
        <v>397</v>
      </c>
      <c r="G553" s="103" t="s">
        <v>427</v>
      </c>
      <c r="H553" s="103" t="s">
        <v>437</v>
      </c>
      <c r="I553" s="104">
        <v>43738</v>
      </c>
      <c r="J553" s="104"/>
      <c r="K553" s="105">
        <v>750000.23</v>
      </c>
      <c r="M553"/>
      <c r="N553" s="95"/>
      <c r="O553" s="95"/>
      <c r="Q553"/>
      <c r="AC553"/>
      <c r="AG553"/>
      <c r="AK553"/>
    </row>
    <row r="554" spans="1:45" ht="15" customHeight="1" x14ac:dyDescent="0.2">
      <c r="A554" s="115" t="s">
        <v>1490</v>
      </c>
      <c r="B554" s="112" t="s">
        <v>1543</v>
      </c>
      <c r="C554" s="101">
        <v>54335</v>
      </c>
      <c r="D554" s="102" t="s">
        <v>1613</v>
      </c>
      <c r="E554" s="103" t="s">
        <v>46</v>
      </c>
      <c r="F554" s="103" t="s">
        <v>412</v>
      </c>
      <c r="G554" s="103" t="s">
        <v>425</v>
      </c>
      <c r="H554" s="103" t="s">
        <v>423</v>
      </c>
      <c r="I554" s="104">
        <v>42247</v>
      </c>
      <c r="J554" s="104">
        <v>42247</v>
      </c>
      <c r="K554" s="105">
        <v>13300</v>
      </c>
      <c r="AO554" s="96"/>
      <c r="AP554" s="96"/>
      <c r="AQ554" s="96"/>
      <c r="AR554" s="96"/>
      <c r="AS554" s="96"/>
    </row>
    <row r="555" spans="1:45" ht="15" customHeight="1" x14ac:dyDescent="0.2">
      <c r="A555" s="115" t="s">
        <v>1634</v>
      </c>
      <c r="B555" s="112" t="s">
        <v>1139</v>
      </c>
      <c r="C555" s="101">
        <v>64718</v>
      </c>
      <c r="D555" s="102" t="s">
        <v>2119</v>
      </c>
      <c r="E555" s="103" t="s">
        <v>821</v>
      </c>
      <c r="F555" s="103" t="s">
        <v>412</v>
      </c>
      <c r="G555" s="103"/>
      <c r="H555" s="103" t="s">
        <v>437</v>
      </c>
      <c r="I555" s="104">
        <v>45351</v>
      </c>
      <c r="J555" s="104">
        <v>45324</v>
      </c>
      <c r="K555" s="105">
        <v>200000</v>
      </c>
      <c r="AO555" s="96"/>
      <c r="AP555" s="96"/>
      <c r="AQ555" s="96"/>
      <c r="AR555" s="96"/>
      <c r="AS555" s="96"/>
    </row>
    <row r="556" spans="1:45" ht="15" customHeight="1" x14ac:dyDescent="0.25">
      <c r="A556" s="115" t="s">
        <v>2135</v>
      </c>
      <c r="B556" s="112" t="s">
        <v>945</v>
      </c>
      <c r="C556" s="101">
        <v>60735</v>
      </c>
      <c r="D556" s="102" t="s">
        <v>2120</v>
      </c>
      <c r="E556" s="103" t="s">
        <v>67</v>
      </c>
      <c r="F556" s="103" t="s">
        <v>412</v>
      </c>
      <c r="G556" s="103"/>
      <c r="H556" s="103" t="s">
        <v>481</v>
      </c>
      <c r="I556" s="104">
        <v>44377</v>
      </c>
      <c r="J556" s="104">
        <v>44361</v>
      </c>
      <c r="K556" s="105">
        <v>1800</v>
      </c>
      <c r="M556"/>
      <c r="N556" s="95"/>
      <c r="O556" s="95"/>
      <c r="Q556"/>
      <c r="AC556"/>
      <c r="AG556"/>
      <c r="AK556"/>
    </row>
    <row r="557" spans="1:45" ht="15" customHeight="1" x14ac:dyDescent="0.25">
      <c r="A557" s="115" t="s">
        <v>2135</v>
      </c>
      <c r="B557" s="112" t="s">
        <v>945</v>
      </c>
      <c r="C557" s="101">
        <v>60862</v>
      </c>
      <c r="D557" s="102" t="s">
        <v>2121</v>
      </c>
      <c r="E557" s="103" t="s">
        <v>46</v>
      </c>
      <c r="F557" s="103" t="s">
        <v>412</v>
      </c>
      <c r="G557" s="103"/>
      <c r="H557" s="103" t="s">
        <v>437</v>
      </c>
      <c r="I557" s="104">
        <v>44651</v>
      </c>
      <c r="J557" s="104">
        <v>44630</v>
      </c>
      <c r="K557" s="105">
        <v>4300</v>
      </c>
      <c r="M557"/>
      <c r="N557" s="95"/>
      <c r="O557" s="95"/>
      <c r="Q557"/>
      <c r="AG557"/>
      <c r="AK557"/>
    </row>
    <row r="558" spans="1:45" x14ac:dyDescent="0.25">
      <c r="A558" s="115" t="s">
        <v>2135</v>
      </c>
      <c r="B558" s="112" t="s">
        <v>945</v>
      </c>
      <c r="C558" s="101">
        <v>62931</v>
      </c>
      <c r="D558" s="102" t="s">
        <v>2122</v>
      </c>
      <c r="E558" s="103" t="s">
        <v>46</v>
      </c>
      <c r="F558" s="103" t="s">
        <v>397</v>
      </c>
      <c r="G558" s="103"/>
      <c r="H558" s="103" t="s">
        <v>433</v>
      </c>
      <c r="I558" s="104">
        <v>45107</v>
      </c>
      <c r="J558" s="104"/>
      <c r="K558" s="105">
        <v>4945</v>
      </c>
      <c r="L558" s="130"/>
      <c r="M558" s="130"/>
      <c r="N558" s="130"/>
      <c r="O558" s="130"/>
      <c r="P558" s="131"/>
    </row>
    <row r="559" spans="1:45" x14ac:dyDescent="0.25">
      <c r="A559" s="115" t="s">
        <v>2135</v>
      </c>
      <c r="B559" s="112" t="s">
        <v>945</v>
      </c>
      <c r="C559" s="101">
        <v>63955</v>
      </c>
      <c r="D559" s="102" t="s">
        <v>2123</v>
      </c>
      <c r="E559" s="103" t="s">
        <v>484</v>
      </c>
      <c r="F559" s="103" t="s">
        <v>412</v>
      </c>
      <c r="G559" s="103"/>
      <c r="H559" s="103" t="s">
        <v>437</v>
      </c>
      <c r="I559" s="104">
        <v>45045</v>
      </c>
      <c r="J559" s="104">
        <v>45028</v>
      </c>
      <c r="K559" s="105">
        <v>5000</v>
      </c>
      <c r="L559" s="130"/>
      <c r="M559" s="130"/>
      <c r="N559" s="130"/>
      <c r="O559" s="130"/>
      <c r="P559" s="131"/>
    </row>
    <row r="560" spans="1:45" x14ac:dyDescent="0.25">
      <c r="A560" s="115" t="s">
        <v>2135</v>
      </c>
      <c r="B560" s="112" t="s">
        <v>945</v>
      </c>
      <c r="C560" s="101">
        <v>63953</v>
      </c>
      <c r="D560" s="102" t="s">
        <v>2124</v>
      </c>
      <c r="E560" s="103" t="s">
        <v>46</v>
      </c>
      <c r="F560" s="103" t="s">
        <v>412</v>
      </c>
      <c r="G560" s="103"/>
      <c r="H560" s="103" t="s">
        <v>437</v>
      </c>
      <c r="I560" s="104">
        <v>45045</v>
      </c>
      <c r="J560" s="104">
        <v>45029</v>
      </c>
      <c r="K560" s="105">
        <v>16000</v>
      </c>
      <c r="M560" s="130"/>
      <c r="N560" s="130"/>
      <c r="O560" s="130"/>
      <c r="P560" s="131"/>
    </row>
    <row r="561" spans="1:16" x14ac:dyDescent="0.25">
      <c r="A561" s="115" t="s">
        <v>2135</v>
      </c>
      <c r="B561" s="112" t="s">
        <v>945</v>
      </c>
      <c r="C561" s="101">
        <v>64269</v>
      </c>
      <c r="D561" s="102" t="s">
        <v>2125</v>
      </c>
      <c r="E561" s="103" t="s">
        <v>46</v>
      </c>
      <c r="F561" s="103" t="s">
        <v>397</v>
      </c>
      <c r="G561" s="103"/>
      <c r="H561" s="103" t="s">
        <v>437</v>
      </c>
      <c r="I561" s="104"/>
      <c r="J561" s="104"/>
      <c r="K561" s="105">
        <v>25200</v>
      </c>
      <c r="M561" s="130"/>
      <c r="N561" s="130"/>
      <c r="O561" s="130"/>
      <c r="P561" s="131"/>
    </row>
    <row r="562" spans="1:16" x14ac:dyDescent="0.25">
      <c r="A562" s="115" t="s">
        <v>2135</v>
      </c>
      <c r="B562" s="112" t="s">
        <v>945</v>
      </c>
      <c r="C562" s="101">
        <v>63761</v>
      </c>
      <c r="D562" s="102" t="s">
        <v>2126</v>
      </c>
      <c r="E562" s="103" t="s">
        <v>68</v>
      </c>
      <c r="F562" s="103" t="s">
        <v>398</v>
      </c>
      <c r="G562" s="103"/>
      <c r="H562" s="103" t="s">
        <v>437</v>
      </c>
      <c r="I562" s="104">
        <v>45471</v>
      </c>
      <c r="J562" s="104"/>
      <c r="K562" s="105">
        <v>239010.04</v>
      </c>
      <c r="M562"/>
      <c r="N562"/>
      <c r="O562"/>
      <c r="P562"/>
    </row>
    <row r="563" spans="1:16" x14ac:dyDescent="0.25">
      <c r="A563" s="115" t="s">
        <v>2135</v>
      </c>
      <c r="B563" s="112" t="s">
        <v>945</v>
      </c>
      <c r="C563" s="101">
        <v>65211</v>
      </c>
      <c r="D563" s="102" t="s">
        <v>2127</v>
      </c>
      <c r="E563" s="103" t="s">
        <v>821</v>
      </c>
      <c r="F563" s="103" t="s">
        <v>440</v>
      </c>
      <c r="G563" s="103"/>
      <c r="H563" s="103" t="s">
        <v>437</v>
      </c>
      <c r="I563" s="104">
        <v>45471</v>
      </c>
      <c r="J563" s="104"/>
      <c r="K563" s="105">
        <v>55196.47</v>
      </c>
    </row>
    <row r="564" spans="1:16" x14ac:dyDescent="0.25">
      <c r="A564" s="115" t="s">
        <v>2135</v>
      </c>
      <c r="B564" s="112" t="s">
        <v>945</v>
      </c>
      <c r="C564" s="101">
        <v>64187</v>
      </c>
      <c r="D564" s="102" t="s">
        <v>2128</v>
      </c>
      <c r="E564" s="103" t="s">
        <v>46</v>
      </c>
      <c r="F564" s="103" t="s">
        <v>412</v>
      </c>
      <c r="G564" s="103"/>
      <c r="H564" s="103" t="s">
        <v>437</v>
      </c>
      <c r="I564" s="104">
        <v>45369</v>
      </c>
      <c r="J564" s="104">
        <v>45369</v>
      </c>
      <c r="K564" s="105">
        <v>21000</v>
      </c>
    </row>
    <row r="565" spans="1:16" x14ac:dyDescent="0.25">
      <c r="A565" s="115" t="s">
        <v>2135</v>
      </c>
      <c r="B565" s="112" t="s">
        <v>945</v>
      </c>
      <c r="C565" s="101">
        <v>63570</v>
      </c>
      <c r="D565" s="102" t="s">
        <v>2129</v>
      </c>
      <c r="E565" s="103" t="s">
        <v>46</v>
      </c>
      <c r="F565" s="103" t="s">
        <v>412</v>
      </c>
      <c r="G565" s="103"/>
      <c r="H565" s="103" t="s">
        <v>437</v>
      </c>
      <c r="I565" s="104">
        <v>44985</v>
      </c>
      <c r="J565" s="104">
        <v>44972</v>
      </c>
      <c r="K565" s="105">
        <v>20000</v>
      </c>
    </row>
    <row r="566" spans="1:16" x14ac:dyDescent="0.25">
      <c r="A566" s="115" t="s">
        <v>2135</v>
      </c>
      <c r="B566" s="112" t="s">
        <v>945</v>
      </c>
      <c r="C566" s="101">
        <v>63993</v>
      </c>
      <c r="D566" s="102" t="s">
        <v>2130</v>
      </c>
      <c r="E566" s="103" t="s">
        <v>46</v>
      </c>
      <c r="F566" s="103" t="s">
        <v>397</v>
      </c>
      <c r="G566" s="103"/>
      <c r="H566" s="103" t="s">
        <v>437</v>
      </c>
      <c r="I566" s="104">
        <v>45072</v>
      </c>
      <c r="J566" s="104"/>
      <c r="K566" s="105">
        <v>10000</v>
      </c>
    </row>
    <row r="567" spans="1:16" x14ac:dyDescent="0.25">
      <c r="A567" s="115" t="s">
        <v>2135</v>
      </c>
      <c r="B567" s="112" t="s">
        <v>945</v>
      </c>
      <c r="C567" s="101">
        <v>65588</v>
      </c>
      <c r="D567" s="102" t="s">
        <v>2131</v>
      </c>
      <c r="E567" s="103" t="s">
        <v>46</v>
      </c>
      <c r="F567" s="103" t="s">
        <v>401</v>
      </c>
      <c r="G567" s="103"/>
      <c r="H567" s="103" t="s">
        <v>437</v>
      </c>
      <c r="I567" s="104">
        <v>45471</v>
      </c>
      <c r="J567" s="104"/>
      <c r="K567" s="105">
        <v>10500</v>
      </c>
    </row>
    <row r="568" spans="1:16" x14ac:dyDescent="0.25">
      <c r="A568" s="115" t="s">
        <v>2135</v>
      </c>
      <c r="B568" s="112" t="s">
        <v>945</v>
      </c>
      <c r="C568" s="101">
        <v>63950</v>
      </c>
      <c r="D568" s="102" t="s">
        <v>2132</v>
      </c>
      <c r="E568" s="103" t="s">
        <v>46</v>
      </c>
      <c r="F568" s="103" t="s">
        <v>412</v>
      </c>
      <c r="G568" s="103"/>
      <c r="H568" s="103" t="s">
        <v>437</v>
      </c>
      <c r="I568" s="104">
        <v>45169</v>
      </c>
      <c r="J568" s="104">
        <v>45153</v>
      </c>
      <c r="K568" s="105">
        <v>20000</v>
      </c>
    </row>
    <row r="569" spans="1:16" x14ac:dyDescent="0.25">
      <c r="A569" s="115" t="s">
        <v>2135</v>
      </c>
      <c r="B569" s="112" t="s">
        <v>945</v>
      </c>
      <c r="C569" s="101">
        <v>63804</v>
      </c>
      <c r="D569" s="102" t="s">
        <v>2133</v>
      </c>
      <c r="E569" s="103" t="s">
        <v>67</v>
      </c>
      <c r="F569" s="103" t="s">
        <v>397</v>
      </c>
      <c r="G569" s="103"/>
      <c r="H569" s="103" t="s">
        <v>437</v>
      </c>
      <c r="I569" s="104">
        <v>45380</v>
      </c>
      <c r="J569" s="104"/>
      <c r="K569" s="105">
        <v>20000</v>
      </c>
    </row>
    <row r="570" spans="1:16" x14ac:dyDescent="0.25">
      <c r="A570" s="115" t="s">
        <v>2135</v>
      </c>
      <c r="B570" s="112" t="s">
        <v>945</v>
      </c>
      <c r="C570" s="101">
        <v>63802</v>
      </c>
      <c r="D570" s="102" t="s">
        <v>2134</v>
      </c>
      <c r="E570" s="103" t="s">
        <v>830</v>
      </c>
      <c r="F570" s="103" t="s">
        <v>397</v>
      </c>
      <c r="G570" s="103"/>
      <c r="H570" s="103" t="s">
        <v>437</v>
      </c>
      <c r="I570" s="104">
        <v>45198</v>
      </c>
      <c r="J570" s="104"/>
      <c r="K570" s="105">
        <v>15121.84</v>
      </c>
    </row>
    <row r="571" spans="1:16" x14ac:dyDescent="0.25">
      <c r="A571" s="115" t="s">
        <v>1788</v>
      </c>
      <c r="B571" s="112" t="s">
        <v>252</v>
      </c>
      <c r="C571" s="101">
        <v>65713</v>
      </c>
      <c r="D571" s="102" t="s">
        <v>2136</v>
      </c>
      <c r="E571" s="103" t="s">
        <v>579</v>
      </c>
      <c r="F571" s="103" t="s">
        <v>440</v>
      </c>
      <c r="G571" s="103" t="s">
        <v>417</v>
      </c>
      <c r="H571" s="103" t="s">
        <v>414</v>
      </c>
      <c r="I571" s="104">
        <v>45758</v>
      </c>
      <c r="J571" s="104"/>
      <c r="K571" s="105">
        <v>337825.67</v>
      </c>
    </row>
    <row r="572" spans="1:16" x14ac:dyDescent="0.25">
      <c r="A572" s="115" t="s">
        <v>1788</v>
      </c>
      <c r="B572" s="112" t="s">
        <v>252</v>
      </c>
      <c r="C572" s="101">
        <v>64054</v>
      </c>
      <c r="D572" s="102" t="s">
        <v>2137</v>
      </c>
      <c r="E572" s="103" t="s">
        <v>579</v>
      </c>
      <c r="F572" s="103" t="s">
        <v>412</v>
      </c>
      <c r="G572" s="103" t="s">
        <v>417</v>
      </c>
      <c r="H572" s="103" t="s">
        <v>414</v>
      </c>
      <c r="I572" s="104">
        <v>45399</v>
      </c>
      <c r="J572" s="104">
        <v>45398</v>
      </c>
      <c r="K572" s="105">
        <v>337825.67</v>
      </c>
    </row>
    <row r="573" spans="1:16" x14ac:dyDescent="0.25">
      <c r="A573" s="115" t="s">
        <v>1788</v>
      </c>
      <c r="B573" s="112" t="s">
        <v>252</v>
      </c>
      <c r="C573" s="101">
        <v>62531</v>
      </c>
      <c r="D573" s="102" t="s">
        <v>2138</v>
      </c>
      <c r="E573" s="103" t="s">
        <v>579</v>
      </c>
      <c r="F573" s="103" t="s">
        <v>412</v>
      </c>
      <c r="G573" s="103" t="s">
        <v>417</v>
      </c>
      <c r="H573" s="103" t="s">
        <v>414</v>
      </c>
      <c r="I573" s="104">
        <v>45044</v>
      </c>
      <c r="J573" s="104">
        <v>45033</v>
      </c>
      <c r="K573" s="105">
        <v>445500</v>
      </c>
      <c r="P573" s="96" t="s">
        <v>2139</v>
      </c>
    </row>
    <row r="574" spans="1:16" x14ac:dyDescent="0.25">
      <c r="A574" s="115" t="s">
        <v>1788</v>
      </c>
      <c r="B574" s="112" t="s">
        <v>252</v>
      </c>
      <c r="C574" s="101">
        <v>59586</v>
      </c>
      <c r="D574" s="102" t="s">
        <v>2140</v>
      </c>
      <c r="E574" s="103" t="s">
        <v>46</v>
      </c>
      <c r="F574" s="103" t="s">
        <v>412</v>
      </c>
      <c r="G574" s="103" t="s">
        <v>413</v>
      </c>
      <c r="H574" s="103" t="s">
        <v>414</v>
      </c>
      <c r="I574" s="104">
        <v>44286</v>
      </c>
      <c r="J574" s="104">
        <v>44357</v>
      </c>
      <c r="K574" s="105">
        <v>157600.01</v>
      </c>
    </row>
    <row r="575" spans="1:16" x14ac:dyDescent="0.25">
      <c r="A575" s="115" t="s">
        <v>1788</v>
      </c>
      <c r="B575" s="112" t="s">
        <v>252</v>
      </c>
      <c r="C575" s="101">
        <v>58983</v>
      </c>
      <c r="D575" s="102" t="s">
        <v>2141</v>
      </c>
      <c r="E575" s="103" t="s">
        <v>46</v>
      </c>
      <c r="F575" s="103" t="s">
        <v>412</v>
      </c>
      <c r="G575" s="103" t="s">
        <v>413</v>
      </c>
      <c r="H575" s="103" t="s">
        <v>414</v>
      </c>
      <c r="I575" s="104">
        <v>43921</v>
      </c>
      <c r="J575" s="104">
        <v>44001</v>
      </c>
      <c r="K575" s="105">
        <v>154000.01999999999</v>
      </c>
    </row>
    <row r="576" spans="1:16" x14ac:dyDescent="0.25">
      <c r="A576" s="115" t="s">
        <v>1788</v>
      </c>
      <c r="B576" s="112" t="s">
        <v>252</v>
      </c>
      <c r="C576" s="101">
        <v>56844</v>
      </c>
      <c r="D576" s="102" t="s">
        <v>2142</v>
      </c>
      <c r="E576" s="103" t="s">
        <v>46</v>
      </c>
      <c r="F576" s="103" t="s">
        <v>412</v>
      </c>
      <c r="G576" s="103" t="s">
        <v>413</v>
      </c>
      <c r="H576" s="103" t="s">
        <v>414</v>
      </c>
      <c r="I576" s="104">
        <v>43564</v>
      </c>
      <c r="J576" s="104">
        <v>43601</v>
      </c>
      <c r="K576" s="105">
        <v>119122.55</v>
      </c>
    </row>
    <row r="577" spans="1:11" x14ac:dyDescent="0.25">
      <c r="A577" s="115" t="s">
        <v>1788</v>
      </c>
      <c r="B577" s="112" t="s">
        <v>252</v>
      </c>
      <c r="C577" s="101">
        <v>50606</v>
      </c>
      <c r="D577" s="102" t="s">
        <v>2143</v>
      </c>
      <c r="E577" s="103" t="s">
        <v>46</v>
      </c>
      <c r="F577" s="103" t="s">
        <v>412</v>
      </c>
      <c r="G577" s="103" t="s">
        <v>413</v>
      </c>
      <c r="H577" s="103" t="s">
        <v>414</v>
      </c>
      <c r="I577" s="104">
        <v>43102</v>
      </c>
      <c r="J577" s="104">
        <v>43102</v>
      </c>
      <c r="K577" s="105">
        <v>66164.02</v>
      </c>
    </row>
    <row r="578" spans="1:11" x14ac:dyDescent="0.25">
      <c r="A578" s="115" t="s">
        <v>1788</v>
      </c>
      <c r="B578" s="112" t="s">
        <v>252</v>
      </c>
      <c r="C578" s="101">
        <v>50609</v>
      </c>
      <c r="D578" s="102" t="s">
        <v>2144</v>
      </c>
      <c r="E578" s="103" t="s">
        <v>46</v>
      </c>
      <c r="F578" s="103" t="s">
        <v>412</v>
      </c>
      <c r="G578" s="103" t="s">
        <v>413</v>
      </c>
      <c r="H578" s="103" t="s">
        <v>414</v>
      </c>
      <c r="I578" s="104">
        <v>42738</v>
      </c>
      <c r="J578" s="104">
        <v>42738</v>
      </c>
      <c r="K578" s="105">
        <v>67032.75</v>
      </c>
    </row>
    <row r="579" spans="1:11" x14ac:dyDescent="0.25">
      <c r="A579" s="115" t="s">
        <v>1788</v>
      </c>
      <c r="B579" s="112" t="s">
        <v>252</v>
      </c>
      <c r="C579" s="101">
        <v>50608</v>
      </c>
      <c r="D579" s="102" t="s">
        <v>2145</v>
      </c>
      <c r="E579" s="103" t="s">
        <v>46</v>
      </c>
      <c r="F579" s="103" t="s">
        <v>412</v>
      </c>
      <c r="G579" s="103" t="s">
        <v>413</v>
      </c>
      <c r="H579" s="103" t="s">
        <v>414</v>
      </c>
      <c r="I579" s="104">
        <v>42372</v>
      </c>
      <c r="J579" s="104">
        <v>42372</v>
      </c>
      <c r="K579" s="105">
        <v>62000.87</v>
      </c>
    </row>
    <row r="580" spans="1:11" x14ac:dyDescent="0.25">
      <c r="A580" s="115" t="s">
        <v>1788</v>
      </c>
      <c r="B580" s="112" t="s">
        <v>252</v>
      </c>
      <c r="C580" s="101">
        <v>50607</v>
      </c>
      <c r="D580" s="102" t="s">
        <v>2146</v>
      </c>
      <c r="E580" s="103" t="s">
        <v>46</v>
      </c>
      <c r="F580" s="103" t="s">
        <v>412</v>
      </c>
      <c r="G580" s="103" t="s">
        <v>413</v>
      </c>
      <c r="H580" s="103" t="s">
        <v>414</v>
      </c>
      <c r="I580" s="104">
        <v>42007</v>
      </c>
      <c r="J580" s="104">
        <v>42007</v>
      </c>
      <c r="K580" s="105">
        <v>40599.72</v>
      </c>
    </row>
    <row r="581" spans="1:11" x14ac:dyDescent="0.25">
      <c r="A581" s="115" t="s">
        <v>1788</v>
      </c>
      <c r="B581" s="112" t="s">
        <v>252</v>
      </c>
      <c r="C581" s="101">
        <v>58472</v>
      </c>
      <c r="D581" s="102" t="s">
        <v>2147</v>
      </c>
      <c r="E581" s="103" t="s">
        <v>46</v>
      </c>
      <c r="F581" s="103" t="s">
        <v>397</v>
      </c>
      <c r="G581" s="103" t="s">
        <v>425</v>
      </c>
      <c r="H581" s="103" t="s">
        <v>423</v>
      </c>
      <c r="I581" s="104">
        <v>44135</v>
      </c>
      <c r="J581" s="104"/>
      <c r="K581" s="105">
        <v>99600.8</v>
      </c>
    </row>
    <row r="582" spans="1:11" x14ac:dyDescent="0.25">
      <c r="A582" s="115" t="s">
        <v>1788</v>
      </c>
      <c r="B582" s="112" t="s">
        <v>252</v>
      </c>
      <c r="C582" s="101">
        <v>54086</v>
      </c>
      <c r="D582" s="102" t="s">
        <v>2148</v>
      </c>
      <c r="E582" s="103" t="s">
        <v>46</v>
      </c>
      <c r="F582" s="103" t="s">
        <v>412</v>
      </c>
      <c r="G582" s="103" t="s">
        <v>425</v>
      </c>
      <c r="H582" s="103" t="s">
        <v>423</v>
      </c>
      <c r="I582" s="104">
        <v>42066</v>
      </c>
      <c r="J582" s="104">
        <v>42066</v>
      </c>
      <c r="K582" s="105">
        <v>18900</v>
      </c>
    </row>
    <row r="583" spans="1:11" x14ac:dyDescent="0.25">
      <c r="A583" s="115" t="s">
        <v>1788</v>
      </c>
      <c r="B583" s="112" t="s">
        <v>252</v>
      </c>
      <c r="C583" s="101">
        <v>55922</v>
      </c>
      <c r="D583" s="102" t="s">
        <v>2149</v>
      </c>
      <c r="E583" s="103" t="s">
        <v>46</v>
      </c>
      <c r="F583" s="103" t="s">
        <v>412</v>
      </c>
      <c r="G583" s="103" t="s">
        <v>425</v>
      </c>
      <c r="H583" s="103" t="s">
        <v>423</v>
      </c>
      <c r="I583" s="104">
        <v>41976</v>
      </c>
      <c r="J583" s="104">
        <v>41976</v>
      </c>
      <c r="K583" s="105">
        <v>94250.03</v>
      </c>
    </row>
    <row r="584" spans="1:11" x14ac:dyDescent="0.25">
      <c r="A584" s="115" t="s">
        <v>1788</v>
      </c>
      <c r="B584" s="112" t="s">
        <v>252</v>
      </c>
      <c r="C584" s="101">
        <v>55921</v>
      </c>
      <c r="D584" s="102" t="s">
        <v>2150</v>
      </c>
      <c r="E584" s="103" t="s">
        <v>46</v>
      </c>
      <c r="F584" s="103" t="s">
        <v>412</v>
      </c>
      <c r="G584" s="103" t="s">
        <v>425</v>
      </c>
      <c r="H584" s="103" t="s">
        <v>423</v>
      </c>
      <c r="I584" s="104">
        <v>41954</v>
      </c>
      <c r="J584" s="104">
        <v>41954</v>
      </c>
      <c r="K584" s="105">
        <v>13440</v>
      </c>
    </row>
    <row r="585" spans="1:11" x14ac:dyDescent="0.25">
      <c r="A585" s="115" t="s">
        <v>1788</v>
      </c>
      <c r="B585" s="112" t="s">
        <v>252</v>
      </c>
      <c r="C585" s="101">
        <v>55923</v>
      </c>
      <c r="D585" s="102" t="s">
        <v>2151</v>
      </c>
      <c r="E585" s="103"/>
      <c r="F585" s="103" t="s">
        <v>412</v>
      </c>
      <c r="G585" s="103"/>
      <c r="H585" s="103" t="s">
        <v>437</v>
      </c>
      <c r="I585" s="104">
        <v>41976</v>
      </c>
      <c r="J585" s="104">
        <v>41976</v>
      </c>
      <c r="K585" s="105">
        <v>49999.9</v>
      </c>
    </row>
    <row r="586" spans="1:11" x14ac:dyDescent="0.25">
      <c r="A586" s="115" t="s">
        <v>1788</v>
      </c>
      <c r="B586" s="112" t="s">
        <v>252</v>
      </c>
      <c r="C586" s="101">
        <v>53702</v>
      </c>
      <c r="D586" s="102" t="s">
        <v>2152</v>
      </c>
      <c r="E586" s="103" t="s">
        <v>46</v>
      </c>
      <c r="F586" s="103" t="s">
        <v>412</v>
      </c>
      <c r="G586" s="103" t="s">
        <v>425</v>
      </c>
      <c r="H586" s="103" t="s">
        <v>423</v>
      </c>
      <c r="I586" s="104">
        <v>42445</v>
      </c>
      <c r="J586" s="104">
        <v>42445</v>
      </c>
      <c r="K586" s="105">
        <v>19500.48</v>
      </c>
    </row>
    <row r="587" spans="1:11" x14ac:dyDescent="0.25">
      <c r="A587" s="115" t="s">
        <v>1788</v>
      </c>
      <c r="B587" s="112" t="s">
        <v>252</v>
      </c>
      <c r="C587" s="101">
        <v>53662</v>
      </c>
      <c r="D587" s="102" t="s">
        <v>2153</v>
      </c>
      <c r="E587" s="103" t="s">
        <v>46</v>
      </c>
      <c r="F587" s="103" t="s">
        <v>412</v>
      </c>
      <c r="G587" s="103" t="s">
        <v>425</v>
      </c>
      <c r="H587" s="103" t="s">
        <v>423</v>
      </c>
      <c r="I587" s="104">
        <v>42418</v>
      </c>
      <c r="J587" s="104">
        <v>42418</v>
      </c>
      <c r="K587" s="105">
        <v>38712.5</v>
      </c>
    </row>
    <row r="588" spans="1:11" x14ac:dyDescent="0.25">
      <c r="A588" s="115" t="s">
        <v>1788</v>
      </c>
      <c r="B588" s="112" t="s">
        <v>252</v>
      </c>
      <c r="C588" s="101">
        <v>53651</v>
      </c>
      <c r="D588" s="102" t="s">
        <v>2154</v>
      </c>
      <c r="E588" s="103" t="s">
        <v>46</v>
      </c>
      <c r="F588" s="103" t="s">
        <v>412</v>
      </c>
      <c r="G588" s="103" t="s">
        <v>425</v>
      </c>
      <c r="H588" s="103" t="s">
        <v>423</v>
      </c>
      <c r="I588" s="104">
        <v>42405</v>
      </c>
      <c r="J588" s="104">
        <v>42405</v>
      </c>
      <c r="K588" s="105">
        <v>12225</v>
      </c>
    </row>
    <row r="589" spans="1:11" x14ac:dyDescent="0.25">
      <c r="A589" s="115" t="s">
        <v>1788</v>
      </c>
      <c r="B589" s="112" t="s">
        <v>252</v>
      </c>
      <c r="C589" s="101">
        <v>53523</v>
      </c>
      <c r="D589" s="102" t="s">
        <v>2155</v>
      </c>
      <c r="E589" s="103" t="s">
        <v>46</v>
      </c>
      <c r="F589" s="103" t="s">
        <v>412</v>
      </c>
      <c r="G589" s="103"/>
      <c r="H589" s="103" t="s">
        <v>433</v>
      </c>
      <c r="I589" s="104">
        <v>43066</v>
      </c>
      <c r="J589" s="104">
        <v>43066</v>
      </c>
      <c r="K589" s="105">
        <v>19264</v>
      </c>
    </row>
    <row r="590" spans="1:11" x14ac:dyDescent="0.25">
      <c r="A590" s="115" t="s">
        <v>1788</v>
      </c>
      <c r="B590" s="112" t="s">
        <v>252</v>
      </c>
      <c r="C590" s="101">
        <v>55920</v>
      </c>
      <c r="D590" s="102" t="s">
        <v>2156</v>
      </c>
      <c r="E590" s="103" t="s">
        <v>46</v>
      </c>
      <c r="F590" s="103" t="s">
        <v>412</v>
      </c>
      <c r="G590" s="103" t="s">
        <v>427</v>
      </c>
      <c r="H590" s="103" t="s">
        <v>423</v>
      </c>
      <c r="I590" s="104">
        <v>41726</v>
      </c>
      <c r="J590" s="104">
        <v>41726</v>
      </c>
      <c r="K590" s="105">
        <v>201883.97</v>
      </c>
    </row>
    <row r="591" spans="1:11" x14ac:dyDescent="0.25">
      <c r="A591" s="115" t="s">
        <v>1788</v>
      </c>
      <c r="B591" s="112" t="s">
        <v>252</v>
      </c>
      <c r="C591" s="101">
        <v>52074</v>
      </c>
      <c r="D591" s="102" t="s">
        <v>2157</v>
      </c>
      <c r="E591" s="103" t="s">
        <v>46</v>
      </c>
      <c r="F591" s="103" t="s">
        <v>397</v>
      </c>
      <c r="G591" s="103" t="s">
        <v>427</v>
      </c>
      <c r="H591" s="103" t="s">
        <v>423</v>
      </c>
      <c r="I591" s="104">
        <v>43107</v>
      </c>
      <c r="J591" s="104">
        <v>43107</v>
      </c>
      <c r="K591" s="105">
        <v>179280</v>
      </c>
    </row>
    <row r="592" spans="1:11" x14ac:dyDescent="0.25">
      <c r="A592" s="115" t="s">
        <v>1788</v>
      </c>
      <c r="B592" s="112" t="s">
        <v>252</v>
      </c>
      <c r="C592" s="101">
        <v>52075</v>
      </c>
      <c r="D592" s="102" t="s">
        <v>2158</v>
      </c>
      <c r="E592" s="103" t="s">
        <v>46</v>
      </c>
      <c r="F592" s="103" t="s">
        <v>412</v>
      </c>
      <c r="G592" s="103" t="s">
        <v>425</v>
      </c>
      <c r="H592" s="103" t="s">
        <v>423</v>
      </c>
      <c r="I592" s="104">
        <v>43111</v>
      </c>
      <c r="J592" s="104">
        <v>43111</v>
      </c>
      <c r="K592" s="105">
        <v>92830.04</v>
      </c>
    </row>
    <row r="593" spans="1:16" x14ac:dyDescent="0.25">
      <c r="A593" s="115" t="s">
        <v>1788</v>
      </c>
      <c r="B593" s="112" t="s">
        <v>252</v>
      </c>
      <c r="C593" s="101">
        <v>54085</v>
      </c>
      <c r="D593" s="102" t="s">
        <v>2159</v>
      </c>
      <c r="E593" s="103" t="s">
        <v>46</v>
      </c>
      <c r="F593" s="103" t="s">
        <v>412</v>
      </c>
      <c r="G593" s="103" t="s">
        <v>425</v>
      </c>
      <c r="H593" s="103" t="s">
        <v>423</v>
      </c>
      <c r="I593" s="104">
        <v>42066</v>
      </c>
      <c r="J593" s="104">
        <v>42066</v>
      </c>
      <c r="K593" s="105">
        <v>12283.31</v>
      </c>
    </row>
    <row r="594" spans="1:16" x14ac:dyDescent="0.25">
      <c r="A594" s="115" t="s">
        <v>1788</v>
      </c>
      <c r="B594" s="112" t="s">
        <v>252</v>
      </c>
      <c r="C594" s="101">
        <v>52671</v>
      </c>
      <c r="D594" s="102" t="s">
        <v>2160</v>
      </c>
      <c r="E594" s="103" t="s">
        <v>46</v>
      </c>
      <c r="F594" s="103" t="s">
        <v>412</v>
      </c>
      <c r="G594" s="103" t="s">
        <v>425</v>
      </c>
      <c r="H594" s="103" t="s">
        <v>423</v>
      </c>
      <c r="I594" s="104">
        <v>43159</v>
      </c>
      <c r="J594" s="104">
        <v>43159</v>
      </c>
      <c r="K594" s="105">
        <v>87048</v>
      </c>
    </row>
    <row r="595" spans="1:16" x14ac:dyDescent="0.25">
      <c r="A595" s="115" t="s">
        <v>1788</v>
      </c>
      <c r="B595" s="112" t="s">
        <v>252</v>
      </c>
      <c r="C595" s="101">
        <v>54347</v>
      </c>
      <c r="D595" s="102" t="s">
        <v>2161</v>
      </c>
      <c r="E595" s="103" t="s">
        <v>46</v>
      </c>
      <c r="F595" s="103" t="s">
        <v>412</v>
      </c>
      <c r="G595" s="103" t="s">
        <v>425</v>
      </c>
      <c r="H595" s="103" t="s">
        <v>423</v>
      </c>
      <c r="I595" s="104">
        <v>42261</v>
      </c>
      <c r="J595" s="104">
        <v>42261</v>
      </c>
      <c r="K595" s="105">
        <v>71000</v>
      </c>
    </row>
    <row r="596" spans="1:16" x14ac:dyDescent="0.25">
      <c r="A596" s="115" t="s">
        <v>1788</v>
      </c>
      <c r="B596" s="112" t="s">
        <v>252</v>
      </c>
      <c r="C596" s="101">
        <v>50009</v>
      </c>
      <c r="D596" s="102" t="s">
        <v>2162</v>
      </c>
      <c r="E596" s="103" t="s">
        <v>46</v>
      </c>
      <c r="F596" s="103" t="s">
        <v>397</v>
      </c>
      <c r="G596" s="103" t="s">
        <v>425</v>
      </c>
      <c r="H596" s="103" t="s">
        <v>423</v>
      </c>
      <c r="I596" s="104"/>
      <c r="J596" s="104">
        <v>43559</v>
      </c>
      <c r="K596" s="105">
        <v>0</v>
      </c>
    </row>
    <row r="597" spans="1:16" x14ac:dyDescent="0.25">
      <c r="A597" s="115" t="s">
        <v>1788</v>
      </c>
      <c r="B597" s="112" t="s">
        <v>252</v>
      </c>
      <c r="C597" s="101">
        <v>57417</v>
      </c>
      <c r="D597" s="102" t="s">
        <v>2163</v>
      </c>
      <c r="E597" s="103" t="s">
        <v>46</v>
      </c>
      <c r="F597" s="103" t="s">
        <v>412</v>
      </c>
      <c r="G597" s="103" t="s">
        <v>425</v>
      </c>
      <c r="H597" s="103" t="s">
        <v>423</v>
      </c>
      <c r="I597" s="104">
        <v>43769</v>
      </c>
      <c r="J597" s="104">
        <v>43769</v>
      </c>
      <c r="K597" s="105">
        <v>250000.04</v>
      </c>
    </row>
    <row r="598" spans="1:16" x14ac:dyDescent="0.25">
      <c r="A598" s="115" t="s">
        <v>1788</v>
      </c>
      <c r="B598" s="112" t="s">
        <v>252</v>
      </c>
      <c r="C598" s="101">
        <v>52073</v>
      </c>
      <c r="D598" s="102" t="s">
        <v>2164</v>
      </c>
      <c r="E598" s="103"/>
      <c r="F598" s="103" t="s">
        <v>412</v>
      </c>
      <c r="G598" s="103"/>
      <c r="H598" s="103" t="s">
        <v>437</v>
      </c>
      <c r="I598" s="104">
        <v>43107</v>
      </c>
      <c r="J598" s="104">
        <v>43107</v>
      </c>
      <c r="K598" s="105">
        <v>96250.01</v>
      </c>
    </row>
    <row r="599" spans="1:16" x14ac:dyDescent="0.25">
      <c r="A599" s="115" t="s">
        <v>1788</v>
      </c>
      <c r="B599" s="112" t="s">
        <v>252</v>
      </c>
      <c r="C599" s="101">
        <v>52072</v>
      </c>
      <c r="D599" s="102" t="s">
        <v>2165</v>
      </c>
      <c r="E599" s="103"/>
      <c r="F599" s="103" t="s">
        <v>412</v>
      </c>
      <c r="G599" s="103"/>
      <c r="H599" s="103" t="s">
        <v>437</v>
      </c>
      <c r="I599" s="104">
        <v>43105</v>
      </c>
      <c r="J599" s="104">
        <v>43105</v>
      </c>
      <c r="K599" s="105">
        <v>17500</v>
      </c>
    </row>
    <row r="600" spans="1:16" x14ac:dyDescent="0.25">
      <c r="A600" s="115" t="s">
        <v>1788</v>
      </c>
      <c r="B600" s="112" t="s">
        <v>252</v>
      </c>
      <c r="C600" s="101">
        <v>63898</v>
      </c>
      <c r="D600" s="102" t="s">
        <v>2166</v>
      </c>
      <c r="E600" s="103" t="s">
        <v>46</v>
      </c>
      <c r="F600" s="103" t="s">
        <v>412</v>
      </c>
      <c r="G600" s="103"/>
      <c r="H600" s="103" t="s">
        <v>437</v>
      </c>
      <c r="I600" s="104">
        <v>45077</v>
      </c>
      <c r="J600" s="104">
        <v>45071</v>
      </c>
      <c r="K600" s="105">
        <v>0</v>
      </c>
    </row>
    <row r="601" spans="1:16" x14ac:dyDescent="0.25">
      <c r="A601" s="115" t="s">
        <v>1788</v>
      </c>
      <c r="B601" s="112" t="s">
        <v>252</v>
      </c>
      <c r="C601" s="101">
        <v>64889</v>
      </c>
      <c r="D601" s="102" t="s">
        <v>2167</v>
      </c>
      <c r="E601" s="103" t="s">
        <v>487</v>
      </c>
      <c r="F601" s="103" t="s">
        <v>397</v>
      </c>
      <c r="G601" s="103" t="s">
        <v>447</v>
      </c>
      <c r="H601" s="103" t="s">
        <v>437</v>
      </c>
      <c r="I601" s="104">
        <v>45350</v>
      </c>
      <c r="J601" s="104"/>
      <c r="K601" s="105">
        <v>117500</v>
      </c>
    </row>
    <row r="602" spans="1:16" x14ac:dyDescent="0.25">
      <c r="A602" s="115" t="s">
        <v>1788</v>
      </c>
      <c r="B602" s="112" t="s">
        <v>252</v>
      </c>
      <c r="C602" s="101">
        <v>63487</v>
      </c>
      <c r="D602" s="102" t="s">
        <v>2168</v>
      </c>
      <c r="E602" s="103" t="s">
        <v>46</v>
      </c>
      <c r="F602" s="103" t="s">
        <v>397</v>
      </c>
      <c r="G602" s="103"/>
      <c r="H602" s="103" t="s">
        <v>437</v>
      </c>
      <c r="I602" s="104">
        <v>45107</v>
      </c>
      <c r="J602" s="104"/>
      <c r="K602" s="105">
        <v>394128.1</v>
      </c>
    </row>
    <row r="603" spans="1:16" x14ac:dyDescent="0.25">
      <c r="A603" s="115" t="s">
        <v>1788</v>
      </c>
      <c r="B603" s="112" t="s">
        <v>252</v>
      </c>
      <c r="C603" s="101">
        <v>65417</v>
      </c>
      <c r="D603" s="102" t="s">
        <v>2169</v>
      </c>
      <c r="E603" s="103" t="s">
        <v>54</v>
      </c>
      <c r="F603" s="103" t="s">
        <v>401</v>
      </c>
      <c r="G603" s="103"/>
      <c r="H603" s="103" t="s">
        <v>437</v>
      </c>
      <c r="I603" s="104">
        <v>45412</v>
      </c>
      <c r="J603" s="104"/>
      <c r="K603" s="105">
        <v>448135.67999999999</v>
      </c>
    </row>
    <row r="604" spans="1:16" x14ac:dyDescent="0.25">
      <c r="A604" s="115" t="s">
        <v>1788</v>
      </c>
      <c r="B604" s="112" t="s">
        <v>252</v>
      </c>
      <c r="C604" s="101">
        <v>63945</v>
      </c>
      <c r="D604" s="102" t="s">
        <v>2170</v>
      </c>
      <c r="E604" s="103" t="s">
        <v>821</v>
      </c>
      <c r="F604" s="103" t="s">
        <v>412</v>
      </c>
      <c r="G604" s="103"/>
      <c r="H604" s="103" t="s">
        <v>437</v>
      </c>
      <c r="I604" s="104">
        <v>45079</v>
      </c>
      <c r="J604" s="104">
        <v>45079</v>
      </c>
      <c r="K604" s="105">
        <v>817790.39</v>
      </c>
      <c r="P604" s="96" t="s">
        <v>2171</v>
      </c>
    </row>
    <row r="605" spans="1:16" x14ac:dyDescent="0.25">
      <c r="A605" s="115" t="s">
        <v>1788</v>
      </c>
      <c r="B605" s="112" t="s">
        <v>252</v>
      </c>
      <c r="C605" s="101">
        <v>54392</v>
      </c>
      <c r="D605" s="102" t="s">
        <v>2172</v>
      </c>
      <c r="E605" s="103" t="s">
        <v>46</v>
      </c>
      <c r="F605" s="103" t="s">
        <v>412</v>
      </c>
      <c r="G605" s="103" t="s">
        <v>425</v>
      </c>
      <c r="H605" s="103" t="s">
        <v>423</v>
      </c>
      <c r="I605" s="104">
        <v>42291</v>
      </c>
      <c r="J605" s="104">
        <v>42291</v>
      </c>
      <c r="K605" s="105">
        <v>55452.57</v>
      </c>
    </row>
    <row r="606" spans="1:16" x14ac:dyDescent="0.25">
      <c r="A606" s="115" t="s">
        <v>1788</v>
      </c>
      <c r="B606" s="112" t="s">
        <v>252</v>
      </c>
      <c r="C606" s="101">
        <v>54394</v>
      </c>
      <c r="D606" s="102" t="s">
        <v>2173</v>
      </c>
      <c r="E606" s="103" t="s">
        <v>46</v>
      </c>
      <c r="F606" s="103" t="s">
        <v>412</v>
      </c>
      <c r="G606" s="103" t="s">
        <v>425</v>
      </c>
      <c r="H606" s="103" t="s">
        <v>423</v>
      </c>
      <c r="I606" s="104">
        <v>42291</v>
      </c>
      <c r="J606" s="104">
        <v>42291</v>
      </c>
      <c r="K606" s="105">
        <v>102323.2</v>
      </c>
    </row>
    <row r="607" spans="1:16" x14ac:dyDescent="0.25">
      <c r="A607" s="115" t="s">
        <v>1788</v>
      </c>
      <c r="B607" s="112" t="s">
        <v>252</v>
      </c>
      <c r="C607" s="101">
        <v>53633</v>
      </c>
      <c r="D607" s="102" t="s">
        <v>2174</v>
      </c>
      <c r="E607" s="103" t="s">
        <v>46</v>
      </c>
      <c r="F607" s="103" t="s">
        <v>412</v>
      </c>
      <c r="G607" s="103" t="s">
        <v>425</v>
      </c>
      <c r="H607" s="103" t="s">
        <v>423</v>
      </c>
      <c r="I607" s="104">
        <v>42391</v>
      </c>
      <c r="J607" s="104">
        <v>42391</v>
      </c>
      <c r="K607" s="105">
        <v>19440.009999999998</v>
      </c>
    </row>
    <row r="608" spans="1:16" x14ac:dyDescent="0.25">
      <c r="A608" s="115" t="s">
        <v>1788</v>
      </c>
      <c r="B608" s="112" t="s">
        <v>252</v>
      </c>
      <c r="C608" s="101">
        <v>54391</v>
      </c>
      <c r="D608" s="102" t="s">
        <v>2175</v>
      </c>
      <c r="E608" s="103" t="s">
        <v>46</v>
      </c>
      <c r="F608" s="103" t="s">
        <v>412</v>
      </c>
      <c r="G608" s="103" t="s">
        <v>425</v>
      </c>
      <c r="H608" s="103" t="s">
        <v>423</v>
      </c>
      <c r="I608" s="104">
        <v>42291</v>
      </c>
      <c r="J608" s="104">
        <v>42291</v>
      </c>
      <c r="K608" s="105">
        <v>127078.27</v>
      </c>
    </row>
    <row r="609" spans="1:11" x14ac:dyDescent="0.25">
      <c r="A609" s="115" t="s">
        <v>1788</v>
      </c>
      <c r="B609" s="112" t="s">
        <v>252</v>
      </c>
      <c r="C609" s="101">
        <v>54420</v>
      </c>
      <c r="D609" s="102" t="s">
        <v>2176</v>
      </c>
      <c r="E609" s="103" t="s">
        <v>46</v>
      </c>
      <c r="F609" s="103" t="s">
        <v>412</v>
      </c>
      <c r="G609" s="103" t="s">
        <v>425</v>
      </c>
      <c r="H609" s="103" t="s">
        <v>423</v>
      </c>
      <c r="I609" s="104">
        <v>42319</v>
      </c>
      <c r="J609" s="104">
        <v>42319</v>
      </c>
      <c r="K609" s="105">
        <v>19827.21</v>
      </c>
    </row>
    <row r="610" spans="1:11" x14ac:dyDescent="0.25">
      <c r="A610" s="115" t="s">
        <v>1788</v>
      </c>
      <c r="B610" s="112" t="s">
        <v>252</v>
      </c>
      <c r="C610" s="101">
        <v>53816</v>
      </c>
      <c r="D610" s="102" t="s">
        <v>2177</v>
      </c>
      <c r="E610" s="103" t="s">
        <v>46</v>
      </c>
      <c r="F610" s="103" t="s">
        <v>412</v>
      </c>
      <c r="G610" s="103" t="s">
        <v>425</v>
      </c>
      <c r="H610" s="103" t="s">
        <v>423</v>
      </c>
      <c r="I610" s="104">
        <v>42534</v>
      </c>
      <c r="J610" s="104">
        <v>42534</v>
      </c>
      <c r="K610" s="105">
        <v>15080</v>
      </c>
    </row>
    <row r="611" spans="1:11" x14ac:dyDescent="0.25">
      <c r="A611" s="115" t="s">
        <v>1788</v>
      </c>
      <c r="B611" s="112" t="s">
        <v>252</v>
      </c>
      <c r="C611" s="101">
        <v>53693</v>
      </c>
      <c r="D611" s="102" t="s">
        <v>2178</v>
      </c>
      <c r="E611" s="103" t="s">
        <v>46</v>
      </c>
      <c r="F611" s="103" t="s">
        <v>412</v>
      </c>
      <c r="G611" s="103" t="s">
        <v>425</v>
      </c>
      <c r="H611" s="103" t="s">
        <v>423</v>
      </c>
      <c r="I611" s="104">
        <v>42439</v>
      </c>
      <c r="J611" s="104">
        <v>42439</v>
      </c>
      <c r="K611" s="105">
        <v>12225</v>
      </c>
    </row>
    <row r="612" spans="1:11" x14ac:dyDescent="0.25">
      <c r="A612" s="115" t="s">
        <v>1788</v>
      </c>
      <c r="B612" s="112" t="s">
        <v>252</v>
      </c>
      <c r="C612" s="101">
        <v>54395</v>
      </c>
      <c r="D612" s="102" t="s">
        <v>2179</v>
      </c>
      <c r="E612" s="103"/>
      <c r="F612" s="103" t="s">
        <v>412</v>
      </c>
      <c r="G612" s="103"/>
      <c r="H612" s="103" t="s">
        <v>437</v>
      </c>
      <c r="I612" s="104">
        <v>42291</v>
      </c>
      <c r="J612" s="104">
        <v>42291</v>
      </c>
      <c r="K612" s="105">
        <v>7200</v>
      </c>
    </row>
    <row r="613" spans="1:11" x14ac:dyDescent="0.25">
      <c r="A613" s="115" t="s">
        <v>1788</v>
      </c>
      <c r="B613" s="112" t="s">
        <v>252</v>
      </c>
      <c r="C613" s="101">
        <v>53743</v>
      </c>
      <c r="D613" s="102" t="s">
        <v>2180</v>
      </c>
      <c r="E613" s="103" t="s">
        <v>46</v>
      </c>
      <c r="F613" s="103" t="s">
        <v>412</v>
      </c>
      <c r="G613" s="103" t="s">
        <v>425</v>
      </c>
      <c r="H613" s="103" t="s">
        <v>423</v>
      </c>
      <c r="I613" s="104">
        <v>42486</v>
      </c>
      <c r="J613" s="104">
        <v>42486</v>
      </c>
      <c r="K613" s="105">
        <v>14600</v>
      </c>
    </row>
    <row r="614" spans="1:11" x14ac:dyDescent="0.25">
      <c r="A614" s="115" t="s">
        <v>1788</v>
      </c>
      <c r="B614" s="112" t="s">
        <v>252</v>
      </c>
      <c r="C614" s="101">
        <v>54469</v>
      </c>
      <c r="D614" s="102" t="s">
        <v>2181</v>
      </c>
      <c r="E614" s="103"/>
      <c r="F614" s="103" t="s">
        <v>412</v>
      </c>
      <c r="G614" s="103"/>
      <c r="H614" s="103" t="s">
        <v>437</v>
      </c>
      <c r="I614" s="104">
        <v>42356</v>
      </c>
      <c r="J614" s="104">
        <v>42356</v>
      </c>
      <c r="K614" s="105">
        <v>62480.01</v>
      </c>
    </row>
    <row r="615" spans="1:11" x14ac:dyDescent="0.25">
      <c r="A615" s="115" t="s">
        <v>1788</v>
      </c>
      <c r="B615" s="112" t="s">
        <v>252</v>
      </c>
      <c r="C615" s="101">
        <v>53610</v>
      </c>
      <c r="D615" s="102" t="s">
        <v>2182</v>
      </c>
      <c r="E615" s="103"/>
      <c r="F615" s="103" t="s">
        <v>412</v>
      </c>
      <c r="G615" s="103"/>
      <c r="H615" s="103" t="s">
        <v>437</v>
      </c>
      <c r="I615" s="104">
        <v>42374</v>
      </c>
      <c r="J615" s="104">
        <v>42374</v>
      </c>
      <c r="K615" s="105">
        <v>31999.89</v>
      </c>
    </row>
    <row r="616" spans="1:11" x14ac:dyDescent="0.25">
      <c r="A616" s="115" t="s">
        <v>1788</v>
      </c>
      <c r="B616" s="112" t="s">
        <v>252</v>
      </c>
      <c r="C616" s="101">
        <v>54421</v>
      </c>
      <c r="D616" s="102" t="s">
        <v>2183</v>
      </c>
      <c r="E616" s="103" t="s">
        <v>46</v>
      </c>
      <c r="F616" s="103" t="s">
        <v>412</v>
      </c>
      <c r="G616" s="103" t="s">
        <v>425</v>
      </c>
      <c r="H616" s="103" t="s">
        <v>423</v>
      </c>
      <c r="I616" s="104">
        <v>42319</v>
      </c>
      <c r="J616" s="104">
        <v>42319</v>
      </c>
      <c r="K616" s="105">
        <v>19655.75</v>
      </c>
    </row>
    <row r="617" spans="1:11" x14ac:dyDescent="0.25">
      <c r="A617" s="115" t="s">
        <v>1788</v>
      </c>
      <c r="B617" s="112" t="s">
        <v>252</v>
      </c>
      <c r="C617" s="101">
        <v>62089</v>
      </c>
      <c r="D617" s="102" t="s">
        <v>2184</v>
      </c>
      <c r="E617" s="103" t="s">
        <v>46</v>
      </c>
      <c r="F617" s="103" t="s">
        <v>412</v>
      </c>
      <c r="G617" s="103"/>
      <c r="H617" s="103" t="s">
        <v>437</v>
      </c>
      <c r="I617" s="104">
        <v>44651</v>
      </c>
      <c r="J617" s="104">
        <v>44649</v>
      </c>
      <c r="K617" s="105">
        <v>297864</v>
      </c>
    </row>
    <row r="618" spans="1:11" x14ac:dyDescent="0.25">
      <c r="A618" s="115" t="s">
        <v>1788</v>
      </c>
      <c r="B618" s="112" t="s">
        <v>252</v>
      </c>
      <c r="C618" s="101">
        <v>60368</v>
      </c>
      <c r="D618" s="102" t="s">
        <v>2185</v>
      </c>
      <c r="E618" s="103" t="s">
        <v>46</v>
      </c>
      <c r="F618" s="103" t="s">
        <v>397</v>
      </c>
      <c r="G618" s="103"/>
      <c r="H618" s="103" t="s">
        <v>433</v>
      </c>
      <c r="I618" s="104">
        <v>44408</v>
      </c>
      <c r="J618" s="104"/>
      <c r="K618" s="105">
        <v>3200</v>
      </c>
    </row>
    <row r="619" spans="1:11" x14ac:dyDescent="0.25">
      <c r="A619" s="115" t="s">
        <v>1788</v>
      </c>
      <c r="B619" s="112" t="s">
        <v>252</v>
      </c>
      <c r="C619" s="101">
        <v>64412</v>
      </c>
      <c r="D619" s="102" t="s">
        <v>2186</v>
      </c>
      <c r="E619" s="103" t="s">
        <v>399</v>
      </c>
      <c r="F619" s="103" t="s">
        <v>397</v>
      </c>
      <c r="G619" s="103"/>
      <c r="H619" s="103" t="s">
        <v>437</v>
      </c>
      <c r="I619" s="104">
        <v>45289</v>
      </c>
      <c r="J619" s="104"/>
      <c r="K619" s="105">
        <v>33600</v>
      </c>
    </row>
    <row r="620" spans="1:11" x14ac:dyDescent="0.25">
      <c r="A620" s="115" t="s">
        <v>1788</v>
      </c>
      <c r="B620" s="112" t="s">
        <v>252</v>
      </c>
      <c r="C620" s="101">
        <v>62261</v>
      </c>
      <c r="D620" s="102" t="s">
        <v>2187</v>
      </c>
      <c r="E620" s="103" t="s">
        <v>484</v>
      </c>
      <c r="F620" s="103" t="s">
        <v>397</v>
      </c>
      <c r="G620" s="103"/>
      <c r="H620" s="103" t="s">
        <v>437</v>
      </c>
      <c r="I620" s="104">
        <v>45260</v>
      </c>
      <c r="J620" s="104"/>
      <c r="K620" s="105">
        <v>70000</v>
      </c>
    </row>
    <row r="621" spans="1:11" x14ac:dyDescent="0.25">
      <c r="A621" s="115" t="s">
        <v>1788</v>
      </c>
      <c r="B621" s="112" t="s">
        <v>252</v>
      </c>
      <c r="C621" s="101">
        <v>62242</v>
      </c>
      <c r="D621" s="102" t="s">
        <v>2188</v>
      </c>
      <c r="E621" s="103" t="s">
        <v>46</v>
      </c>
      <c r="F621" s="103" t="s">
        <v>412</v>
      </c>
      <c r="G621" s="103" t="s">
        <v>422</v>
      </c>
      <c r="H621" s="103" t="s">
        <v>423</v>
      </c>
      <c r="I621" s="104">
        <v>44681</v>
      </c>
      <c r="J621" s="104">
        <v>44665</v>
      </c>
      <c r="K621" s="105">
        <v>1000</v>
      </c>
    </row>
    <row r="622" spans="1:11" x14ac:dyDescent="0.25">
      <c r="A622" s="115" t="s">
        <v>1788</v>
      </c>
      <c r="B622" s="112" t="s">
        <v>252</v>
      </c>
      <c r="C622" s="101">
        <v>60000</v>
      </c>
      <c r="D622" s="102" t="s">
        <v>2189</v>
      </c>
      <c r="E622" s="103" t="s">
        <v>46</v>
      </c>
      <c r="F622" s="103" t="s">
        <v>412</v>
      </c>
      <c r="G622" s="103"/>
      <c r="H622" s="103" t="s">
        <v>437</v>
      </c>
      <c r="I622" s="104"/>
      <c r="J622" s="104">
        <v>44169</v>
      </c>
      <c r="K622" s="105">
        <v>67625.259999999995</v>
      </c>
    </row>
    <row r="623" spans="1:11" x14ac:dyDescent="0.25">
      <c r="A623" s="115" t="s">
        <v>1788</v>
      </c>
      <c r="B623" s="112" t="s">
        <v>252</v>
      </c>
      <c r="C623" s="101">
        <v>58570</v>
      </c>
      <c r="D623" s="102" t="s">
        <v>2190</v>
      </c>
      <c r="E623" s="103" t="s">
        <v>46</v>
      </c>
      <c r="F623" s="103" t="s">
        <v>412</v>
      </c>
      <c r="G623" s="103"/>
      <c r="H623" s="103" t="s">
        <v>437</v>
      </c>
      <c r="I623" s="104">
        <v>43951</v>
      </c>
      <c r="J623" s="104">
        <v>43864</v>
      </c>
      <c r="K623" s="105">
        <v>525000.06000000006</v>
      </c>
    </row>
    <row r="624" spans="1:11" x14ac:dyDescent="0.25">
      <c r="A624" s="115" t="s">
        <v>1788</v>
      </c>
      <c r="B624" s="112" t="s">
        <v>252</v>
      </c>
      <c r="C624" s="101">
        <v>56476</v>
      </c>
      <c r="D624" s="102" t="s">
        <v>2191</v>
      </c>
      <c r="E624" s="103"/>
      <c r="F624" s="103" t="s">
        <v>412</v>
      </c>
      <c r="G624" s="103"/>
      <c r="H624" s="103" t="s">
        <v>437</v>
      </c>
      <c r="I624" s="104">
        <v>43539</v>
      </c>
      <c r="J624" s="104">
        <v>43539</v>
      </c>
      <c r="K624" s="105">
        <v>195000.18</v>
      </c>
    </row>
    <row r="625" spans="1:11" x14ac:dyDescent="0.25">
      <c r="A625" s="115" t="s">
        <v>1788</v>
      </c>
      <c r="B625" s="112" t="s">
        <v>252</v>
      </c>
      <c r="C625" s="101">
        <v>63453</v>
      </c>
      <c r="D625" s="102" t="s">
        <v>2192</v>
      </c>
      <c r="E625" s="103" t="s">
        <v>451</v>
      </c>
      <c r="F625" s="103" t="s">
        <v>397</v>
      </c>
      <c r="G625" s="103"/>
      <c r="H625" s="103" t="s">
        <v>437</v>
      </c>
      <c r="I625" s="104">
        <v>44957</v>
      </c>
      <c r="J625" s="104"/>
      <c r="K625" s="105">
        <v>236880</v>
      </c>
    </row>
    <row r="626" spans="1:11" x14ac:dyDescent="0.25">
      <c r="A626" s="115" t="s">
        <v>1788</v>
      </c>
      <c r="B626" s="112" t="s">
        <v>252</v>
      </c>
      <c r="C626" s="101">
        <v>57527</v>
      </c>
      <c r="D626" s="102" t="s">
        <v>2193</v>
      </c>
      <c r="E626" s="103" t="s">
        <v>579</v>
      </c>
      <c r="F626" s="103" t="s">
        <v>397</v>
      </c>
      <c r="G626" s="103" t="s">
        <v>427</v>
      </c>
      <c r="H626" s="103" t="s">
        <v>437</v>
      </c>
      <c r="I626" s="104">
        <v>43890</v>
      </c>
      <c r="J626" s="104"/>
      <c r="K626" s="105">
        <v>52800</v>
      </c>
    </row>
    <row r="627" spans="1:11" x14ac:dyDescent="0.25">
      <c r="A627" s="115" t="s">
        <v>1788</v>
      </c>
      <c r="B627" s="112" t="s">
        <v>252</v>
      </c>
      <c r="C627" s="101">
        <v>60817</v>
      </c>
      <c r="D627" s="102" t="s">
        <v>2194</v>
      </c>
      <c r="E627" s="103" t="s">
        <v>451</v>
      </c>
      <c r="F627" s="103" t="s">
        <v>397</v>
      </c>
      <c r="G627" s="103"/>
      <c r="H627" s="103" t="s">
        <v>437</v>
      </c>
      <c r="I627" s="104">
        <v>44469</v>
      </c>
      <c r="J627" s="104"/>
      <c r="K627" s="105">
        <v>146999.95000000001</v>
      </c>
    </row>
    <row r="628" spans="1:11" x14ac:dyDescent="0.25">
      <c r="A628" s="115" t="s">
        <v>1788</v>
      </c>
      <c r="B628" s="112" t="s">
        <v>252</v>
      </c>
      <c r="C628" s="101">
        <v>61621</v>
      </c>
      <c r="D628" s="102" t="s">
        <v>2195</v>
      </c>
      <c r="E628" s="103" t="s">
        <v>46</v>
      </c>
      <c r="F628" s="103" t="s">
        <v>412</v>
      </c>
      <c r="G628" s="103"/>
      <c r="H628" s="103" t="s">
        <v>437</v>
      </c>
      <c r="I628" s="104">
        <v>44530</v>
      </c>
      <c r="J628" s="104">
        <v>44518</v>
      </c>
      <c r="K628" s="105">
        <v>22784</v>
      </c>
    </row>
    <row r="629" spans="1:11" x14ac:dyDescent="0.25">
      <c r="A629" s="115" t="s">
        <v>1788</v>
      </c>
      <c r="B629" s="112" t="s">
        <v>252</v>
      </c>
      <c r="C629" s="101">
        <v>60818</v>
      </c>
      <c r="D629" s="102" t="s">
        <v>2196</v>
      </c>
      <c r="E629" s="103" t="s">
        <v>46</v>
      </c>
      <c r="F629" s="103" t="s">
        <v>412</v>
      </c>
      <c r="G629" s="103"/>
      <c r="H629" s="103" t="s">
        <v>437</v>
      </c>
      <c r="I629" s="104">
        <v>44439</v>
      </c>
      <c r="J629" s="104">
        <v>44424</v>
      </c>
      <c r="K629" s="105">
        <v>149519.99</v>
      </c>
    </row>
    <row r="630" spans="1:11" x14ac:dyDescent="0.25">
      <c r="A630" s="115" t="s">
        <v>1788</v>
      </c>
      <c r="B630" s="112" t="s">
        <v>252</v>
      </c>
      <c r="C630" s="101">
        <v>62262</v>
      </c>
      <c r="D630" s="102" t="s">
        <v>2197</v>
      </c>
      <c r="E630" s="103" t="s">
        <v>46</v>
      </c>
      <c r="F630" s="103" t="s">
        <v>412</v>
      </c>
      <c r="G630" s="103"/>
      <c r="H630" s="103" t="s">
        <v>437</v>
      </c>
      <c r="I630" s="104">
        <v>44750</v>
      </c>
      <c r="J630" s="104">
        <v>44750</v>
      </c>
      <c r="K630" s="105">
        <v>937248.28</v>
      </c>
    </row>
    <row r="631" spans="1:11" x14ac:dyDescent="0.25">
      <c r="A631" s="115" t="s">
        <v>1788</v>
      </c>
      <c r="B631" s="112" t="s">
        <v>252</v>
      </c>
      <c r="C631" s="101">
        <v>53693</v>
      </c>
      <c r="D631" s="102" t="s">
        <v>2178</v>
      </c>
      <c r="E631" s="103" t="s">
        <v>46</v>
      </c>
      <c r="F631" s="103" t="s">
        <v>412</v>
      </c>
      <c r="G631" s="103" t="s">
        <v>425</v>
      </c>
      <c r="H631" s="103" t="s">
        <v>423</v>
      </c>
      <c r="I631" s="104">
        <v>42439</v>
      </c>
      <c r="J631" s="104">
        <v>42439</v>
      </c>
      <c r="K631" s="105">
        <v>12225</v>
      </c>
    </row>
    <row r="632" spans="1:11" x14ac:dyDescent="0.25">
      <c r="A632" s="115" t="s">
        <v>1788</v>
      </c>
      <c r="B632" s="112" t="s">
        <v>252</v>
      </c>
      <c r="C632" s="101">
        <v>54395</v>
      </c>
      <c r="D632" s="102" t="s">
        <v>2179</v>
      </c>
      <c r="E632" s="103"/>
      <c r="F632" s="103" t="s">
        <v>412</v>
      </c>
      <c r="G632" s="103"/>
      <c r="H632" s="103" t="s">
        <v>437</v>
      </c>
      <c r="I632" s="104">
        <v>42291</v>
      </c>
      <c r="J632" s="104">
        <v>42291</v>
      </c>
      <c r="K632" s="105">
        <v>7200</v>
      </c>
    </row>
    <row r="633" spans="1:11" x14ac:dyDescent="0.25">
      <c r="A633" s="115" t="s">
        <v>1788</v>
      </c>
      <c r="B633" s="112" t="s">
        <v>252</v>
      </c>
      <c r="C633" s="101">
        <v>53743</v>
      </c>
      <c r="D633" s="102" t="s">
        <v>2180</v>
      </c>
      <c r="E633" s="103" t="s">
        <v>46</v>
      </c>
      <c r="F633" s="103" t="s">
        <v>412</v>
      </c>
      <c r="G633" s="103" t="s">
        <v>425</v>
      </c>
      <c r="H633" s="103" t="s">
        <v>423</v>
      </c>
      <c r="I633" s="104">
        <v>42486</v>
      </c>
      <c r="J633" s="104">
        <v>42486</v>
      </c>
      <c r="K633" s="105">
        <v>14600</v>
      </c>
    </row>
    <row r="634" spans="1:11" x14ac:dyDescent="0.25">
      <c r="A634" s="115" t="s">
        <v>1788</v>
      </c>
      <c r="B634" s="112" t="s">
        <v>252</v>
      </c>
      <c r="C634" s="101">
        <v>54469</v>
      </c>
      <c r="D634" s="102" t="s">
        <v>2181</v>
      </c>
      <c r="E634" s="103"/>
      <c r="F634" s="103" t="s">
        <v>412</v>
      </c>
      <c r="G634" s="103"/>
      <c r="H634" s="103" t="s">
        <v>437</v>
      </c>
      <c r="I634" s="104">
        <v>42356</v>
      </c>
      <c r="J634" s="104">
        <v>42356</v>
      </c>
      <c r="K634" s="105">
        <v>62480.01</v>
      </c>
    </row>
    <row r="635" spans="1:11" x14ac:dyDescent="0.25">
      <c r="A635" s="115" t="s">
        <v>1788</v>
      </c>
      <c r="B635" s="112" t="s">
        <v>252</v>
      </c>
      <c r="C635" s="101">
        <v>53610</v>
      </c>
      <c r="D635" s="102" t="s">
        <v>2182</v>
      </c>
      <c r="E635" s="103"/>
      <c r="F635" s="103" t="s">
        <v>412</v>
      </c>
      <c r="G635" s="103"/>
      <c r="H635" s="103" t="s">
        <v>437</v>
      </c>
      <c r="I635" s="104">
        <v>42374</v>
      </c>
      <c r="J635" s="104">
        <v>42374</v>
      </c>
      <c r="K635" s="105">
        <v>31999.89</v>
      </c>
    </row>
    <row r="636" spans="1:11" x14ac:dyDescent="0.25">
      <c r="A636" s="115" t="s">
        <v>1788</v>
      </c>
      <c r="B636" s="112" t="s">
        <v>252</v>
      </c>
      <c r="C636" s="101">
        <v>54421</v>
      </c>
      <c r="D636" s="102" t="s">
        <v>2183</v>
      </c>
      <c r="E636" s="103" t="s">
        <v>46</v>
      </c>
      <c r="F636" s="103" t="s">
        <v>412</v>
      </c>
      <c r="G636" s="103" t="s">
        <v>425</v>
      </c>
      <c r="H636" s="103" t="s">
        <v>423</v>
      </c>
      <c r="I636" s="104">
        <v>42319</v>
      </c>
      <c r="J636" s="104">
        <v>42319</v>
      </c>
      <c r="K636" s="105">
        <v>19655.75</v>
      </c>
    </row>
    <row r="637" spans="1:11" x14ac:dyDescent="0.25">
      <c r="A637" s="115" t="s">
        <v>1788</v>
      </c>
      <c r="B637" s="112" t="s">
        <v>252</v>
      </c>
      <c r="C637" s="101">
        <v>62089</v>
      </c>
      <c r="D637" s="102" t="s">
        <v>2184</v>
      </c>
      <c r="E637" s="103" t="s">
        <v>46</v>
      </c>
      <c r="F637" s="103" t="s">
        <v>412</v>
      </c>
      <c r="G637" s="103"/>
      <c r="H637" s="103" t="s">
        <v>437</v>
      </c>
      <c r="I637" s="104">
        <v>44651</v>
      </c>
      <c r="J637" s="104">
        <v>44649</v>
      </c>
      <c r="K637" s="105">
        <v>297864</v>
      </c>
    </row>
    <row r="638" spans="1:11" x14ac:dyDescent="0.25">
      <c r="A638" s="115" t="s">
        <v>1788</v>
      </c>
      <c r="B638" s="112" t="s">
        <v>252</v>
      </c>
      <c r="C638" s="101">
        <v>60368</v>
      </c>
      <c r="D638" s="102" t="s">
        <v>2185</v>
      </c>
      <c r="E638" s="103" t="s">
        <v>46</v>
      </c>
      <c r="F638" s="103" t="s">
        <v>397</v>
      </c>
      <c r="G638" s="103"/>
      <c r="H638" s="103" t="s">
        <v>433</v>
      </c>
      <c r="I638" s="104">
        <v>44408</v>
      </c>
      <c r="J638" s="104"/>
      <c r="K638" s="105">
        <v>3200</v>
      </c>
    </row>
    <row r="639" spans="1:11" x14ac:dyDescent="0.25">
      <c r="A639" s="115" t="s">
        <v>1788</v>
      </c>
      <c r="B639" s="112" t="s">
        <v>252</v>
      </c>
      <c r="C639" s="101">
        <v>64412</v>
      </c>
      <c r="D639" s="102" t="s">
        <v>2186</v>
      </c>
      <c r="E639" s="103" t="s">
        <v>399</v>
      </c>
      <c r="F639" s="103" t="s">
        <v>397</v>
      </c>
      <c r="G639" s="103"/>
      <c r="H639" s="103" t="s">
        <v>437</v>
      </c>
      <c r="I639" s="104">
        <v>45289</v>
      </c>
      <c r="J639" s="104"/>
      <c r="K639" s="105">
        <v>33600</v>
      </c>
    </row>
    <row r="640" spans="1:11" x14ac:dyDescent="0.25">
      <c r="A640" s="115" t="s">
        <v>1788</v>
      </c>
      <c r="B640" s="112" t="s">
        <v>252</v>
      </c>
      <c r="C640" s="101">
        <v>62261</v>
      </c>
      <c r="D640" s="102" t="s">
        <v>2187</v>
      </c>
      <c r="E640" s="103" t="s">
        <v>484</v>
      </c>
      <c r="F640" s="103" t="s">
        <v>397</v>
      </c>
      <c r="G640" s="103"/>
      <c r="H640" s="103" t="s">
        <v>437</v>
      </c>
      <c r="I640" s="104">
        <v>45260</v>
      </c>
      <c r="J640" s="104"/>
      <c r="K640" s="105">
        <v>70000</v>
      </c>
    </row>
    <row r="641" spans="1:11" x14ac:dyDescent="0.25">
      <c r="A641" s="115" t="s">
        <v>1788</v>
      </c>
      <c r="B641" s="112" t="s">
        <v>252</v>
      </c>
      <c r="C641" s="101">
        <v>62242</v>
      </c>
      <c r="D641" s="102" t="s">
        <v>2188</v>
      </c>
      <c r="E641" s="103" t="s">
        <v>46</v>
      </c>
      <c r="F641" s="103" t="s">
        <v>412</v>
      </c>
      <c r="G641" s="103" t="s">
        <v>422</v>
      </c>
      <c r="H641" s="103" t="s">
        <v>423</v>
      </c>
      <c r="I641" s="104">
        <v>44681</v>
      </c>
      <c r="J641" s="104">
        <v>44665</v>
      </c>
      <c r="K641" s="105">
        <v>1000</v>
      </c>
    </row>
    <row r="642" spans="1:11" x14ac:dyDescent="0.25">
      <c r="A642" s="115" t="s">
        <v>1788</v>
      </c>
      <c r="B642" s="112" t="s">
        <v>252</v>
      </c>
      <c r="C642" s="101">
        <v>60000</v>
      </c>
      <c r="D642" s="102" t="s">
        <v>2189</v>
      </c>
      <c r="E642" s="103" t="s">
        <v>46</v>
      </c>
      <c r="F642" s="103" t="s">
        <v>412</v>
      </c>
      <c r="G642" s="103"/>
      <c r="H642" s="103" t="s">
        <v>437</v>
      </c>
      <c r="I642" s="104"/>
      <c r="J642" s="104">
        <v>44169</v>
      </c>
      <c r="K642" s="105">
        <v>67625.259999999995</v>
      </c>
    </row>
    <row r="643" spans="1:11" x14ac:dyDescent="0.25">
      <c r="A643" s="115" t="s">
        <v>1788</v>
      </c>
      <c r="B643" s="112" t="s">
        <v>252</v>
      </c>
      <c r="C643" s="101">
        <v>58570</v>
      </c>
      <c r="D643" s="102" t="s">
        <v>2190</v>
      </c>
      <c r="E643" s="103" t="s">
        <v>46</v>
      </c>
      <c r="F643" s="103" t="s">
        <v>412</v>
      </c>
      <c r="G643" s="103"/>
      <c r="H643" s="103" t="s">
        <v>437</v>
      </c>
      <c r="I643" s="104">
        <v>43951</v>
      </c>
      <c r="J643" s="104">
        <v>43864</v>
      </c>
      <c r="K643" s="105">
        <v>525000.06000000006</v>
      </c>
    </row>
    <row r="644" spans="1:11" x14ac:dyDescent="0.25">
      <c r="A644" s="115" t="s">
        <v>1788</v>
      </c>
      <c r="B644" s="112" t="s">
        <v>252</v>
      </c>
      <c r="C644" s="101">
        <v>56476</v>
      </c>
      <c r="D644" s="102" t="s">
        <v>2191</v>
      </c>
      <c r="E644" s="103"/>
      <c r="F644" s="103" t="s">
        <v>412</v>
      </c>
      <c r="G644" s="103"/>
      <c r="H644" s="103" t="s">
        <v>437</v>
      </c>
      <c r="I644" s="104">
        <v>43539</v>
      </c>
      <c r="J644" s="104">
        <v>43539</v>
      </c>
      <c r="K644" s="105">
        <v>195000.18</v>
      </c>
    </row>
    <row r="645" spans="1:11" x14ac:dyDescent="0.25">
      <c r="A645" s="115" t="s">
        <v>1788</v>
      </c>
      <c r="B645" s="112" t="s">
        <v>252</v>
      </c>
      <c r="C645" s="101">
        <v>63453</v>
      </c>
      <c r="D645" s="102" t="s">
        <v>2192</v>
      </c>
      <c r="E645" s="103" t="s">
        <v>451</v>
      </c>
      <c r="F645" s="103" t="s">
        <v>397</v>
      </c>
      <c r="G645" s="103"/>
      <c r="H645" s="103" t="s">
        <v>437</v>
      </c>
      <c r="I645" s="104">
        <v>44957</v>
      </c>
      <c r="J645" s="104"/>
      <c r="K645" s="105">
        <v>236880</v>
      </c>
    </row>
    <row r="646" spans="1:11" x14ac:dyDescent="0.25">
      <c r="A646" s="115" t="s">
        <v>1788</v>
      </c>
      <c r="B646" s="112" t="s">
        <v>252</v>
      </c>
      <c r="C646" s="101">
        <v>57527</v>
      </c>
      <c r="D646" s="102" t="s">
        <v>2193</v>
      </c>
      <c r="E646" s="103" t="s">
        <v>579</v>
      </c>
      <c r="F646" s="103" t="s">
        <v>397</v>
      </c>
      <c r="G646" s="103" t="s">
        <v>427</v>
      </c>
      <c r="H646" s="103" t="s">
        <v>437</v>
      </c>
      <c r="I646" s="104">
        <v>43890</v>
      </c>
      <c r="J646" s="104"/>
      <c r="K646" s="105">
        <v>52800</v>
      </c>
    </row>
    <row r="647" spans="1:11" x14ac:dyDescent="0.25">
      <c r="A647" s="115" t="s">
        <v>1788</v>
      </c>
      <c r="B647" s="112" t="s">
        <v>252</v>
      </c>
      <c r="C647" s="101">
        <v>60817</v>
      </c>
      <c r="D647" s="102" t="s">
        <v>2194</v>
      </c>
      <c r="E647" s="103" t="s">
        <v>451</v>
      </c>
      <c r="F647" s="103" t="s">
        <v>397</v>
      </c>
      <c r="G647" s="103"/>
      <c r="H647" s="103" t="s">
        <v>437</v>
      </c>
      <c r="I647" s="104">
        <v>44469</v>
      </c>
      <c r="J647" s="104"/>
      <c r="K647" s="105">
        <v>146999.95000000001</v>
      </c>
    </row>
    <row r="648" spans="1:11" x14ac:dyDescent="0.25">
      <c r="A648" s="115" t="s">
        <v>1788</v>
      </c>
      <c r="B648" s="112" t="s">
        <v>252</v>
      </c>
      <c r="C648" s="101">
        <v>61621</v>
      </c>
      <c r="D648" s="102" t="s">
        <v>2195</v>
      </c>
      <c r="E648" s="103" t="s">
        <v>46</v>
      </c>
      <c r="F648" s="103" t="s">
        <v>412</v>
      </c>
      <c r="G648" s="103"/>
      <c r="H648" s="103" t="s">
        <v>437</v>
      </c>
      <c r="I648" s="104">
        <v>44530</v>
      </c>
      <c r="J648" s="104">
        <v>44518</v>
      </c>
      <c r="K648" s="105">
        <v>22784</v>
      </c>
    </row>
    <row r="649" spans="1:11" x14ac:dyDescent="0.25">
      <c r="A649" s="115" t="s">
        <v>1788</v>
      </c>
      <c r="B649" s="112" t="s">
        <v>252</v>
      </c>
      <c r="C649" s="101">
        <v>60818</v>
      </c>
      <c r="D649" s="102" t="s">
        <v>2196</v>
      </c>
      <c r="E649" s="103" t="s">
        <v>46</v>
      </c>
      <c r="F649" s="103" t="s">
        <v>412</v>
      </c>
      <c r="G649" s="103"/>
      <c r="H649" s="103" t="s">
        <v>437</v>
      </c>
      <c r="I649" s="104">
        <v>44439</v>
      </c>
      <c r="J649" s="104">
        <v>44424</v>
      </c>
      <c r="K649" s="105">
        <v>149519.99</v>
      </c>
    </row>
    <row r="650" spans="1:11" x14ac:dyDescent="0.25">
      <c r="A650" s="115" t="s">
        <v>1788</v>
      </c>
      <c r="B650" s="112" t="s">
        <v>252</v>
      </c>
      <c r="C650" s="101">
        <v>62262</v>
      </c>
      <c r="D650" s="102" t="s">
        <v>2197</v>
      </c>
      <c r="E650" s="103" t="s">
        <v>46</v>
      </c>
      <c r="F650" s="103" t="s">
        <v>412</v>
      </c>
      <c r="G650" s="103"/>
      <c r="H650" s="103" t="s">
        <v>437</v>
      </c>
      <c r="I650" s="104">
        <v>44750</v>
      </c>
      <c r="J650" s="104">
        <v>44750</v>
      </c>
      <c r="K650" s="105">
        <v>937248.28</v>
      </c>
    </row>
    <row r="651" spans="1:11" x14ac:dyDescent="0.25">
      <c r="A651" s="115" t="s">
        <v>1788</v>
      </c>
      <c r="B651" s="112" t="s">
        <v>252</v>
      </c>
      <c r="C651" s="101">
        <v>61625</v>
      </c>
      <c r="D651" s="102" t="s">
        <v>2198</v>
      </c>
      <c r="E651" s="103" t="s">
        <v>46</v>
      </c>
      <c r="F651" s="103" t="s">
        <v>412</v>
      </c>
      <c r="G651" s="103"/>
      <c r="H651" s="103" t="s">
        <v>437</v>
      </c>
      <c r="I651" s="104">
        <v>44527</v>
      </c>
      <c r="J651" s="104">
        <v>44525</v>
      </c>
      <c r="K651" s="105">
        <v>29399.99</v>
      </c>
    </row>
    <row r="652" spans="1:11" x14ac:dyDescent="0.25">
      <c r="A652" s="115" t="s">
        <v>1788</v>
      </c>
      <c r="B652" s="112" t="s">
        <v>252</v>
      </c>
      <c r="C652" s="101">
        <v>60104</v>
      </c>
      <c r="D652" s="102" t="s">
        <v>2199</v>
      </c>
      <c r="E652" s="103" t="s">
        <v>67</v>
      </c>
      <c r="F652" s="103" t="s">
        <v>412</v>
      </c>
      <c r="G652" s="103"/>
      <c r="H652" s="103" t="s">
        <v>437</v>
      </c>
      <c r="I652" s="104">
        <v>44253</v>
      </c>
      <c r="J652" s="104">
        <v>44252</v>
      </c>
      <c r="K652" s="105">
        <v>508199.8</v>
      </c>
    </row>
    <row r="653" spans="1:11" x14ac:dyDescent="0.25">
      <c r="A653" s="115" t="s">
        <v>1788</v>
      </c>
      <c r="B653" s="112" t="s">
        <v>252</v>
      </c>
      <c r="C653" s="101">
        <v>58175</v>
      </c>
      <c r="D653" s="102" t="s">
        <v>2200</v>
      </c>
      <c r="E653" s="103"/>
      <c r="F653" s="103" t="s">
        <v>397</v>
      </c>
      <c r="G653" s="103" t="s">
        <v>425</v>
      </c>
      <c r="H653" s="103" t="s">
        <v>437</v>
      </c>
      <c r="I653" s="104">
        <v>43864</v>
      </c>
      <c r="J653" s="104">
        <v>43864</v>
      </c>
      <c r="K653" s="105">
        <v>160000.18</v>
      </c>
    </row>
    <row r="654" spans="1:11" x14ac:dyDescent="0.25">
      <c r="A654" s="115" t="s">
        <v>1788</v>
      </c>
      <c r="B654" s="112" t="s">
        <v>252</v>
      </c>
      <c r="C654" s="101">
        <v>57337</v>
      </c>
      <c r="D654" s="102" t="s">
        <v>2201</v>
      </c>
      <c r="E654" s="103"/>
      <c r="F654" s="103" t="s">
        <v>412</v>
      </c>
      <c r="G654" s="103"/>
      <c r="H654" s="103" t="s">
        <v>437</v>
      </c>
      <c r="I654" s="104">
        <v>43683</v>
      </c>
      <c r="J654" s="104">
        <v>43683</v>
      </c>
      <c r="K654" s="105">
        <v>135000.06</v>
      </c>
    </row>
    <row r="655" spans="1:11" x14ac:dyDescent="0.25">
      <c r="A655" s="115" t="s">
        <v>1788</v>
      </c>
      <c r="B655" s="112" t="s">
        <v>252</v>
      </c>
      <c r="C655" s="101">
        <v>62086</v>
      </c>
      <c r="D655" s="102" t="s">
        <v>2202</v>
      </c>
      <c r="E655" s="103" t="s">
        <v>46</v>
      </c>
      <c r="F655" s="103" t="s">
        <v>397</v>
      </c>
      <c r="G655" s="103"/>
      <c r="H655" s="103" t="s">
        <v>437</v>
      </c>
      <c r="I655" s="104">
        <v>44925</v>
      </c>
      <c r="J655" s="104"/>
      <c r="K655" s="105">
        <v>1487.5</v>
      </c>
    </row>
    <row r="656" spans="1:11" x14ac:dyDescent="0.25">
      <c r="A656" s="115" t="s">
        <v>1788</v>
      </c>
      <c r="B656" s="112" t="s">
        <v>252</v>
      </c>
      <c r="C656" s="101">
        <v>61979</v>
      </c>
      <c r="D656" s="102" t="s">
        <v>2203</v>
      </c>
      <c r="E656" s="103" t="s">
        <v>579</v>
      </c>
      <c r="F656" s="103" t="s">
        <v>397</v>
      </c>
      <c r="G656" s="103"/>
      <c r="H656" s="103" t="s">
        <v>437</v>
      </c>
      <c r="I656" s="104"/>
      <c r="J656" s="104"/>
      <c r="K656" s="105">
        <v>32000</v>
      </c>
    </row>
    <row r="657" spans="1:11" x14ac:dyDescent="0.25">
      <c r="A657" s="115" t="s">
        <v>1788</v>
      </c>
      <c r="B657" s="112" t="s">
        <v>252</v>
      </c>
      <c r="C657" s="101">
        <v>60273</v>
      </c>
      <c r="D657" s="102" t="s">
        <v>2204</v>
      </c>
      <c r="E657" s="103" t="s">
        <v>46</v>
      </c>
      <c r="F657" s="103" t="s">
        <v>397</v>
      </c>
      <c r="G657" s="103"/>
      <c r="H657" s="103" t="s">
        <v>437</v>
      </c>
      <c r="I657" s="104"/>
      <c r="J657" s="104"/>
      <c r="K657" s="105">
        <v>0</v>
      </c>
    </row>
    <row r="658" spans="1:11" x14ac:dyDescent="0.25">
      <c r="A658" s="115" t="s">
        <v>1788</v>
      </c>
      <c r="B658" s="112" t="s">
        <v>252</v>
      </c>
      <c r="C658" s="101">
        <v>62040</v>
      </c>
      <c r="D658" s="102" t="s">
        <v>2205</v>
      </c>
      <c r="E658" s="103" t="s">
        <v>579</v>
      </c>
      <c r="F658" s="103" t="s">
        <v>412</v>
      </c>
      <c r="G658" s="103" t="s">
        <v>447</v>
      </c>
      <c r="H658" s="103" t="s">
        <v>437</v>
      </c>
      <c r="I658" s="104">
        <v>44681</v>
      </c>
      <c r="J658" s="104">
        <v>44671</v>
      </c>
      <c r="K658" s="105">
        <v>600416.6</v>
      </c>
    </row>
    <row r="659" spans="1:11" x14ac:dyDescent="0.25">
      <c r="A659" s="115" t="s">
        <v>1788</v>
      </c>
      <c r="B659" s="112" t="s">
        <v>252</v>
      </c>
      <c r="C659" s="101">
        <v>62229</v>
      </c>
      <c r="D659" s="102" t="s">
        <v>2206</v>
      </c>
      <c r="E659" s="103" t="s">
        <v>46</v>
      </c>
      <c r="F659" s="103" t="s">
        <v>412</v>
      </c>
      <c r="G659" s="103"/>
      <c r="H659" s="103" t="s">
        <v>437</v>
      </c>
      <c r="I659" s="104">
        <v>44681</v>
      </c>
      <c r="J659" s="104">
        <v>44544</v>
      </c>
      <c r="K659" s="105">
        <v>23047.21</v>
      </c>
    </row>
    <row r="660" spans="1:11" x14ac:dyDescent="0.25">
      <c r="A660" s="115" t="s">
        <v>1788</v>
      </c>
      <c r="B660" s="112" t="s">
        <v>252</v>
      </c>
      <c r="C660" s="101">
        <v>61715</v>
      </c>
      <c r="D660" s="102" t="s">
        <v>2207</v>
      </c>
      <c r="E660" s="103" t="s">
        <v>46</v>
      </c>
      <c r="F660" s="103" t="s">
        <v>412</v>
      </c>
      <c r="G660" s="103"/>
      <c r="H660" s="103" t="s">
        <v>437</v>
      </c>
      <c r="I660" s="104">
        <v>44561</v>
      </c>
      <c r="J660" s="104">
        <v>44544</v>
      </c>
      <c r="K660" s="105">
        <v>349999.66</v>
      </c>
    </row>
    <row r="661" spans="1:11" x14ac:dyDescent="0.25">
      <c r="A661" s="115" t="s">
        <v>1788</v>
      </c>
      <c r="B661" s="112" t="s">
        <v>252</v>
      </c>
      <c r="C661" s="101">
        <v>61157</v>
      </c>
      <c r="D661" s="102" t="s">
        <v>2208</v>
      </c>
      <c r="E661" s="103" t="s">
        <v>579</v>
      </c>
      <c r="F661" s="103" t="s">
        <v>412</v>
      </c>
      <c r="G661" s="103"/>
      <c r="H661" s="103" t="s">
        <v>437</v>
      </c>
      <c r="I661" s="104">
        <v>44482</v>
      </c>
      <c r="J661" s="104">
        <v>44482</v>
      </c>
      <c r="K661" s="105">
        <v>112500</v>
      </c>
    </row>
    <row r="662" spans="1:11" x14ac:dyDescent="0.25">
      <c r="A662" s="115" t="s">
        <v>1788</v>
      </c>
      <c r="B662" s="112" t="s">
        <v>252</v>
      </c>
      <c r="C662" s="101">
        <v>57058</v>
      </c>
      <c r="D662" s="102" t="s">
        <v>2209</v>
      </c>
      <c r="E662" s="103" t="s">
        <v>579</v>
      </c>
      <c r="F662" s="103" t="s">
        <v>397</v>
      </c>
      <c r="G662" s="103" t="s">
        <v>425</v>
      </c>
      <c r="H662" s="103" t="s">
        <v>437</v>
      </c>
      <c r="I662" s="104">
        <v>43708</v>
      </c>
      <c r="J662" s="104">
        <v>43679</v>
      </c>
      <c r="K662" s="105">
        <v>282000</v>
      </c>
    </row>
    <row r="663" spans="1:11" x14ac:dyDescent="0.25">
      <c r="A663" s="115" t="s">
        <v>1788</v>
      </c>
      <c r="B663" s="112" t="s">
        <v>252</v>
      </c>
      <c r="C663" s="101">
        <v>61577</v>
      </c>
      <c r="D663" s="102" t="s">
        <v>2210</v>
      </c>
      <c r="E663" s="103" t="s">
        <v>579</v>
      </c>
      <c r="F663" s="103" t="s">
        <v>412</v>
      </c>
      <c r="G663" s="103"/>
      <c r="H663" s="103" t="s">
        <v>437</v>
      </c>
      <c r="I663" s="104">
        <v>44561</v>
      </c>
      <c r="J663" s="104">
        <v>44552</v>
      </c>
      <c r="K663" s="105">
        <v>147840</v>
      </c>
    </row>
    <row r="664" spans="1:11" x14ac:dyDescent="0.25">
      <c r="A664" s="115" t="s">
        <v>1824</v>
      </c>
      <c r="B664" s="112" t="s">
        <v>252</v>
      </c>
      <c r="C664" s="101">
        <v>51320</v>
      </c>
      <c r="D664" s="102" t="s">
        <v>2211</v>
      </c>
      <c r="E664" s="103" t="s">
        <v>46</v>
      </c>
      <c r="F664" s="103" t="s">
        <v>412</v>
      </c>
      <c r="G664" s="103"/>
      <c r="H664" s="103" t="s">
        <v>433</v>
      </c>
      <c r="I664" s="104">
        <v>42013</v>
      </c>
      <c r="J664" s="104">
        <v>42013</v>
      </c>
      <c r="K664" s="105">
        <v>10500</v>
      </c>
    </row>
    <row r="665" spans="1:11" x14ac:dyDescent="0.25">
      <c r="A665" s="115" t="s">
        <v>1824</v>
      </c>
      <c r="B665" s="112" t="s">
        <v>252</v>
      </c>
      <c r="C665" s="101">
        <v>53242</v>
      </c>
      <c r="D665" s="102" t="s">
        <v>2212</v>
      </c>
      <c r="E665" s="103"/>
      <c r="F665" s="103" t="s">
        <v>412</v>
      </c>
      <c r="G665" s="103"/>
      <c r="H665" s="103" t="s">
        <v>437</v>
      </c>
      <c r="I665" s="104">
        <v>42802</v>
      </c>
      <c r="J665" s="104">
        <v>42802</v>
      </c>
      <c r="K665" s="105">
        <v>46656.4</v>
      </c>
    </row>
    <row r="666" spans="1:11" x14ac:dyDescent="0.25">
      <c r="A666" s="115" t="s">
        <v>1824</v>
      </c>
      <c r="B666" s="112" t="s">
        <v>252</v>
      </c>
      <c r="C666" s="101">
        <v>53705</v>
      </c>
      <c r="D666" s="102" t="s">
        <v>2213</v>
      </c>
      <c r="E666" s="103"/>
      <c r="F666" s="103" t="s">
        <v>412</v>
      </c>
      <c r="G666" s="103"/>
      <c r="H666" s="103" t="s">
        <v>437</v>
      </c>
      <c r="I666" s="104">
        <v>42450</v>
      </c>
      <c r="J666" s="104">
        <v>42450</v>
      </c>
      <c r="K666" s="105">
        <v>29891.78</v>
      </c>
    </row>
    <row r="667" spans="1:11" x14ac:dyDescent="0.25">
      <c r="A667" s="115" t="s">
        <v>1824</v>
      </c>
      <c r="B667" s="112" t="s">
        <v>252</v>
      </c>
      <c r="C667" s="101">
        <v>53530</v>
      </c>
      <c r="D667" s="102" t="s">
        <v>2214</v>
      </c>
      <c r="E667" s="103"/>
      <c r="F667" s="103" t="s">
        <v>412</v>
      </c>
      <c r="G667" s="103"/>
      <c r="H667" s="103" t="s">
        <v>437</v>
      </c>
      <c r="I667" s="104">
        <v>43509</v>
      </c>
      <c r="J667" s="104">
        <v>43068</v>
      </c>
      <c r="K667" s="105">
        <v>656200.1</v>
      </c>
    </row>
    <row r="668" spans="1:11" x14ac:dyDescent="0.25">
      <c r="A668" s="115" t="s">
        <v>1824</v>
      </c>
      <c r="B668" s="112" t="s">
        <v>252</v>
      </c>
      <c r="C668" s="101">
        <v>64517</v>
      </c>
      <c r="D668" s="102" t="s">
        <v>2215</v>
      </c>
      <c r="E668" s="103" t="s">
        <v>46</v>
      </c>
      <c r="F668" s="103" t="s">
        <v>412</v>
      </c>
      <c r="G668" s="103" t="s">
        <v>422</v>
      </c>
      <c r="H668" s="103" t="s">
        <v>423</v>
      </c>
      <c r="I668" s="104">
        <v>45121</v>
      </c>
      <c r="J668" s="104">
        <v>45127</v>
      </c>
      <c r="K668" s="105">
        <v>10500</v>
      </c>
    </row>
    <row r="669" spans="1:11" x14ac:dyDescent="0.25">
      <c r="A669" s="115" t="s">
        <v>1824</v>
      </c>
      <c r="B669" s="112" t="s">
        <v>252</v>
      </c>
      <c r="C669" s="101">
        <v>64874</v>
      </c>
      <c r="D669" s="102" t="s">
        <v>2216</v>
      </c>
      <c r="E669" s="103" t="s">
        <v>46</v>
      </c>
      <c r="F669" s="103" t="s">
        <v>412</v>
      </c>
      <c r="G669" s="103" t="s">
        <v>417</v>
      </c>
      <c r="H669" s="103" t="s">
        <v>414</v>
      </c>
      <c r="I669" s="104">
        <v>45196</v>
      </c>
      <c r="J669" s="104">
        <v>45196</v>
      </c>
      <c r="K669" s="105">
        <v>3500</v>
      </c>
    </row>
    <row r="670" spans="1:11" x14ac:dyDescent="0.25">
      <c r="A670" s="115" t="s">
        <v>1824</v>
      </c>
      <c r="B670" s="112" t="s">
        <v>252</v>
      </c>
      <c r="C670" s="101">
        <v>57507</v>
      </c>
      <c r="D670" s="102" t="s">
        <v>2217</v>
      </c>
      <c r="E670" s="103" t="s">
        <v>46</v>
      </c>
      <c r="F670" s="103" t="s">
        <v>412</v>
      </c>
      <c r="G670" s="103"/>
      <c r="H670" s="103" t="s">
        <v>433</v>
      </c>
      <c r="I670" s="104">
        <v>43712</v>
      </c>
      <c r="J670" s="104">
        <v>43712</v>
      </c>
      <c r="K670" s="105">
        <v>9000</v>
      </c>
    </row>
    <row r="671" spans="1:11" x14ac:dyDescent="0.25">
      <c r="A671" s="115" t="s">
        <v>1824</v>
      </c>
      <c r="B671" s="112" t="s">
        <v>252</v>
      </c>
      <c r="C671" s="101">
        <v>52061</v>
      </c>
      <c r="D671" s="102" t="s">
        <v>2218</v>
      </c>
      <c r="E671" s="103" t="s">
        <v>46</v>
      </c>
      <c r="F671" s="103" t="s">
        <v>412</v>
      </c>
      <c r="G671" s="103" t="s">
        <v>447</v>
      </c>
      <c r="H671" s="103" t="s">
        <v>423</v>
      </c>
      <c r="I671" s="104">
        <v>43104</v>
      </c>
      <c r="J671" s="104">
        <v>43104</v>
      </c>
      <c r="K671" s="105">
        <v>105000.22</v>
      </c>
    </row>
    <row r="672" spans="1:11" x14ac:dyDescent="0.25">
      <c r="A672" s="115" t="s">
        <v>1824</v>
      </c>
      <c r="B672" s="112" t="s">
        <v>252</v>
      </c>
      <c r="C672" s="101">
        <v>53445</v>
      </c>
      <c r="D672" s="102" t="s">
        <v>2219</v>
      </c>
      <c r="E672" s="103"/>
      <c r="F672" s="103" t="s">
        <v>412</v>
      </c>
      <c r="G672" s="103"/>
      <c r="H672" s="103" t="s">
        <v>437</v>
      </c>
      <c r="I672" s="104">
        <v>42989</v>
      </c>
      <c r="J672" s="104">
        <v>42989</v>
      </c>
      <c r="K672" s="105">
        <v>564800.15</v>
      </c>
    </row>
    <row r="673" spans="1:11" x14ac:dyDescent="0.25">
      <c r="A673" s="115" t="s">
        <v>1824</v>
      </c>
      <c r="B673" s="112" t="s">
        <v>252</v>
      </c>
      <c r="C673" s="101">
        <v>62245</v>
      </c>
      <c r="D673" s="102" t="s">
        <v>2220</v>
      </c>
      <c r="E673" s="103" t="s">
        <v>46</v>
      </c>
      <c r="F673" s="103" t="s">
        <v>412</v>
      </c>
      <c r="G673" s="103" t="s">
        <v>422</v>
      </c>
      <c r="H673" s="103" t="s">
        <v>423</v>
      </c>
      <c r="I673" s="104">
        <v>44742</v>
      </c>
      <c r="J673" s="104">
        <v>44734</v>
      </c>
      <c r="K673" s="105">
        <v>38000.04</v>
      </c>
    </row>
    <row r="674" spans="1:11" x14ac:dyDescent="0.25">
      <c r="A674" s="115" t="s">
        <v>1824</v>
      </c>
      <c r="B674" s="112" t="s">
        <v>252</v>
      </c>
      <c r="C674" s="101">
        <v>60613</v>
      </c>
      <c r="D674" s="102" t="s">
        <v>2221</v>
      </c>
      <c r="E674" s="103" t="s">
        <v>46</v>
      </c>
      <c r="F674" s="103" t="s">
        <v>412</v>
      </c>
      <c r="G674" s="103"/>
      <c r="H674" s="103" t="s">
        <v>437</v>
      </c>
      <c r="I674" s="104">
        <v>44377</v>
      </c>
      <c r="J674" s="104">
        <v>44361</v>
      </c>
      <c r="K674" s="105">
        <v>38000.03</v>
      </c>
    </row>
    <row r="675" spans="1:11" x14ac:dyDescent="0.25">
      <c r="A675" s="115" t="s">
        <v>1824</v>
      </c>
      <c r="B675" s="112" t="s">
        <v>252</v>
      </c>
      <c r="C675" s="101">
        <v>60521</v>
      </c>
      <c r="D675" s="102" t="s">
        <v>2222</v>
      </c>
      <c r="E675" s="103" t="s">
        <v>67</v>
      </c>
      <c r="F675" s="103" t="s">
        <v>397</v>
      </c>
      <c r="G675" s="103"/>
      <c r="H675" s="103" t="s">
        <v>437</v>
      </c>
      <c r="I675" s="104">
        <v>44408</v>
      </c>
      <c r="J675" s="104"/>
      <c r="K675" s="105">
        <v>1400</v>
      </c>
    </row>
    <row r="676" spans="1:11" x14ac:dyDescent="0.25">
      <c r="A676" s="115" t="s">
        <v>1824</v>
      </c>
      <c r="B676" s="112" t="s">
        <v>252</v>
      </c>
      <c r="C676" s="101">
        <v>64350</v>
      </c>
      <c r="D676" s="102" t="s">
        <v>2223</v>
      </c>
      <c r="E676" s="103" t="s">
        <v>67</v>
      </c>
      <c r="F676" s="103" t="s">
        <v>446</v>
      </c>
      <c r="G676" s="103"/>
      <c r="H676" s="103" t="s">
        <v>437</v>
      </c>
      <c r="I676" s="104"/>
      <c r="J676" s="104"/>
      <c r="K676" s="105">
        <v>0</v>
      </c>
    </row>
    <row r="677" spans="1:11" x14ac:dyDescent="0.25">
      <c r="A677" s="115" t="s">
        <v>1824</v>
      </c>
      <c r="B677" s="112" t="s">
        <v>252</v>
      </c>
      <c r="C677" s="101">
        <v>58246</v>
      </c>
      <c r="D677" s="102" t="s">
        <v>2224</v>
      </c>
      <c r="E677" s="103" t="s">
        <v>48</v>
      </c>
      <c r="F677" s="103" t="s">
        <v>397</v>
      </c>
      <c r="G677" s="103"/>
      <c r="H677" s="103" t="s">
        <v>437</v>
      </c>
      <c r="I677" s="104">
        <v>44226</v>
      </c>
      <c r="J677" s="104"/>
      <c r="K677" s="105">
        <v>15600</v>
      </c>
    </row>
    <row r="678" spans="1:11" x14ac:dyDescent="0.25">
      <c r="A678" s="115" t="s">
        <v>1824</v>
      </c>
      <c r="B678" s="112" t="s">
        <v>252</v>
      </c>
      <c r="C678" s="101">
        <v>58196</v>
      </c>
      <c r="D678" s="102" t="s">
        <v>2225</v>
      </c>
      <c r="E678" s="103"/>
      <c r="F678" s="103" t="s">
        <v>412</v>
      </c>
      <c r="G678" s="103"/>
      <c r="H678" s="103" t="s">
        <v>437</v>
      </c>
      <c r="I678" s="104">
        <v>43861</v>
      </c>
      <c r="J678" s="104">
        <v>43852</v>
      </c>
      <c r="K678" s="105">
        <v>342720.05</v>
      </c>
    </row>
    <row r="679" spans="1:11" x14ac:dyDescent="0.25">
      <c r="A679" s="115" t="s">
        <v>1824</v>
      </c>
      <c r="B679" s="112" t="s">
        <v>252</v>
      </c>
      <c r="C679" s="101">
        <v>60109</v>
      </c>
      <c r="D679" s="102" t="s">
        <v>2226</v>
      </c>
      <c r="E679" s="103" t="s">
        <v>67</v>
      </c>
      <c r="F679" s="103" t="s">
        <v>412</v>
      </c>
      <c r="G679" s="103"/>
      <c r="H679" s="103" t="s">
        <v>437</v>
      </c>
      <c r="I679" s="104">
        <v>44226</v>
      </c>
      <c r="J679" s="104">
        <v>44223</v>
      </c>
      <c r="K679" s="105">
        <v>342720.08</v>
      </c>
    </row>
    <row r="680" spans="1:11" x14ac:dyDescent="0.25">
      <c r="A680" s="115" t="s">
        <v>1824</v>
      </c>
      <c r="B680" s="112" t="s">
        <v>252</v>
      </c>
      <c r="C680" s="101">
        <v>58194</v>
      </c>
      <c r="D680" s="102" t="s">
        <v>2227</v>
      </c>
      <c r="E680" s="103"/>
      <c r="F680" s="103" t="s">
        <v>412</v>
      </c>
      <c r="G680" s="103"/>
      <c r="H680" s="103" t="s">
        <v>437</v>
      </c>
      <c r="I680" s="104">
        <v>43861</v>
      </c>
      <c r="J680" s="104">
        <v>43852</v>
      </c>
      <c r="K680" s="105">
        <v>342720.05</v>
      </c>
    </row>
    <row r="681" spans="1:11" x14ac:dyDescent="0.25">
      <c r="A681" s="115" t="s">
        <v>1824</v>
      </c>
      <c r="B681" s="112" t="s">
        <v>252</v>
      </c>
      <c r="C681" s="101">
        <v>57005</v>
      </c>
      <c r="D681" s="102" t="s">
        <v>2228</v>
      </c>
      <c r="E681" s="103"/>
      <c r="F681" s="103" t="s">
        <v>412</v>
      </c>
      <c r="G681" s="103"/>
      <c r="H681" s="103" t="s">
        <v>437</v>
      </c>
      <c r="I681" s="104">
        <v>43586</v>
      </c>
      <c r="J681" s="104">
        <v>43586</v>
      </c>
      <c r="K681" s="105">
        <v>231201.36</v>
      </c>
    </row>
    <row r="682" spans="1:11" x14ac:dyDescent="0.25">
      <c r="A682" s="115" t="s">
        <v>1824</v>
      </c>
      <c r="B682" s="112" t="s">
        <v>252</v>
      </c>
      <c r="C682" s="101">
        <v>56991</v>
      </c>
      <c r="D682" s="102" t="s">
        <v>2229</v>
      </c>
      <c r="E682" s="103"/>
      <c r="F682" s="103" t="s">
        <v>412</v>
      </c>
      <c r="G682" s="103"/>
      <c r="H682" s="103" t="s">
        <v>437</v>
      </c>
      <c r="I682" s="104">
        <v>43586</v>
      </c>
      <c r="J682" s="104">
        <v>43586</v>
      </c>
      <c r="K682" s="105">
        <v>110825.68</v>
      </c>
    </row>
    <row r="683" spans="1:11" x14ac:dyDescent="0.25">
      <c r="A683" s="115" t="s">
        <v>1824</v>
      </c>
      <c r="B683" s="112" t="s">
        <v>252</v>
      </c>
      <c r="C683" s="101">
        <v>56990</v>
      </c>
      <c r="D683" s="102" t="s">
        <v>2230</v>
      </c>
      <c r="E683" s="103"/>
      <c r="F683" s="103" t="s">
        <v>412</v>
      </c>
      <c r="G683" s="103"/>
      <c r="H683" s="103" t="s">
        <v>437</v>
      </c>
      <c r="I683" s="104">
        <v>43586</v>
      </c>
      <c r="J683" s="104">
        <v>43586</v>
      </c>
      <c r="K683" s="105">
        <v>231201.36</v>
      </c>
    </row>
    <row r="684" spans="1:11" x14ac:dyDescent="0.25">
      <c r="A684" s="115" t="s">
        <v>1824</v>
      </c>
      <c r="B684" s="112" t="s">
        <v>252</v>
      </c>
      <c r="C684" s="101">
        <v>57052</v>
      </c>
      <c r="D684" s="102" t="s">
        <v>2231</v>
      </c>
      <c r="E684" s="103"/>
      <c r="F684" s="103" t="s">
        <v>412</v>
      </c>
      <c r="G684" s="103"/>
      <c r="H684" s="103" t="s">
        <v>437</v>
      </c>
      <c r="I684" s="104">
        <v>43466</v>
      </c>
      <c r="J684" s="104">
        <v>43466</v>
      </c>
      <c r="K684" s="105">
        <v>106702.21</v>
      </c>
    </row>
    <row r="685" spans="1:11" x14ac:dyDescent="0.25">
      <c r="A685" s="115" t="s">
        <v>1824</v>
      </c>
      <c r="B685" s="112" t="s">
        <v>252</v>
      </c>
      <c r="C685" s="101">
        <v>58026</v>
      </c>
      <c r="D685" s="102" t="s">
        <v>2232</v>
      </c>
      <c r="E685" s="103" t="s">
        <v>579</v>
      </c>
      <c r="F685" s="103" t="s">
        <v>412</v>
      </c>
      <c r="G685" s="103"/>
      <c r="H685" s="103" t="s">
        <v>437</v>
      </c>
      <c r="I685" s="104">
        <v>43817</v>
      </c>
      <c r="J685" s="104">
        <v>43817</v>
      </c>
      <c r="K685" s="105">
        <v>23500</v>
      </c>
    </row>
    <row r="686" spans="1:11" x14ac:dyDescent="0.25">
      <c r="A686" s="115" t="s">
        <v>1824</v>
      </c>
      <c r="B686" s="112" t="s">
        <v>252</v>
      </c>
      <c r="C686" s="101">
        <v>61746</v>
      </c>
      <c r="D686" s="102" t="s">
        <v>2233</v>
      </c>
      <c r="E686" s="103" t="s">
        <v>46</v>
      </c>
      <c r="F686" s="103" t="s">
        <v>412</v>
      </c>
      <c r="G686" s="103"/>
      <c r="H686" s="103" t="s">
        <v>437</v>
      </c>
      <c r="I686" s="104">
        <v>44618</v>
      </c>
      <c r="J686" s="104">
        <v>44606</v>
      </c>
      <c r="K686" s="105">
        <v>379007.96</v>
      </c>
    </row>
    <row r="687" spans="1:11" x14ac:dyDescent="0.25">
      <c r="A687" s="115" t="s">
        <v>1824</v>
      </c>
      <c r="B687" s="112" t="s">
        <v>252</v>
      </c>
      <c r="C687" s="101">
        <v>64988</v>
      </c>
      <c r="D687" s="102" t="s">
        <v>2234</v>
      </c>
      <c r="E687" s="103" t="s">
        <v>451</v>
      </c>
      <c r="F687" s="103" t="s">
        <v>412</v>
      </c>
      <c r="G687" s="103"/>
      <c r="H687" s="103" t="s">
        <v>437</v>
      </c>
      <c r="I687" s="104">
        <v>45216</v>
      </c>
      <c r="J687" s="104">
        <v>45216</v>
      </c>
      <c r="K687" s="105">
        <v>55020</v>
      </c>
    </row>
    <row r="688" spans="1:11" x14ac:dyDescent="0.25">
      <c r="A688" s="115" t="s">
        <v>1824</v>
      </c>
      <c r="B688" s="112" t="s">
        <v>252</v>
      </c>
      <c r="C688" s="101">
        <v>65271</v>
      </c>
      <c r="D688" s="102" t="s">
        <v>2235</v>
      </c>
      <c r="E688" s="103" t="s">
        <v>821</v>
      </c>
      <c r="F688" s="103" t="s">
        <v>412</v>
      </c>
      <c r="G688" s="103"/>
      <c r="H688" s="103" t="s">
        <v>437</v>
      </c>
      <c r="I688" s="104">
        <v>45322</v>
      </c>
      <c r="J688" s="104">
        <v>45322</v>
      </c>
      <c r="K688" s="105">
        <v>264000</v>
      </c>
    </row>
    <row r="689" spans="1:11" x14ac:dyDescent="0.25">
      <c r="A689" s="115" t="s">
        <v>1824</v>
      </c>
      <c r="B689" s="112" t="s">
        <v>252</v>
      </c>
      <c r="C689" s="101">
        <v>63342</v>
      </c>
      <c r="D689" s="102" t="s">
        <v>2236</v>
      </c>
      <c r="E689" s="103" t="s">
        <v>46</v>
      </c>
      <c r="F689" s="103" t="s">
        <v>412</v>
      </c>
      <c r="G689" s="103"/>
      <c r="H689" s="103" t="s">
        <v>437</v>
      </c>
      <c r="I689" s="104">
        <v>44985</v>
      </c>
      <c r="J689" s="104">
        <v>44973</v>
      </c>
      <c r="K689" s="105">
        <v>201600</v>
      </c>
    </row>
    <row r="690" spans="1:11" x14ac:dyDescent="0.25">
      <c r="A690" s="115" t="s">
        <v>1824</v>
      </c>
      <c r="B690" s="112" t="s">
        <v>252</v>
      </c>
      <c r="C690" s="101">
        <v>59827</v>
      </c>
      <c r="D690" s="102" t="s">
        <v>2237</v>
      </c>
      <c r="E690" s="103" t="s">
        <v>579</v>
      </c>
      <c r="F690" s="103" t="s">
        <v>397</v>
      </c>
      <c r="G690" s="103"/>
      <c r="H690" s="103" t="s">
        <v>437</v>
      </c>
      <c r="I690" s="104">
        <v>44196</v>
      </c>
      <c r="J690" s="104"/>
      <c r="K690" s="105">
        <v>26185.8</v>
      </c>
    </row>
    <row r="691" spans="1:11" x14ac:dyDescent="0.25">
      <c r="A691" s="115" t="s">
        <v>1839</v>
      </c>
      <c r="B691" s="112" t="s">
        <v>1840</v>
      </c>
      <c r="C691" s="101">
        <v>63081</v>
      </c>
      <c r="D691" s="102" t="s">
        <v>2238</v>
      </c>
      <c r="E691" s="103" t="s">
        <v>46</v>
      </c>
      <c r="F691" s="103" t="s">
        <v>440</v>
      </c>
      <c r="G691" s="103" t="s">
        <v>417</v>
      </c>
      <c r="H691" s="103" t="s">
        <v>414</v>
      </c>
      <c r="I691" s="104">
        <v>45546</v>
      </c>
      <c r="J691" s="104"/>
      <c r="K691" s="105">
        <v>396186.4</v>
      </c>
    </row>
    <row r="692" spans="1:11" x14ac:dyDescent="0.25">
      <c r="A692" s="115" t="s">
        <v>1839</v>
      </c>
      <c r="B692" s="112" t="s">
        <v>1840</v>
      </c>
      <c r="C692" s="101">
        <v>61103</v>
      </c>
      <c r="D692" s="102" t="s">
        <v>2239</v>
      </c>
      <c r="E692" s="103" t="s">
        <v>46</v>
      </c>
      <c r="F692" s="103" t="s">
        <v>397</v>
      </c>
      <c r="G692" s="103" t="s">
        <v>413</v>
      </c>
      <c r="H692" s="103" t="s">
        <v>414</v>
      </c>
      <c r="I692" s="104">
        <v>44530</v>
      </c>
      <c r="J692" s="104"/>
      <c r="K692" s="105">
        <v>29347</v>
      </c>
    </row>
    <row r="693" spans="1:11" x14ac:dyDescent="0.25">
      <c r="A693" s="115" t="s">
        <v>1839</v>
      </c>
      <c r="B693" s="112" t="s">
        <v>1840</v>
      </c>
      <c r="C693" s="101">
        <v>58814</v>
      </c>
      <c r="D693" s="102" t="s">
        <v>2240</v>
      </c>
      <c r="E693" s="103" t="s">
        <v>46</v>
      </c>
      <c r="F693" s="103" t="s">
        <v>412</v>
      </c>
      <c r="G693" s="103" t="s">
        <v>413</v>
      </c>
      <c r="H693" s="103" t="s">
        <v>414</v>
      </c>
      <c r="I693" s="104"/>
      <c r="J693" s="104">
        <v>44145</v>
      </c>
      <c r="K693" s="105">
        <v>25288.01</v>
      </c>
    </row>
    <row r="694" spans="1:11" x14ac:dyDescent="0.25">
      <c r="A694" s="115" t="s">
        <v>1839</v>
      </c>
      <c r="B694" s="112" t="s">
        <v>1840</v>
      </c>
      <c r="C694" s="101">
        <v>58011</v>
      </c>
      <c r="D694" s="102" t="s">
        <v>2241</v>
      </c>
      <c r="E694" s="103" t="s">
        <v>46</v>
      </c>
      <c r="F694" s="103" t="s">
        <v>412</v>
      </c>
      <c r="G694" s="103" t="s">
        <v>413</v>
      </c>
      <c r="H694" s="103" t="s">
        <v>414</v>
      </c>
      <c r="I694" s="104">
        <v>43803</v>
      </c>
      <c r="J694" s="104">
        <v>43803</v>
      </c>
      <c r="K694" s="105">
        <v>25288.01</v>
      </c>
    </row>
    <row r="695" spans="1:11" x14ac:dyDescent="0.25">
      <c r="A695" s="115" t="s">
        <v>1839</v>
      </c>
      <c r="B695" s="112" t="s">
        <v>1840</v>
      </c>
      <c r="C695" s="101">
        <v>52603</v>
      </c>
      <c r="D695" s="102" t="s">
        <v>2242</v>
      </c>
      <c r="E695" s="103" t="s">
        <v>46</v>
      </c>
      <c r="F695" s="103" t="s">
        <v>412</v>
      </c>
      <c r="G695" s="103" t="s">
        <v>413</v>
      </c>
      <c r="H695" s="103" t="s">
        <v>414</v>
      </c>
      <c r="I695" s="104">
        <v>43460</v>
      </c>
      <c r="J695" s="104">
        <v>43460</v>
      </c>
      <c r="K695" s="105">
        <v>3000</v>
      </c>
    </row>
    <row r="696" spans="1:11" x14ac:dyDescent="0.25">
      <c r="A696" s="115" t="s">
        <v>1839</v>
      </c>
      <c r="B696" s="112" t="s">
        <v>1840</v>
      </c>
      <c r="C696" s="101">
        <v>51111</v>
      </c>
      <c r="D696" s="102" t="s">
        <v>2243</v>
      </c>
      <c r="E696" s="103" t="s">
        <v>46</v>
      </c>
      <c r="F696" s="103" t="s">
        <v>412</v>
      </c>
      <c r="G696" s="103" t="s">
        <v>413</v>
      </c>
      <c r="H696" s="103" t="s">
        <v>414</v>
      </c>
      <c r="I696" s="104">
        <v>43103</v>
      </c>
      <c r="J696" s="104">
        <v>43103</v>
      </c>
      <c r="K696" s="105">
        <v>29493.1</v>
      </c>
    </row>
    <row r="697" spans="1:11" x14ac:dyDescent="0.25">
      <c r="A697" s="115" t="s">
        <v>1839</v>
      </c>
      <c r="B697" s="112" t="s">
        <v>1840</v>
      </c>
      <c r="C697" s="101">
        <v>51110</v>
      </c>
      <c r="D697" s="102" t="s">
        <v>2244</v>
      </c>
      <c r="E697" s="103" t="s">
        <v>46</v>
      </c>
      <c r="F697" s="103" t="s">
        <v>412</v>
      </c>
      <c r="G697" s="103" t="s">
        <v>413</v>
      </c>
      <c r="H697" s="103" t="s">
        <v>414</v>
      </c>
      <c r="I697" s="104">
        <v>42016</v>
      </c>
      <c r="J697" s="104">
        <v>42016</v>
      </c>
      <c r="K697" s="105">
        <v>20001.11</v>
      </c>
    </row>
    <row r="698" spans="1:11" x14ac:dyDescent="0.25">
      <c r="A698" s="115" t="s">
        <v>1839</v>
      </c>
      <c r="B698" s="112" t="s">
        <v>1840</v>
      </c>
      <c r="C698" s="101">
        <v>52108</v>
      </c>
      <c r="D698" s="102" t="s">
        <v>2245</v>
      </c>
      <c r="E698" s="103" t="s">
        <v>46</v>
      </c>
      <c r="F698" s="103" t="s">
        <v>412</v>
      </c>
      <c r="G698" s="103" t="s">
        <v>427</v>
      </c>
      <c r="H698" s="103" t="s">
        <v>423</v>
      </c>
      <c r="I698" s="104">
        <v>43107</v>
      </c>
      <c r="J698" s="104">
        <v>43107</v>
      </c>
      <c r="K698" s="105">
        <v>56855.1</v>
      </c>
    </row>
    <row r="699" spans="1:11" x14ac:dyDescent="0.25">
      <c r="A699" s="115" t="s">
        <v>1839</v>
      </c>
      <c r="B699" s="112" t="s">
        <v>1840</v>
      </c>
      <c r="C699" s="101">
        <v>55556</v>
      </c>
      <c r="D699" s="102" t="s">
        <v>2246</v>
      </c>
      <c r="E699" s="103" t="s">
        <v>46</v>
      </c>
      <c r="F699" s="103" t="s">
        <v>412</v>
      </c>
      <c r="G699" s="103" t="s">
        <v>425</v>
      </c>
      <c r="H699" s="103" t="s">
        <v>423</v>
      </c>
      <c r="I699" s="104"/>
      <c r="J699" s="104">
        <v>41760</v>
      </c>
      <c r="K699" s="105">
        <v>0</v>
      </c>
    </row>
    <row r="700" spans="1:11" x14ac:dyDescent="0.25">
      <c r="A700" s="115" t="s">
        <v>1839</v>
      </c>
      <c r="B700" s="112" t="s">
        <v>1840</v>
      </c>
      <c r="C700" s="101">
        <v>60525</v>
      </c>
      <c r="D700" s="102" t="s">
        <v>2247</v>
      </c>
      <c r="E700" s="103" t="s">
        <v>46</v>
      </c>
      <c r="F700" s="103" t="s">
        <v>412</v>
      </c>
      <c r="G700" s="103" t="s">
        <v>422</v>
      </c>
      <c r="H700" s="103" t="s">
        <v>423</v>
      </c>
      <c r="I700" s="104">
        <v>44469</v>
      </c>
      <c r="J700" s="104">
        <v>44452</v>
      </c>
      <c r="K700" s="105">
        <v>207603.96</v>
      </c>
    </row>
    <row r="701" spans="1:11" x14ac:dyDescent="0.25">
      <c r="A701" s="115" t="s">
        <v>1839</v>
      </c>
      <c r="B701" s="112" t="s">
        <v>1840</v>
      </c>
      <c r="C701" s="101">
        <v>60304</v>
      </c>
      <c r="D701" s="102" t="s">
        <v>2248</v>
      </c>
      <c r="E701" s="103" t="s">
        <v>67</v>
      </c>
      <c r="F701" s="103" t="s">
        <v>397</v>
      </c>
      <c r="G701" s="103"/>
      <c r="H701" s="103" t="s">
        <v>437</v>
      </c>
      <c r="I701" s="104">
        <v>44439</v>
      </c>
      <c r="J701" s="104"/>
      <c r="K701" s="105">
        <v>100594.09</v>
      </c>
    </row>
    <row r="702" spans="1:11" x14ac:dyDescent="0.25">
      <c r="A702" s="115" t="s">
        <v>1839</v>
      </c>
      <c r="B702" s="112" t="s">
        <v>1840</v>
      </c>
      <c r="C702" s="101">
        <v>59440</v>
      </c>
      <c r="D702" s="102" t="s">
        <v>2249</v>
      </c>
      <c r="E702" s="103" t="s">
        <v>46</v>
      </c>
      <c r="F702" s="103" t="s">
        <v>412</v>
      </c>
      <c r="G702" s="103" t="s">
        <v>427</v>
      </c>
      <c r="H702" s="103" t="s">
        <v>423</v>
      </c>
      <c r="I702" s="104"/>
      <c r="J702" s="104">
        <v>44098</v>
      </c>
      <c r="K702" s="105">
        <v>24354</v>
      </c>
    </row>
    <row r="703" spans="1:11" x14ac:dyDescent="0.25">
      <c r="A703" s="115" t="s">
        <v>1839</v>
      </c>
      <c r="B703" s="112" t="s">
        <v>1840</v>
      </c>
      <c r="C703" s="101">
        <v>56758</v>
      </c>
      <c r="D703" s="102" t="s">
        <v>2250</v>
      </c>
      <c r="E703" s="103" t="s">
        <v>46</v>
      </c>
      <c r="F703" s="103" t="s">
        <v>397</v>
      </c>
      <c r="G703" s="103" t="s">
        <v>425</v>
      </c>
      <c r="H703" s="103" t="s">
        <v>423</v>
      </c>
      <c r="I703" s="104"/>
      <c r="J703" s="104"/>
      <c r="K703" s="105">
        <v>0</v>
      </c>
    </row>
    <row r="704" spans="1:11" x14ac:dyDescent="0.25">
      <c r="A704" s="115" t="s">
        <v>1839</v>
      </c>
      <c r="B704" s="112" t="s">
        <v>1840</v>
      </c>
      <c r="C704" s="101">
        <v>55555</v>
      </c>
      <c r="D704" s="102" t="s">
        <v>2251</v>
      </c>
      <c r="E704" s="103" t="s">
        <v>46</v>
      </c>
      <c r="F704" s="103" t="s">
        <v>412</v>
      </c>
      <c r="G704" s="103" t="s">
        <v>427</v>
      </c>
      <c r="H704" s="103" t="s">
        <v>423</v>
      </c>
      <c r="I704" s="104">
        <v>41605</v>
      </c>
      <c r="J704" s="104">
        <v>41605</v>
      </c>
      <c r="K704" s="105">
        <v>1591.71</v>
      </c>
    </row>
    <row r="705" spans="1:11" x14ac:dyDescent="0.25">
      <c r="A705" s="115" t="s">
        <v>1839</v>
      </c>
      <c r="B705" s="112" t="s">
        <v>1840</v>
      </c>
      <c r="C705" s="101">
        <v>52107</v>
      </c>
      <c r="D705" s="102" t="s">
        <v>2252</v>
      </c>
      <c r="E705" s="103" t="s">
        <v>46</v>
      </c>
      <c r="F705" s="103" t="s">
        <v>412</v>
      </c>
      <c r="G705" s="103" t="s">
        <v>427</v>
      </c>
      <c r="H705" s="103" t="s">
        <v>423</v>
      </c>
      <c r="I705" s="104"/>
      <c r="J705" s="104">
        <v>43106</v>
      </c>
      <c r="K705" s="105">
        <v>0</v>
      </c>
    </row>
    <row r="706" spans="1:11" x14ac:dyDescent="0.25">
      <c r="A706" s="115" t="s">
        <v>1839</v>
      </c>
      <c r="B706" s="112" t="s">
        <v>1840</v>
      </c>
      <c r="C706" s="101">
        <v>60526</v>
      </c>
      <c r="D706" s="102" t="s">
        <v>2253</v>
      </c>
      <c r="E706" s="103" t="s">
        <v>46</v>
      </c>
      <c r="F706" s="103" t="s">
        <v>397</v>
      </c>
      <c r="G706" s="103" t="s">
        <v>447</v>
      </c>
      <c r="H706" s="103" t="s">
        <v>437</v>
      </c>
      <c r="I706" s="104">
        <v>44407</v>
      </c>
      <c r="J706" s="104"/>
      <c r="K706" s="105">
        <v>72003.95</v>
      </c>
    </row>
    <row r="707" spans="1:11" x14ac:dyDescent="0.25">
      <c r="A707" s="115" t="s">
        <v>1839</v>
      </c>
      <c r="B707" s="112" t="s">
        <v>1840</v>
      </c>
      <c r="C707" s="101">
        <v>60909</v>
      </c>
      <c r="D707" s="102" t="s">
        <v>2254</v>
      </c>
      <c r="E707" s="103" t="s">
        <v>46</v>
      </c>
      <c r="F707" s="103" t="s">
        <v>397</v>
      </c>
      <c r="G707" s="103" t="s">
        <v>422</v>
      </c>
      <c r="H707" s="103" t="s">
        <v>437</v>
      </c>
      <c r="I707" s="104">
        <v>44469</v>
      </c>
      <c r="J707" s="104"/>
      <c r="K707" s="105">
        <v>131790.64000000001</v>
      </c>
    </row>
    <row r="708" spans="1:11" x14ac:dyDescent="0.25">
      <c r="A708" s="115" t="s">
        <v>1839</v>
      </c>
      <c r="B708" s="112" t="s">
        <v>1840</v>
      </c>
      <c r="C708" s="101">
        <v>62945</v>
      </c>
      <c r="D708" s="102" t="s">
        <v>2255</v>
      </c>
      <c r="E708" s="103" t="s">
        <v>67</v>
      </c>
      <c r="F708" s="103" t="s">
        <v>397</v>
      </c>
      <c r="G708" s="103"/>
      <c r="H708" s="103" t="s">
        <v>437</v>
      </c>
      <c r="I708" s="104"/>
      <c r="J708" s="104"/>
      <c r="K708" s="105">
        <v>0</v>
      </c>
    </row>
    <row r="709" spans="1:11" x14ac:dyDescent="0.25">
      <c r="A709" s="115" t="s">
        <v>1839</v>
      </c>
      <c r="B709" s="112" t="s">
        <v>1840</v>
      </c>
      <c r="C709" s="101">
        <v>62824</v>
      </c>
      <c r="D709" s="102" t="s">
        <v>2256</v>
      </c>
      <c r="E709" s="103" t="s">
        <v>46</v>
      </c>
      <c r="F709" s="103" t="s">
        <v>412</v>
      </c>
      <c r="G709" s="103" t="s">
        <v>422</v>
      </c>
      <c r="H709" s="103" t="s">
        <v>423</v>
      </c>
      <c r="I709" s="104">
        <v>44834</v>
      </c>
      <c r="J709" s="104">
        <v>44815</v>
      </c>
      <c r="K709" s="105">
        <v>205960.01</v>
      </c>
    </row>
    <row r="710" spans="1:11" x14ac:dyDescent="0.25">
      <c r="A710" s="115" t="s">
        <v>1839</v>
      </c>
      <c r="B710" s="112" t="s">
        <v>1840</v>
      </c>
      <c r="C710" s="101">
        <v>60972</v>
      </c>
      <c r="D710" s="102" t="s">
        <v>2257</v>
      </c>
      <c r="E710" s="103" t="s">
        <v>67</v>
      </c>
      <c r="F710" s="103" t="s">
        <v>412</v>
      </c>
      <c r="G710" s="103"/>
      <c r="H710" s="103" t="s">
        <v>433</v>
      </c>
      <c r="I710" s="104">
        <v>44469</v>
      </c>
      <c r="J710" s="104">
        <v>44455</v>
      </c>
      <c r="K710" s="105">
        <v>4500</v>
      </c>
    </row>
    <row r="711" spans="1:11" x14ac:dyDescent="0.25">
      <c r="A711" s="115" t="s">
        <v>1839</v>
      </c>
      <c r="B711" s="112" t="s">
        <v>1840</v>
      </c>
      <c r="C711" s="101">
        <v>62586</v>
      </c>
      <c r="D711" s="102" t="s">
        <v>2258</v>
      </c>
      <c r="E711" s="103" t="s">
        <v>68</v>
      </c>
      <c r="F711" s="103" t="s">
        <v>397</v>
      </c>
      <c r="G711" s="103"/>
      <c r="H711" s="103" t="s">
        <v>437</v>
      </c>
      <c r="I711" s="104">
        <v>45443</v>
      </c>
      <c r="J711" s="104"/>
      <c r="K711" s="105">
        <v>97152</v>
      </c>
    </row>
    <row r="712" spans="1:11" x14ac:dyDescent="0.25">
      <c r="A712" s="115" t="s">
        <v>1839</v>
      </c>
      <c r="B712" s="112" t="s">
        <v>1840</v>
      </c>
      <c r="C712" s="101">
        <v>63751</v>
      </c>
      <c r="D712" s="102" t="s">
        <v>2259</v>
      </c>
      <c r="E712" s="103" t="s">
        <v>46</v>
      </c>
      <c r="F712" s="103" t="s">
        <v>397</v>
      </c>
      <c r="G712" s="103"/>
      <c r="H712" s="103" t="s">
        <v>437</v>
      </c>
      <c r="I712" s="104">
        <v>45072</v>
      </c>
      <c r="J712" s="104"/>
      <c r="K712" s="105">
        <v>30935</v>
      </c>
    </row>
    <row r="713" spans="1:11" x14ac:dyDescent="0.25">
      <c r="A713" s="115" t="s">
        <v>1839</v>
      </c>
      <c r="B713" s="112" t="s">
        <v>1840</v>
      </c>
      <c r="C713" s="101">
        <v>64667</v>
      </c>
      <c r="D713" s="102" t="s">
        <v>2260</v>
      </c>
      <c r="E713" s="103" t="s">
        <v>67</v>
      </c>
      <c r="F713" s="103" t="s">
        <v>400</v>
      </c>
      <c r="G713" s="103"/>
      <c r="H713" s="103" t="s">
        <v>437</v>
      </c>
      <c r="I713" s="104">
        <v>45471</v>
      </c>
      <c r="J713" s="104"/>
      <c r="K713" s="105">
        <v>33600</v>
      </c>
    </row>
    <row r="714" spans="1:11" x14ac:dyDescent="0.25">
      <c r="A714" s="115" t="s">
        <v>1857</v>
      </c>
      <c r="B714" s="112" t="s">
        <v>404</v>
      </c>
      <c r="C714" s="101" t="s">
        <v>2261</v>
      </c>
      <c r="D714" s="102"/>
      <c r="E714" s="103"/>
      <c r="F714" s="103"/>
      <c r="G714" s="103"/>
      <c r="H714" s="103"/>
      <c r="I714" s="104"/>
      <c r="J714" s="104"/>
      <c r="K714" s="105"/>
    </row>
    <row r="715" spans="1:11" x14ac:dyDescent="0.25">
      <c r="A715" s="115" t="s">
        <v>1892</v>
      </c>
      <c r="B715" s="112" t="s">
        <v>688</v>
      </c>
      <c r="C715" s="101">
        <v>64630</v>
      </c>
      <c r="D715" s="102" t="s">
        <v>2262</v>
      </c>
      <c r="E715" s="103" t="s">
        <v>68</v>
      </c>
      <c r="F715" s="103" t="s">
        <v>401</v>
      </c>
      <c r="G715" s="103" t="s">
        <v>417</v>
      </c>
      <c r="H715" s="103" t="s">
        <v>414</v>
      </c>
      <c r="I715" s="104">
        <v>45473</v>
      </c>
      <c r="J715" s="104"/>
      <c r="K715" s="105">
        <v>90825</v>
      </c>
    </row>
    <row r="716" spans="1:11" x14ac:dyDescent="0.25">
      <c r="A716" s="115" t="s">
        <v>1892</v>
      </c>
      <c r="B716" s="112" t="s">
        <v>688</v>
      </c>
      <c r="C716" s="101">
        <v>63623</v>
      </c>
      <c r="D716" s="102" t="s">
        <v>2263</v>
      </c>
      <c r="E716" s="103" t="s">
        <v>68</v>
      </c>
      <c r="F716" s="103" t="s">
        <v>412</v>
      </c>
      <c r="G716" s="103" t="s">
        <v>417</v>
      </c>
      <c r="H716" s="103" t="s">
        <v>414</v>
      </c>
      <c r="I716" s="104">
        <v>45121</v>
      </c>
      <c r="J716" s="104">
        <v>45133</v>
      </c>
      <c r="K716" s="105">
        <v>86500</v>
      </c>
    </row>
    <row r="717" spans="1:11" x14ac:dyDescent="0.25">
      <c r="A717" s="115" t="s">
        <v>1892</v>
      </c>
      <c r="B717" s="112" t="s">
        <v>688</v>
      </c>
      <c r="C717" s="101">
        <v>62251</v>
      </c>
      <c r="D717" s="102" t="s">
        <v>2264</v>
      </c>
      <c r="E717" s="103" t="s">
        <v>68</v>
      </c>
      <c r="F717" s="103" t="s">
        <v>412</v>
      </c>
      <c r="G717" s="103" t="s">
        <v>447</v>
      </c>
      <c r="H717" s="103" t="s">
        <v>437</v>
      </c>
      <c r="I717" s="104">
        <v>44804</v>
      </c>
      <c r="J717" s="104">
        <v>44782</v>
      </c>
      <c r="K717" s="105">
        <v>109980.01</v>
      </c>
    </row>
    <row r="718" spans="1:11" x14ac:dyDescent="0.25">
      <c r="A718" s="115" t="s">
        <v>1892</v>
      </c>
      <c r="B718" s="112" t="s">
        <v>688</v>
      </c>
      <c r="C718" s="101">
        <v>62925</v>
      </c>
      <c r="D718" s="102" t="s">
        <v>2265</v>
      </c>
      <c r="E718" s="103" t="s">
        <v>67</v>
      </c>
      <c r="F718" s="103" t="s">
        <v>397</v>
      </c>
      <c r="G718" s="103"/>
      <c r="H718" s="103" t="s">
        <v>437</v>
      </c>
      <c r="I718" s="104">
        <v>44863</v>
      </c>
      <c r="J718" s="104"/>
      <c r="K718" s="105">
        <v>26100</v>
      </c>
    </row>
    <row r="719" spans="1:11" x14ac:dyDescent="0.25">
      <c r="A719" s="115" t="s">
        <v>1892</v>
      </c>
      <c r="B719" s="112" t="s">
        <v>688</v>
      </c>
      <c r="C719" s="101">
        <v>63364</v>
      </c>
      <c r="D719" s="102" t="s">
        <v>2266</v>
      </c>
      <c r="E719" s="103" t="s">
        <v>68</v>
      </c>
      <c r="F719" s="103" t="s">
        <v>485</v>
      </c>
      <c r="G719" s="103"/>
      <c r="H719" s="103" t="s">
        <v>437</v>
      </c>
      <c r="I719" s="104">
        <v>45504</v>
      </c>
      <c r="J719" s="104"/>
      <c r="K719" s="105">
        <v>64000</v>
      </c>
    </row>
    <row r="720" spans="1:11" x14ac:dyDescent="0.25">
      <c r="A720" s="115" t="s">
        <v>1916</v>
      </c>
      <c r="B720" s="112" t="s">
        <v>1917</v>
      </c>
      <c r="C720" s="101">
        <v>62379</v>
      </c>
      <c r="D720" s="102" t="s">
        <v>2267</v>
      </c>
      <c r="E720" s="103" t="s">
        <v>46</v>
      </c>
      <c r="F720" s="103" t="s">
        <v>412</v>
      </c>
      <c r="G720" s="103" t="s">
        <v>417</v>
      </c>
      <c r="H720" s="103" t="s">
        <v>414</v>
      </c>
      <c r="I720" s="104">
        <v>45016</v>
      </c>
      <c r="J720" s="104">
        <v>45015</v>
      </c>
      <c r="K720" s="105">
        <v>100442.6</v>
      </c>
    </row>
    <row r="721" spans="1:11" x14ac:dyDescent="0.25">
      <c r="A721" s="115" t="s">
        <v>1916</v>
      </c>
      <c r="B721" s="112" t="s">
        <v>1917</v>
      </c>
      <c r="C721" s="101">
        <v>59636</v>
      </c>
      <c r="D721" s="102" t="s">
        <v>2268</v>
      </c>
      <c r="E721" s="103" t="s">
        <v>46</v>
      </c>
      <c r="F721" s="103" t="s">
        <v>412</v>
      </c>
      <c r="G721" s="103" t="s">
        <v>413</v>
      </c>
      <c r="H721" s="103" t="s">
        <v>414</v>
      </c>
      <c r="I721" s="104">
        <v>44469</v>
      </c>
      <c r="J721" s="104">
        <v>44469</v>
      </c>
      <c r="K721" s="105">
        <v>21568</v>
      </c>
    </row>
    <row r="722" spans="1:11" x14ac:dyDescent="0.25">
      <c r="A722" s="115" t="s">
        <v>1916</v>
      </c>
      <c r="B722" s="112" t="s">
        <v>1917</v>
      </c>
      <c r="C722" s="101">
        <v>58765</v>
      </c>
      <c r="D722" s="102" t="s">
        <v>2269</v>
      </c>
      <c r="E722" s="103" t="s">
        <v>46</v>
      </c>
      <c r="F722" s="103" t="s">
        <v>412</v>
      </c>
      <c r="G722" s="103" t="s">
        <v>413</v>
      </c>
      <c r="H722" s="103" t="s">
        <v>414</v>
      </c>
      <c r="I722" s="104"/>
      <c r="J722" s="104">
        <v>44109</v>
      </c>
      <c r="K722" s="105">
        <v>19074</v>
      </c>
    </row>
    <row r="723" spans="1:11" x14ac:dyDescent="0.25">
      <c r="A723" s="115" t="s">
        <v>1916</v>
      </c>
      <c r="B723" s="112" t="s">
        <v>1917</v>
      </c>
      <c r="C723" s="101">
        <v>57469</v>
      </c>
      <c r="D723" s="102" t="s">
        <v>2270</v>
      </c>
      <c r="E723" s="103" t="s">
        <v>46</v>
      </c>
      <c r="F723" s="103" t="s">
        <v>412</v>
      </c>
      <c r="G723" s="103" t="s">
        <v>413</v>
      </c>
      <c r="H723" s="103" t="s">
        <v>414</v>
      </c>
      <c r="I723" s="104">
        <v>43703</v>
      </c>
      <c r="J723" s="104">
        <v>43703</v>
      </c>
      <c r="K723" s="105">
        <v>14094</v>
      </c>
    </row>
    <row r="724" spans="1:11" x14ac:dyDescent="0.25">
      <c r="A724" s="115" t="s">
        <v>1916</v>
      </c>
      <c r="B724" s="112" t="s">
        <v>1917</v>
      </c>
      <c r="C724" s="101">
        <v>50983</v>
      </c>
      <c r="D724" s="102" t="s">
        <v>2271</v>
      </c>
      <c r="E724" s="103" t="s">
        <v>46</v>
      </c>
      <c r="F724" s="103" t="s">
        <v>412</v>
      </c>
      <c r="G724" s="103" t="s">
        <v>413</v>
      </c>
      <c r="H724" s="103" t="s">
        <v>414</v>
      </c>
      <c r="I724" s="104">
        <v>43108</v>
      </c>
      <c r="J724" s="104">
        <v>43108</v>
      </c>
      <c r="K724" s="105">
        <v>11499.84</v>
      </c>
    </row>
    <row r="725" spans="1:11" x14ac:dyDescent="0.25">
      <c r="A725" s="115" t="s">
        <v>1916</v>
      </c>
      <c r="B725" s="112" t="s">
        <v>1917</v>
      </c>
      <c r="C725" s="101">
        <v>50987</v>
      </c>
      <c r="D725" s="102" t="s">
        <v>2272</v>
      </c>
      <c r="E725" s="103" t="s">
        <v>46</v>
      </c>
      <c r="F725" s="103" t="s">
        <v>412</v>
      </c>
      <c r="G725" s="103" t="s">
        <v>413</v>
      </c>
      <c r="H725" s="103" t="s">
        <v>414</v>
      </c>
      <c r="I725" s="104">
        <v>42744</v>
      </c>
      <c r="J725" s="104">
        <v>42744</v>
      </c>
      <c r="K725" s="105">
        <v>14094.24</v>
      </c>
    </row>
    <row r="726" spans="1:11" x14ac:dyDescent="0.25">
      <c r="A726" s="115" t="s">
        <v>1916</v>
      </c>
      <c r="B726" s="112" t="s">
        <v>1917</v>
      </c>
      <c r="C726" s="101">
        <v>50986</v>
      </c>
      <c r="D726" s="102" t="s">
        <v>2273</v>
      </c>
      <c r="E726" s="103" t="s">
        <v>46</v>
      </c>
      <c r="F726" s="103" t="s">
        <v>412</v>
      </c>
      <c r="G726" s="103" t="s">
        <v>413</v>
      </c>
      <c r="H726" s="103" t="s">
        <v>414</v>
      </c>
      <c r="I726" s="104">
        <v>42378</v>
      </c>
      <c r="J726" s="104">
        <v>42378</v>
      </c>
      <c r="K726" s="105">
        <v>9406.5499999999993</v>
      </c>
    </row>
    <row r="727" spans="1:11" x14ac:dyDescent="0.25">
      <c r="A727" s="115" t="s">
        <v>1916</v>
      </c>
      <c r="B727" s="112" t="s">
        <v>1917</v>
      </c>
      <c r="C727" s="101">
        <v>50985</v>
      </c>
      <c r="D727" s="102" t="s">
        <v>2274</v>
      </c>
      <c r="E727" s="103" t="s">
        <v>46</v>
      </c>
      <c r="F727" s="103" t="s">
        <v>412</v>
      </c>
      <c r="G727" s="103" t="s">
        <v>413</v>
      </c>
      <c r="H727" s="103" t="s">
        <v>414</v>
      </c>
      <c r="I727" s="104">
        <v>42013</v>
      </c>
      <c r="J727" s="104">
        <v>42013</v>
      </c>
      <c r="K727" s="105">
        <v>9406.7999999999993</v>
      </c>
    </row>
    <row r="728" spans="1:11" x14ac:dyDescent="0.25">
      <c r="A728" s="115" t="s">
        <v>1916</v>
      </c>
      <c r="B728" s="112" t="s">
        <v>1917</v>
      </c>
      <c r="C728" s="101">
        <v>50984</v>
      </c>
      <c r="D728" s="102" t="s">
        <v>2275</v>
      </c>
      <c r="E728" s="103" t="s">
        <v>46</v>
      </c>
      <c r="F728" s="103" t="s">
        <v>412</v>
      </c>
      <c r="G728" s="103" t="s">
        <v>413</v>
      </c>
      <c r="H728" s="103" t="s">
        <v>414</v>
      </c>
      <c r="I728" s="104">
        <v>41648</v>
      </c>
      <c r="J728" s="104">
        <v>41648</v>
      </c>
      <c r="K728" s="105">
        <v>6673.37</v>
      </c>
    </row>
    <row r="729" spans="1:11" x14ac:dyDescent="0.25">
      <c r="A729" s="115" t="s">
        <v>1916</v>
      </c>
      <c r="B729" s="112" t="s">
        <v>1917</v>
      </c>
      <c r="C729" s="101">
        <v>56050</v>
      </c>
      <c r="D729" s="102" t="s">
        <v>2276</v>
      </c>
      <c r="E729" s="103" t="s">
        <v>46</v>
      </c>
      <c r="F729" s="103" t="s">
        <v>412</v>
      </c>
      <c r="G729" s="103" t="s">
        <v>427</v>
      </c>
      <c r="H729" s="103" t="s">
        <v>423</v>
      </c>
      <c r="I729" s="104">
        <v>41547</v>
      </c>
      <c r="J729" s="104">
        <v>41547</v>
      </c>
      <c r="K729" s="105">
        <v>69163.61</v>
      </c>
    </row>
    <row r="730" spans="1:11" x14ac:dyDescent="0.25">
      <c r="A730" s="115" t="s">
        <v>1916</v>
      </c>
      <c r="B730" s="112" t="s">
        <v>1917</v>
      </c>
      <c r="C730" s="101">
        <v>58393</v>
      </c>
      <c r="D730" s="102" t="s">
        <v>2277</v>
      </c>
      <c r="E730" s="103" t="s">
        <v>46</v>
      </c>
      <c r="F730" s="103" t="s">
        <v>412</v>
      </c>
      <c r="G730" s="103" t="s">
        <v>425</v>
      </c>
      <c r="H730" s="103" t="s">
        <v>459</v>
      </c>
      <c r="I730" s="104">
        <v>43951</v>
      </c>
      <c r="J730" s="104">
        <v>43896</v>
      </c>
      <c r="K730" s="105">
        <v>29880.240000000002</v>
      </c>
    </row>
    <row r="731" spans="1:11" x14ac:dyDescent="0.25">
      <c r="A731" s="115" t="s">
        <v>1916</v>
      </c>
      <c r="B731" s="112" t="s">
        <v>1917</v>
      </c>
      <c r="C731" s="101">
        <v>60783</v>
      </c>
      <c r="D731" s="102" t="s">
        <v>2278</v>
      </c>
      <c r="E731" s="103" t="s">
        <v>46</v>
      </c>
      <c r="F731" s="103" t="s">
        <v>412</v>
      </c>
      <c r="G731" s="103"/>
      <c r="H731" s="103" t="s">
        <v>437</v>
      </c>
      <c r="I731" s="104">
        <v>44408</v>
      </c>
      <c r="J731" s="104">
        <v>44398</v>
      </c>
      <c r="K731" s="105">
        <v>5140.08</v>
      </c>
    </row>
    <row r="732" spans="1:11" x14ac:dyDescent="0.25">
      <c r="A732" s="115" t="s">
        <v>1916</v>
      </c>
      <c r="B732" s="112" t="s">
        <v>1917</v>
      </c>
      <c r="C732" s="101">
        <v>60285</v>
      </c>
      <c r="D732" s="102" t="s">
        <v>2279</v>
      </c>
      <c r="E732" s="103" t="s">
        <v>46</v>
      </c>
      <c r="F732" s="103" t="s">
        <v>412</v>
      </c>
      <c r="G732" s="103" t="s">
        <v>425</v>
      </c>
      <c r="H732" s="103" t="s">
        <v>423</v>
      </c>
      <c r="I732" s="104">
        <v>44286</v>
      </c>
      <c r="J732" s="104">
        <v>44272</v>
      </c>
      <c r="K732" s="105">
        <v>8888.66</v>
      </c>
    </row>
    <row r="733" spans="1:11" x14ac:dyDescent="0.25">
      <c r="A733" s="115" t="s">
        <v>1916</v>
      </c>
      <c r="B733" s="112" t="s">
        <v>1917</v>
      </c>
      <c r="C733" s="101">
        <v>60924</v>
      </c>
      <c r="D733" s="102" t="s">
        <v>2280</v>
      </c>
      <c r="E733" s="103" t="s">
        <v>46</v>
      </c>
      <c r="F733" s="103" t="s">
        <v>412</v>
      </c>
      <c r="G733" s="103" t="s">
        <v>422</v>
      </c>
      <c r="H733" s="103" t="s">
        <v>423</v>
      </c>
      <c r="I733" s="104">
        <v>44469</v>
      </c>
      <c r="J733" s="104">
        <v>44459</v>
      </c>
      <c r="K733" s="105">
        <v>2355.87</v>
      </c>
    </row>
    <row r="734" spans="1:11" x14ac:dyDescent="0.25">
      <c r="A734" s="115" t="s">
        <v>1916</v>
      </c>
      <c r="B734" s="112" t="s">
        <v>1917</v>
      </c>
      <c r="C734" s="101">
        <v>60403</v>
      </c>
      <c r="D734" s="102" t="s">
        <v>2281</v>
      </c>
      <c r="E734" s="103" t="s">
        <v>46</v>
      </c>
      <c r="F734" s="103" t="s">
        <v>412</v>
      </c>
      <c r="G734" s="103" t="s">
        <v>425</v>
      </c>
      <c r="H734" s="103" t="s">
        <v>423</v>
      </c>
      <c r="I734" s="104">
        <v>44316</v>
      </c>
      <c r="J734" s="104">
        <v>44316</v>
      </c>
      <c r="K734" s="105">
        <v>5028.5200000000004</v>
      </c>
    </row>
    <row r="735" spans="1:11" x14ac:dyDescent="0.25">
      <c r="A735" s="115" t="s">
        <v>1916</v>
      </c>
      <c r="B735" s="112" t="s">
        <v>1917</v>
      </c>
      <c r="C735" s="101">
        <v>60385</v>
      </c>
      <c r="D735" s="102" t="s">
        <v>2281</v>
      </c>
      <c r="E735" s="103" t="s">
        <v>46</v>
      </c>
      <c r="F735" s="103" t="s">
        <v>397</v>
      </c>
      <c r="G735" s="103"/>
      <c r="H735" s="103" t="s">
        <v>437</v>
      </c>
      <c r="I735" s="104">
        <v>44316</v>
      </c>
      <c r="J735" s="104"/>
      <c r="K735" s="105">
        <v>5148</v>
      </c>
    </row>
    <row r="736" spans="1:11" x14ac:dyDescent="0.25">
      <c r="A736" s="115" t="s">
        <v>1916</v>
      </c>
      <c r="B736" s="112" t="s">
        <v>1917</v>
      </c>
      <c r="C736" s="101">
        <v>53451</v>
      </c>
      <c r="D736" s="102" t="s">
        <v>2282</v>
      </c>
      <c r="E736" s="103" t="s">
        <v>46</v>
      </c>
      <c r="F736" s="103" t="s">
        <v>412</v>
      </c>
      <c r="G736" s="103" t="s">
        <v>425</v>
      </c>
      <c r="H736" s="103" t="s">
        <v>423</v>
      </c>
      <c r="I736" s="104">
        <v>42997</v>
      </c>
      <c r="J736" s="104">
        <v>42997</v>
      </c>
      <c r="K736" s="105">
        <v>13600</v>
      </c>
    </row>
    <row r="737" spans="1:11" x14ac:dyDescent="0.25">
      <c r="A737" s="115" t="s">
        <v>1916</v>
      </c>
      <c r="B737" s="112" t="s">
        <v>1917</v>
      </c>
      <c r="C737" s="101">
        <v>61266</v>
      </c>
      <c r="D737" s="102" t="s">
        <v>2283</v>
      </c>
      <c r="E737" s="103" t="s">
        <v>46</v>
      </c>
      <c r="F737" s="103" t="s">
        <v>412</v>
      </c>
      <c r="G737" s="103" t="s">
        <v>422</v>
      </c>
      <c r="H737" s="103" t="s">
        <v>423</v>
      </c>
      <c r="I737" s="104">
        <v>44651</v>
      </c>
      <c r="J737" s="104">
        <v>44637</v>
      </c>
      <c r="K737" s="105">
        <v>46627.99</v>
      </c>
    </row>
    <row r="738" spans="1:11" x14ac:dyDescent="0.25">
      <c r="A738" s="115" t="s">
        <v>1916</v>
      </c>
      <c r="B738" s="112" t="s">
        <v>1917</v>
      </c>
      <c r="C738" s="101">
        <v>58408</v>
      </c>
      <c r="D738" s="102" t="s">
        <v>2284</v>
      </c>
      <c r="E738" s="103" t="s">
        <v>46</v>
      </c>
      <c r="F738" s="103" t="s">
        <v>397</v>
      </c>
      <c r="G738" s="103" t="s">
        <v>425</v>
      </c>
      <c r="H738" s="103" t="s">
        <v>459</v>
      </c>
      <c r="I738" s="104">
        <v>43951</v>
      </c>
      <c r="J738" s="104"/>
      <c r="K738" s="105">
        <v>29880.240000000002</v>
      </c>
    </row>
    <row r="739" spans="1:11" x14ac:dyDescent="0.25">
      <c r="A739" s="115" t="s">
        <v>1916</v>
      </c>
      <c r="B739" s="112" t="s">
        <v>1917</v>
      </c>
      <c r="C739" s="101">
        <v>62143</v>
      </c>
      <c r="D739" s="102" t="s">
        <v>2285</v>
      </c>
      <c r="E739" s="103" t="s">
        <v>46</v>
      </c>
      <c r="F739" s="103" t="s">
        <v>412</v>
      </c>
      <c r="G739" s="103" t="s">
        <v>417</v>
      </c>
      <c r="H739" s="103" t="s">
        <v>414</v>
      </c>
      <c r="I739" s="104">
        <v>44651</v>
      </c>
      <c r="J739" s="104">
        <v>44651</v>
      </c>
      <c r="K739" s="105">
        <v>11044.33</v>
      </c>
    </row>
    <row r="740" spans="1:11" x14ac:dyDescent="0.25">
      <c r="A740" s="115" t="s">
        <v>1916</v>
      </c>
      <c r="B740" s="112" t="s">
        <v>1917</v>
      </c>
      <c r="C740" s="101">
        <v>54008</v>
      </c>
      <c r="D740" s="102" t="s">
        <v>2286</v>
      </c>
      <c r="E740" s="103" t="s">
        <v>46</v>
      </c>
      <c r="F740" s="103" t="s">
        <v>412</v>
      </c>
      <c r="G740" s="103" t="s">
        <v>425</v>
      </c>
      <c r="H740" s="103" t="s">
        <v>423</v>
      </c>
      <c r="I740" s="104">
        <v>42731</v>
      </c>
      <c r="J740" s="104">
        <v>42731</v>
      </c>
      <c r="K740" s="105">
        <v>17850</v>
      </c>
    </row>
    <row r="741" spans="1:11" x14ac:dyDescent="0.25">
      <c r="A741" s="115" t="s">
        <v>1916</v>
      </c>
      <c r="B741" s="112" t="s">
        <v>1917</v>
      </c>
      <c r="C741" s="101">
        <v>62222</v>
      </c>
      <c r="D741" s="102" t="s">
        <v>2287</v>
      </c>
      <c r="E741" s="103" t="s">
        <v>46</v>
      </c>
      <c r="F741" s="103" t="s">
        <v>412</v>
      </c>
      <c r="G741" s="103" t="s">
        <v>422</v>
      </c>
      <c r="H741" s="103" t="s">
        <v>423</v>
      </c>
      <c r="I741" s="104">
        <v>44709</v>
      </c>
      <c r="J741" s="104">
        <v>44713</v>
      </c>
      <c r="K741" s="105">
        <v>21090.240000000002</v>
      </c>
    </row>
    <row r="742" spans="1:11" x14ac:dyDescent="0.25">
      <c r="A742" s="115" t="s">
        <v>1916</v>
      </c>
      <c r="B742" s="112" t="s">
        <v>1917</v>
      </c>
      <c r="C742" s="101">
        <v>60621</v>
      </c>
      <c r="D742" s="102" t="s">
        <v>2288</v>
      </c>
      <c r="E742" s="103" t="s">
        <v>67</v>
      </c>
      <c r="F742" s="103" t="s">
        <v>412</v>
      </c>
      <c r="G742" s="103"/>
      <c r="H742" s="103" t="s">
        <v>437</v>
      </c>
      <c r="I742" s="104">
        <v>44377</v>
      </c>
      <c r="J742" s="104">
        <v>44365</v>
      </c>
      <c r="K742" s="105">
        <v>6000</v>
      </c>
    </row>
    <row r="743" spans="1:11" x14ac:dyDescent="0.25">
      <c r="A743" s="115" t="s">
        <v>1916</v>
      </c>
      <c r="B743" s="112" t="s">
        <v>1917</v>
      </c>
      <c r="C743" s="101">
        <v>60443</v>
      </c>
      <c r="D743" s="102" t="s">
        <v>2289</v>
      </c>
      <c r="E743" s="103" t="s">
        <v>46</v>
      </c>
      <c r="F743" s="103" t="s">
        <v>412</v>
      </c>
      <c r="G743" s="103"/>
      <c r="H743" s="103" t="s">
        <v>433</v>
      </c>
      <c r="I743" s="104">
        <v>44345</v>
      </c>
      <c r="J743" s="104">
        <v>44316</v>
      </c>
      <c r="K743" s="105">
        <v>7200</v>
      </c>
    </row>
    <row r="744" spans="1:11" x14ac:dyDescent="0.25">
      <c r="A744" s="115" t="s">
        <v>1916</v>
      </c>
      <c r="B744" s="112" t="s">
        <v>1917</v>
      </c>
      <c r="C744" s="101">
        <v>61845</v>
      </c>
      <c r="D744" s="102" t="s">
        <v>2290</v>
      </c>
      <c r="E744" s="103" t="s">
        <v>46</v>
      </c>
      <c r="F744" s="103" t="s">
        <v>412</v>
      </c>
      <c r="G744" s="103"/>
      <c r="H744" s="103" t="s">
        <v>437</v>
      </c>
      <c r="I744" s="104">
        <v>44618</v>
      </c>
      <c r="J744" s="104">
        <v>44606</v>
      </c>
      <c r="K744" s="105">
        <v>12400</v>
      </c>
    </row>
    <row r="745" spans="1:11" x14ac:dyDescent="0.25">
      <c r="A745" s="115" t="s">
        <v>1916</v>
      </c>
      <c r="B745" s="112" t="s">
        <v>1917</v>
      </c>
      <c r="C745" s="101">
        <v>61702</v>
      </c>
      <c r="D745" s="102" t="s">
        <v>2291</v>
      </c>
      <c r="E745" s="103" t="s">
        <v>46</v>
      </c>
      <c r="F745" s="103" t="s">
        <v>412</v>
      </c>
      <c r="G745" s="103"/>
      <c r="H745" s="103" t="s">
        <v>437</v>
      </c>
      <c r="I745" s="104">
        <v>44561</v>
      </c>
      <c r="J745" s="104">
        <v>44552</v>
      </c>
      <c r="K745" s="105">
        <v>18600.599999999999</v>
      </c>
    </row>
    <row r="746" spans="1:11" x14ac:dyDescent="0.25">
      <c r="A746" s="115" t="s">
        <v>1916</v>
      </c>
      <c r="B746" s="112" t="s">
        <v>1917</v>
      </c>
      <c r="C746" s="101">
        <v>60736</v>
      </c>
      <c r="D746" s="102" t="s">
        <v>2292</v>
      </c>
      <c r="E746" s="103" t="s">
        <v>46</v>
      </c>
      <c r="F746" s="103" t="s">
        <v>412</v>
      </c>
      <c r="G746" s="103"/>
      <c r="H746" s="103" t="s">
        <v>437</v>
      </c>
      <c r="I746" s="104">
        <v>44408</v>
      </c>
      <c r="J746" s="104">
        <v>44392</v>
      </c>
      <c r="K746" s="105">
        <v>15500</v>
      </c>
    </row>
    <row r="747" spans="1:11" x14ac:dyDescent="0.25">
      <c r="A747" s="115" t="s">
        <v>1916</v>
      </c>
      <c r="B747" s="112" t="s">
        <v>1917</v>
      </c>
      <c r="C747" s="101">
        <v>63927</v>
      </c>
      <c r="D747" s="102" t="s">
        <v>2293</v>
      </c>
      <c r="E747" s="103" t="s">
        <v>46</v>
      </c>
      <c r="F747" s="103" t="s">
        <v>412</v>
      </c>
      <c r="G747" s="103" t="s">
        <v>422</v>
      </c>
      <c r="H747" s="103" t="s">
        <v>423</v>
      </c>
      <c r="I747" s="104">
        <v>45016</v>
      </c>
      <c r="J747" s="104">
        <v>45043</v>
      </c>
      <c r="K747" s="105">
        <v>7594.16</v>
      </c>
    </row>
    <row r="748" spans="1:11" x14ac:dyDescent="0.25">
      <c r="A748" s="115" t="s">
        <v>1916</v>
      </c>
      <c r="B748" s="112" t="s">
        <v>1917</v>
      </c>
      <c r="C748" s="101">
        <v>57119</v>
      </c>
      <c r="D748" s="102" t="s">
        <v>2294</v>
      </c>
      <c r="E748" s="103"/>
      <c r="F748" s="103" t="s">
        <v>412</v>
      </c>
      <c r="G748" s="103"/>
      <c r="H748" s="103" t="s">
        <v>437</v>
      </c>
      <c r="I748" s="104">
        <v>43731</v>
      </c>
      <c r="J748" s="104">
        <v>43731</v>
      </c>
      <c r="K748" s="105">
        <v>7200.18</v>
      </c>
    </row>
    <row r="749" spans="1:11" x14ac:dyDescent="0.25">
      <c r="A749" s="115" t="s">
        <v>1916</v>
      </c>
      <c r="B749" s="112" t="s">
        <v>1917</v>
      </c>
      <c r="C749" s="101">
        <v>58992</v>
      </c>
      <c r="D749" s="102" t="s">
        <v>2295</v>
      </c>
      <c r="E749" s="103" t="s">
        <v>579</v>
      </c>
      <c r="F749" s="103" t="s">
        <v>397</v>
      </c>
      <c r="G749" s="103"/>
      <c r="H749" s="103" t="s">
        <v>437</v>
      </c>
      <c r="I749" s="104">
        <v>44196</v>
      </c>
      <c r="J749" s="104"/>
      <c r="K749" s="105">
        <v>24303</v>
      </c>
    </row>
    <row r="750" spans="1:11" x14ac:dyDescent="0.25">
      <c r="A750" s="115" t="s">
        <v>1960</v>
      </c>
      <c r="B750" s="112" t="s">
        <v>688</v>
      </c>
      <c r="C750" s="101">
        <v>61191</v>
      </c>
      <c r="D750" s="102" t="s">
        <v>2297</v>
      </c>
      <c r="E750" s="103" t="s">
        <v>579</v>
      </c>
      <c r="F750" s="103" t="s">
        <v>401</v>
      </c>
      <c r="G750" s="103" t="s">
        <v>417</v>
      </c>
      <c r="H750" s="103" t="s">
        <v>414</v>
      </c>
      <c r="I750" s="104">
        <v>45527</v>
      </c>
      <c r="J750" s="104"/>
      <c r="K750" s="105">
        <v>218162.56</v>
      </c>
    </row>
    <row r="751" spans="1:11" x14ac:dyDescent="0.25">
      <c r="A751" s="115" t="s">
        <v>1960</v>
      </c>
      <c r="B751" s="112" t="s">
        <v>688</v>
      </c>
      <c r="C751" s="101">
        <v>65168</v>
      </c>
      <c r="D751" s="102" t="s">
        <v>2298</v>
      </c>
      <c r="E751" s="103" t="s">
        <v>484</v>
      </c>
      <c r="F751" s="103" t="s">
        <v>412</v>
      </c>
      <c r="G751" s="103"/>
      <c r="H751" s="103" t="s">
        <v>437</v>
      </c>
      <c r="I751" s="104">
        <v>45596</v>
      </c>
      <c r="J751" s="104">
        <v>45265</v>
      </c>
      <c r="K751" s="105">
        <v>82200</v>
      </c>
    </row>
    <row r="752" spans="1:11" x14ac:dyDescent="0.25">
      <c r="A752" s="115" t="s">
        <v>1960</v>
      </c>
      <c r="B752" s="112" t="s">
        <v>688</v>
      </c>
      <c r="C752" s="101">
        <v>63476</v>
      </c>
      <c r="D752" s="102" t="s">
        <v>2299</v>
      </c>
      <c r="E752" s="103" t="s">
        <v>46</v>
      </c>
      <c r="F752" s="103" t="s">
        <v>397</v>
      </c>
      <c r="G752" s="103" t="s">
        <v>413</v>
      </c>
      <c r="H752" s="103" t="s">
        <v>414</v>
      </c>
      <c r="I752" s="104">
        <v>45230</v>
      </c>
      <c r="J752" s="104"/>
      <c r="K752" s="105">
        <v>370141.97</v>
      </c>
    </row>
    <row r="753" spans="1:11" x14ac:dyDescent="0.25">
      <c r="A753" s="115" t="s">
        <v>1960</v>
      </c>
      <c r="B753" s="112" t="s">
        <v>688</v>
      </c>
      <c r="C753" s="101">
        <v>61404</v>
      </c>
      <c r="D753" s="102" t="s">
        <v>2300</v>
      </c>
      <c r="E753" s="103" t="s">
        <v>46</v>
      </c>
      <c r="F753" s="103" t="s">
        <v>412</v>
      </c>
      <c r="G753" s="103" t="s">
        <v>413</v>
      </c>
      <c r="H753" s="103" t="s">
        <v>414</v>
      </c>
      <c r="I753" s="104">
        <v>44915</v>
      </c>
      <c r="J753" s="104">
        <v>44909</v>
      </c>
      <c r="K753" s="105">
        <v>336492.7</v>
      </c>
    </row>
    <row r="754" spans="1:11" x14ac:dyDescent="0.25">
      <c r="A754" s="115" t="s">
        <v>1960</v>
      </c>
      <c r="B754" s="112" t="s">
        <v>688</v>
      </c>
      <c r="C754" s="101">
        <v>59574</v>
      </c>
      <c r="D754" s="102" t="s">
        <v>2301</v>
      </c>
      <c r="E754" s="103" t="s">
        <v>46</v>
      </c>
      <c r="F754" s="103" t="s">
        <v>412</v>
      </c>
      <c r="G754" s="103" t="s">
        <v>413</v>
      </c>
      <c r="H754" s="103" t="s">
        <v>414</v>
      </c>
      <c r="I754" s="104">
        <v>44498</v>
      </c>
      <c r="J754" s="104">
        <v>44483</v>
      </c>
      <c r="K754" s="105">
        <v>305707.58</v>
      </c>
    </row>
    <row r="755" spans="1:11" x14ac:dyDescent="0.25">
      <c r="A755" s="115" t="s">
        <v>1960</v>
      </c>
      <c r="B755" s="112" t="s">
        <v>688</v>
      </c>
      <c r="C755" s="101">
        <v>58780</v>
      </c>
      <c r="D755" s="102" t="s">
        <v>2302</v>
      </c>
      <c r="E755" s="103" t="s">
        <v>46</v>
      </c>
      <c r="F755" s="103" t="s">
        <v>412</v>
      </c>
      <c r="G755" s="103" t="s">
        <v>413</v>
      </c>
      <c r="H755" s="103" t="s">
        <v>414</v>
      </c>
      <c r="I755" s="104"/>
      <c r="J755" s="104">
        <v>44109</v>
      </c>
      <c r="K755" s="105">
        <v>291150.01</v>
      </c>
    </row>
    <row r="756" spans="1:11" x14ac:dyDescent="0.25">
      <c r="A756" s="115" t="s">
        <v>1960</v>
      </c>
      <c r="B756" s="112" t="s">
        <v>688</v>
      </c>
      <c r="C756" s="101">
        <v>57776</v>
      </c>
      <c r="D756" s="102" t="s">
        <v>2303</v>
      </c>
      <c r="E756" s="103" t="s">
        <v>46</v>
      </c>
      <c r="F756" s="103" t="s">
        <v>412</v>
      </c>
      <c r="G756" s="103" t="s">
        <v>413</v>
      </c>
      <c r="H756" s="103" t="s">
        <v>414</v>
      </c>
      <c r="I756" s="104">
        <v>43753</v>
      </c>
      <c r="J756" s="104">
        <v>43774</v>
      </c>
      <c r="K756" s="105">
        <v>250782.73</v>
      </c>
    </row>
    <row r="757" spans="1:11" x14ac:dyDescent="0.25">
      <c r="A757" s="115" t="s">
        <v>1960</v>
      </c>
      <c r="B757" s="112" t="s">
        <v>688</v>
      </c>
      <c r="C757" s="101">
        <v>50559</v>
      </c>
      <c r="D757" s="102" t="s">
        <v>2304</v>
      </c>
      <c r="E757" s="103" t="s">
        <v>46</v>
      </c>
      <c r="F757" s="103" t="s">
        <v>412</v>
      </c>
      <c r="G757" s="103" t="s">
        <v>413</v>
      </c>
      <c r="H757" s="103" t="s">
        <v>414</v>
      </c>
      <c r="I757" s="104">
        <v>43109</v>
      </c>
      <c r="J757" s="104">
        <v>43109</v>
      </c>
      <c r="K757" s="105">
        <v>194771.96</v>
      </c>
    </row>
    <row r="758" spans="1:11" x14ac:dyDescent="0.25">
      <c r="A758" s="115" t="s">
        <v>1960</v>
      </c>
      <c r="B758" s="112" t="s">
        <v>688</v>
      </c>
      <c r="C758" s="101">
        <v>50557</v>
      </c>
      <c r="D758" s="102" t="s">
        <v>2305</v>
      </c>
      <c r="E758" s="103" t="s">
        <v>46</v>
      </c>
      <c r="F758" s="103" t="s">
        <v>412</v>
      </c>
      <c r="G758" s="103" t="s">
        <v>413</v>
      </c>
      <c r="H758" s="103" t="s">
        <v>414</v>
      </c>
      <c r="I758" s="104">
        <v>42745</v>
      </c>
      <c r="J758" s="104">
        <v>42745</v>
      </c>
      <c r="K758" s="105">
        <v>140327.6</v>
      </c>
    </row>
    <row r="759" spans="1:11" x14ac:dyDescent="0.25">
      <c r="A759" s="115" t="s">
        <v>1960</v>
      </c>
      <c r="B759" s="112" t="s">
        <v>688</v>
      </c>
      <c r="C759" s="101">
        <v>50558</v>
      </c>
      <c r="D759" s="102" t="s">
        <v>2306</v>
      </c>
      <c r="E759" s="103" t="s">
        <v>46</v>
      </c>
      <c r="F759" s="103" t="s">
        <v>412</v>
      </c>
      <c r="G759" s="103" t="s">
        <v>413</v>
      </c>
      <c r="H759" s="103" t="s">
        <v>414</v>
      </c>
      <c r="I759" s="104">
        <v>42378</v>
      </c>
      <c r="J759" s="104">
        <v>42378</v>
      </c>
      <c r="K759" s="105">
        <v>28800.959999999999</v>
      </c>
    </row>
    <row r="760" spans="1:11" x14ac:dyDescent="0.25">
      <c r="A760" s="115" t="s">
        <v>1960</v>
      </c>
      <c r="B760" s="112" t="s">
        <v>688</v>
      </c>
      <c r="C760" s="101">
        <v>50554</v>
      </c>
      <c r="D760" s="102" t="s">
        <v>2307</v>
      </c>
      <c r="E760" s="103" t="s">
        <v>46</v>
      </c>
      <c r="F760" s="103" t="s">
        <v>412</v>
      </c>
      <c r="G760" s="103" t="s">
        <v>413</v>
      </c>
      <c r="H760" s="103" t="s">
        <v>414</v>
      </c>
      <c r="I760" s="104">
        <v>42016</v>
      </c>
      <c r="J760" s="104">
        <v>42016</v>
      </c>
      <c r="K760" s="105">
        <v>25361.03</v>
      </c>
    </row>
    <row r="761" spans="1:11" x14ac:dyDescent="0.25">
      <c r="A761" s="115" t="s">
        <v>1960</v>
      </c>
      <c r="B761" s="112" t="s">
        <v>688</v>
      </c>
      <c r="C761" s="101">
        <v>50555</v>
      </c>
      <c r="D761" s="102" t="s">
        <v>1224</v>
      </c>
      <c r="E761" s="103" t="s">
        <v>46</v>
      </c>
      <c r="F761" s="103" t="s">
        <v>412</v>
      </c>
      <c r="G761" s="103" t="s">
        <v>413</v>
      </c>
      <c r="H761" s="103" t="s">
        <v>414</v>
      </c>
      <c r="I761" s="104">
        <v>41650</v>
      </c>
      <c r="J761" s="104">
        <v>41650</v>
      </c>
      <c r="K761" s="105">
        <v>23409.49</v>
      </c>
    </row>
    <row r="762" spans="1:11" x14ac:dyDescent="0.25">
      <c r="A762" s="115" t="s">
        <v>1960</v>
      </c>
      <c r="B762" s="112" t="s">
        <v>688</v>
      </c>
      <c r="C762" s="101">
        <v>50556</v>
      </c>
      <c r="D762" s="102" t="s">
        <v>2308</v>
      </c>
      <c r="E762" s="103" t="s">
        <v>46</v>
      </c>
      <c r="F762" s="103" t="s">
        <v>412</v>
      </c>
      <c r="G762" s="103" t="s">
        <v>413</v>
      </c>
      <c r="H762" s="103" t="s">
        <v>414</v>
      </c>
      <c r="I762" s="104">
        <v>41284</v>
      </c>
      <c r="J762" s="104">
        <v>41284</v>
      </c>
      <c r="K762" s="105">
        <v>14638.71</v>
      </c>
    </row>
    <row r="763" spans="1:11" x14ac:dyDescent="0.25">
      <c r="A763" s="115" t="s">
        <v>1960</v>
      </c>
      <c r="B763" s="112" t="s">
        <v>688</v>
      </c>
      <c r="C763" s="101">
        <v>56135</v>
      </c>
      <c r="D763" s="102" t="s">
        <v>2309</v>
      </c>
      <c r="E763" s="103" t="s">
        <v>46</v>
      </c>
      <c r="F763" s="103" t="s">
        <v>412</v>
      </c>
      <c r="G763" s="103" t="s">
        <v>425</v>
      </c>
      <c r="H763" s="103" t="s">
        <v>423</v>
      </c>
      <c r="I763" s="104">
        <v>41578</v>
      </c>
      <c r="J763" s="104">
        <v>41578</v>
      </c>
      <c r="K763" s="105">
        <v>22380.47</v>
      </c>
    </row>
    <row r="764" spans="1:11" x14ac:dyDescent="0.25">
      <c r="A764" s="115" t="s">
        <v>1960</v>
      </c>
      <c r="B764" s="112" t="s">
        <v>688</v>
      </c>
      <c r="C764" s="101">
        <v>58094</v>
      </c>
      <c r="D764" s="102" t="s">
        <v>2310</v>
      </c>
      <c r="E764" s="103"/>
      <c r="F764" s="103" t="s">
        <v>412</v>
      </c>
      <c r="G764" s="103"/>
      <c r="H764" s="103" t="s">
        <v>437</v>
      </c>
      <c r="I764" s="104">
        <v>43816</v>
      </c>
      <c r="J764" s="104">
        <v>43816</v>
      </c>
      <c r="K764" s="105">
        <v>6240</v>
      </c>
    </row>
    <row r="765" spans="1:11" x14ac:dyDescent="0.25">
      <c r="A765" s="115" t="s">
        <v>1960</v>
      </c>
      <c r="B765" s="112" t="s">
        <v>688</v>
      </c>
      <c r="C765" s="101">
        <v>57991</v>
      </c>
      <c r="D765" s="102" t="s">
        <v>2311</v>
      </c>
      <c r="E765" s="103"/>
      <c r="F765" s="103" t="s">
        <v>412</v>
      </c>
      <c r="G765" s="103"/>
      <c r="H765" s="103" t="s">
        <v>437</v>
      </c>
      <c r="I765" s="104">
        <v>43805</v>
      </c>
      <c r="J765" s="104">
        <v>43801</v>
      </c>
      <c r="K765" s="105">
        <v>238559.82</v>
      </c>
    </row>
    <row r="766" spans="1:11" x14ac:dyDescent="0.25">
      <c r="A766" s="115" t="s">
        <v>1960</v>
      </c>
      <c r="B766" s="112" t="s">
        <v>688</v>
      </c>
      <c r="C766" s="101">
        <v>53475</v>
      </c>
      <c r="D766" s="102" t="s">
        <v>2312</v>
      </c>
      <c r="E766" s="103" t="s">
        <v>46</v>
      </c>
      <c r="F766" s="103" t="s">
        <v>412</v>
      </c>
      <c r="G766" s="103" t="s">
        <v>425</v>
      </c>
      <c r="H766" s="103" t="s">
        <v>423</v>
      </c>
      <c r="I766" s="104">
        <v>43020</v>
      </c>
      <c r="J766" s="104">
        <v>43020</v>
      </c>
      <c r="K766" s="105">
        <v>5920</v>
      </c>
    </row>
    <row r="767" spans="1:11" x14ac:dyDescent="0.25">
      <c r="A767" s="115" t="s">
        <v>1960</v>
      </c>
      <c r="B767" s="112" t="s">
        <v>688</v>
      </c>
      <c r="C767" s="101">
        <v>56136</v>
      </c>
      <c r="D767" s="102" t="s">
        <v>2313</v>
      </c>
      <c r="E767" s="103" t="s">
        <v>46</v>
      </c>
      <c r="F767" s="103" t="s">
        <v>412</v>
      </c>
      <c r="G767" s="103" t="s">
        <v>425</v>
      </c>
      <c r="H767" s="103" t="s">
        <v>423</v>
      </c>
      <c r="I767" s="104">
        <v>41894</v>
      </c>
      <c r="J767" s="104">
        <v>41894</v>
      </c>
      <c r="K767" s="105">
        <v>25395.52</v>
      </c>
    </row>
    <row r="768" spans="1:11" x14ac:dyDescent="0.25">
      <c r="A768" s="115" t="s">
        <v>1960</v>
      </c>
      <c r="B768" s="112" t="s">
        <v>688</v>
      </c>
      <c r="C768" s="101">
        <v>56134</v>
      </c>
      <c r="D768" s="102" t="s">
        <v>2314</v>
      </c>
      <c r="E768" s="103" t="s">
        <v>46</v>
      </c>
      <c r="F768" s="103" t="s">
        <v>397</v>
      </c>
      <c r="G768" s="103" t="s">
        <v>447</v>
      </c>
      <c r="H768" s="103" t="s">
        <v>423</v>
      </c>
      <c r="I768" s="104">
        <v>41494</v>
      </c>
      <c r="J768" s="104">
        <v>41494</v>
      </c>
      <c r="K768" s="105">
        <v>38550.78</v>
      </c>
    </row>
    <row r="769" spans="1:11" x14ac:dyDescent="0.25">
      <c r="A769" s="115" t="s">
        <v>1960</v>
      </c>
      <c r="B769" s="112" t="s">
        <v>688</v>
      </c>
      <c r="C769" s="101">
        <v>52085</v>
      </c>
      <c r="D769" s="102" t="s">
        <v>2315</v>
      </c>
      <c r="E769" s="103" t="s">
        <v>46</v>
      </c>
      <c r="F769" s="103" t="s">
        <v>412</v>
      </c>
      <c r="G769" s="103" t="s">
        <v>427</v>
      </c>
      <c r="H769" s="103" t="s">
        <v>423</v>
      </c>
      <c r="I769" s="104">
        <v>43102</v>
      </c>
      <c r="J769" s="104">
        <v>43102</v>
      </c>
      <c r="K769" s="105">
        <v>69808.800000000003</v>
      </c>
    </row>
    <row r="770" spans="1:11" x14ac:dyDescent="0.25">
      <c r="A770" s="115" t="s">
        <v>1960</v>
      </c>
      <c r="B770" s="112" t="s">
        <v>688</v>
      </c>
      <c r="C770" s="101">
        <v>53410</v>
      </c>
      <c r="D770" s="102" t="s">
        <v>2316</v>
      </c>
      <c r="E770" s="103" t="s">
        <v>46</v>
      </c>
      <c r="F770" s="103" t="s">
        <v>412</v>
      </c>
      <c r="G770" s="103" t="s">
        <v>425</v>
      </c>
      <c r="H770" s="103" t="s">
        <v>423</v>
      </c>
      <c r="I770" s="104">
        <v>42949</v>
      </c>
      <c r="J770" s="104">
        <v>42949</v>
      </c>
      <c r="K770" s="105">
        <v>1429.8</v>
      </c>
    </row>
    <row r="771" spans="1:11" x14ac:dyDescent="0.25">
      <c r="A771" s="115" t="s">
        <v>1960</v>
      </c>
      <c r="B771" s="112" t="s">
        <v>688</v>
      </c>
      <c r="C771" s="101">
        <v>52288</v>
      </c>
      <c r="D771" s="102" t="s">
        <v>2317</v>
      </c>
      <c r="E771" s="103" t="s">
        <v>46</v>
      </c>
      <c r="F771" s="103" t="s">
        <v>412</v>
      </c>
      <c r="G771" s="103" t="s">
        <v>413</v>
      </c>
      <c r="H771" s="103" t="s">
        <v>423</v>
      </c>
      <c r="I771" s="104">
        <v>43110</v>
      </c>
      <c r="J771" s="104">
        <v>43110</v>
      </c>
      <c r="K771" s="105">
        <v>54570</v>
      </c>
    </row>
    <row r="772" spans="1:11" x14ac:dyDescent="0.25">
      <c r="A772" s="115" t="s">
        <v>1960</v>
      </c>
      <c r="B772" s="112" t="s">
        <v>688</v>
      </c>
      <c r="C772" s="101">
        <v>53238</v>
      </c>
      <c r="D772" s="102" t="s">
        <v>2318</v>
      </c>
      <c r="E772" s="103" t="s">
        <v>46</v>
      </c>
      <c r="F772" s="103" t="s">
        <v>412</v>
      </c>
      <c r="G772" s="103" t="s">
        <v>425</v>
      </c>
      <c r="H772" s="103" t="s">
        <v>423</v>
      </c>
      <c r="I772" s="104">
        <v>42794</v>
      </c>
      <c r="J772" s="104">
        <v>42794</v>
      </c>
      <c r="K772" s="105">
        <v>48600</v>
      </c>
    </row>
    <row r="773" spans="1:11" x14ac:dyDescent="0.25">
      <c r="A773" s="115" t="s">
        <v>1960</v>
      </c>
      <c r="B773" s="112" t="s">
        <v>688</v>
      </c>
      <c r="C773" s="101">
        <v>57233</v>
      </c>
      <c r="D773" s="102" t="s">
        <v>2319</v>
      </c>
      <c r="E773" s="103" t="s">
        <v>46</v>
      </c>
      <c r="F773" s="103" t="s">
        <v>412</v>
      </c>
      <c r="G773" s="103" t="s">
        <v>413</v>
      </c>
      <c r="H773" s="103" t="s">
        <v>423</v>
      </c>
      <c r="I773" s="104">
        <v>43657</v>
      </c>
      <c r="J773" s="104">
        <v>43662</v>
      </c>
      <c r="K773" s="105">
        <v>36000</v>
      </c>
    </row>
    <row r="774" spans="1:11" x14ac:dyDescent="0.25">
      <c r="A774" s="115" t="s">
        <v>1960</v>
      </c>
      <c r="B774" s="112" t="s">
        <v>688</v>
      </c>
      <c r="C774" s="101">
        <v>57415</v>
      </c>
      <c r="D774" s="102" t="s">
        <v>2320</v>
      </c>
      <c r="E774" s="103" t="s">
        <v>46</v>
      </c>
      <c r="F774" s="103" t="s">
        <v>412</v>
      </c>
      <c r="G774" s="103" t="s">
        <v>413</v>
      </c>
      <c r="H774" s="103" t="s">
        <v>423</v>
      </c>
      <c r="I774" s="104">
        <v>43738</v>
      </c>
      <c r="J774" s="104">
        <v>43748</v>
      </c>
      <c r="K774" s="105">
        <v>232113.44</v>
      </c>
    </row>
    <row r="775" spans="1:11" x14ac:dyDescent="0.25">
      <c r="A775" s="115" t="s">
        <v>1960</v>
      </c>
      <c r="B775" s="112" t="s">
        <v>688</v>
      </c>
      <c r="C775" s="101">
        <v>58691</v>
      </c>
      <c r="D775" s="102" t="s">
        <v>2321</v>
      </c>
      <c r="E775" s="103" t="s">
        <v>46</v>
      </c>
      <c r="F775" s="103" t="s">
        <v>397</v>
      </c>
      <c r="G775" s="103" t="s">
        <v>425</v>
      </c>
      <c r="H775" s="103" t="s">
        <v>423</v>
      </c>
      <c r="I775" s="104">
        <v>44074</v>
      </c>
      <c r="J775" s="104"/>
      <c r="K775" s="105">
        <v>331051.40000000002</v>
      </c>
    </row>
    <row r="776" spans="1:11" x14ac:dyDescent="0.25">
      <c r="A776" s="115" t="s">
        <v>1960</v>
      </c>
      <c r="B776" s="112" t="s">
        <v>688</v>
      </c>
      <c r="C776" s="101">
        <v>53318</v>
      </c>
      <c r="D776" s="102" t="s">
        <v>2322</v>
      </c>
      <c r="E776" s="103" t="s">
        <v>46</v>
      </c>
      <c r="F776" s="103" t="s">
        <v>412</v>
      </c>
      <c r="G776" s="103" t="s">
        <v>425</v>
      </c>
      <c r="H776" s="103" t="s">
        <v>423</v>
      </c>
      <c r="I776" s="104">
        <v>42881</v>
      </c>
      <c r="J776" s="104">
        <v>42881</v>
      </c>
      <c r="K776" s="105">
        <v>18000</v>
      </c>
    </row>
    <row r="777" spans="1:11" x14ac:dyDescent="0.25">
      <c r="A777" s="115" t="s">
        <v>1960</v>
      </c>
      <c r="B777" s="112" t="s">
        <v>688</v>
      </c>
      <c r="C777" s="101">
        <v>52350</v>
      </c>
      <c r="D777" s="102" t="s">
        <v>2323</v>
      </c>
      <c r="E777" s="103"/>
      <c r="F777" s="103" t="s">
        <v>412</v>
      </c>
      <c r="G777" s="103"/>
      <c r="H777" s="103" t="s">
        <v>437</v>
      </c>
      <c r="I777" s="104"/>
      <c r="J777" s="104">
        <v>43109</v>
      </c>
      <c r="K777" s="105">
        <v>0</v>
      </c>
    </row>
    <row r="778" spans="1:11" x14ac:dyDescent="0.25">
      <c r="A778" s="115" t="s">
        <v>1960</v>
      </c>
      <c r="B778" s="112" t="s">
        <v>688</v>
      </c>
      <c r="C778" s="101">
        <v>52349</v>
      </c>
      <c r="D778" s="102" t="s">
        <v>2324</v>
      </c>
      <c r="E778" s="103"/>
      <c r="F778" s="103" t="s">
        <v>412</v>
      </c>
      <c r="G778" s="103"/>
      <c r="H778" s="103" t="s">
        <v>437</v>
      </c>
      <c r="I778" s="104"/>
      <c r="J778" s="104">
        <v>43106</v>
      </c>
      <c r="K778" s="105">
        <v>0</v>
      </c>
    </row>
    <row r="779" spans="1:11" x14ac:dyDescent="0.25">
      <c r="A779" s="115" t="s">
        <v>1960</v>
      </c>
      <c r="B779" s="112" t="s">
        <v>688</v>
      </c>
      <c r="C779" s="101">
        <v>53898</v>
      </c>
      <c r="D779" s="102" t="s">
        <v>2325</v>
      </c>
      <c r="E779" s="103" t="s">
        <v>46</v>
      </c>
      <c r="F779" s="103" t="s">
        <v>412</v>
      </c>
      <c r="G779" s="103" t="s">
        <v>425</v>
      </c>
      <c r="H779" s="103" t="s">
        <v>423</v>
      </c>
      <c r="I779" s="104">
        <v>42613</v>
      </c>
      <c r="J779" s="104">
        <v>42613</v>
      </c>
      <c r="K779" s="105">
        <v>10590.99</v>
      </c>
    </row>
    <row r="780" spans="1:11" x14ac:dyDescent="0.25">
      <c r="A780" s="115" t="s">
        <v>1960</v>
      </c>
      <c r="B780" s="112" t="s">
        <v>688</v>
      </c>
      <c r="C780" s="101">
        <v>53269</v>
      </c>
      <c r="D780" s="102" t="s">
        <v>2326</v>
      </c>
      <c r="E780" s="103" t="s">
        <v>46</v>
      </c>
      <c r="F780" s="103" t="s">
        <v>412</v>
      </c>
      <c r="G780" s="103" t="s">
        <v>425</v>
      </c>
      <c r="H780" s="103" t="s">
        <v>423</v>
      </c>
      <c r="I780" s="104">
        <v>42825</v>
      </c>
      <c r="J780" s="104">
        <v>42825</v>
      </c>
      <c r="K780" s="105">
        <v>325079.95</v>
      </c>
    </row>
    <row r="781" spans="1:11" x14ac:dyDescent="0.25">
      <c r="A781" s="115" t="s">
        <v>1960</v>
      </c>
      <c r="B781" s="112" t="s">
        <v>688</v>
      </c>
      <c r="C781" s="101">
        <v>53541</v>
      </c>
      <c r="D781" s="102" t="s">
        <v>2327</v>
      </c>
      <c r="E781" s="103" t="s">
        <v>46</v>
      </c>
      <c r="F781" s="103" t="s">
        <v>412</v>
      </c>
      <c r="G781" s="103" t="s">
        <v>425</v>
      </c>
      <c r="H781" s="103" t="s">
        <v>423</v>
      </c>
      <c r="I781" s="104">
        <v>43069</v>
      </c>
      <c r="J781" s="104">
        <v>43069</v>
      </c>
      <c r="K781" s="105">
        <v>160617.62</v>
      </c>
    </row>
    <row r="782" spans="1:11" x14ac:dyDescent="0.25">
      <c r="A782" s="115" t="s">
        <v>1960</v>
      </c>
      <c r="B782" s="112" t="s">
        <v>688</v>
      </c>
      <c r="C782" s="101">
        <v>53358</v>
      </c>
      <c r="D782" s="102" t="s">
        <v>2328</v>
      </c>
      <c r="E782" s="103" t="s">
        <v>46</v>
      </c>
      <c r="F782" s="103" t="s">
        <v>412</v>
      </c>
      <c r="G782" s="103" t="s">
        <v>425</v>
      </c>
      <c r="H782" s="103" t="s">
        <v>423</v>
      </c>
      <c r="I782" s="104">
        <v>42915</v>
      </c>
      <c r="J782" s="104">
        <v>42915</v>
      </c>
      <c r="K782" s="105">
        <v>75480</v>
      </c>
    </row>
    <row r="783" spans="1:11" x14ac:dyDescent="0.25">
      <c r="A783" s="115" t="s">
        <v>1960</v>
      </c>
      <c r="B783" s="112" t="s">
        <v>688</v>
      </c>
      <c r="C783" s="101">
        <v>53381</v>
      </c>
      <c r="D783" s="102" t="s">
        <v>2329</v>
      </c>
      <c r="E783" s="103" t="s">
        <v>46</v>
      </c>
      <c r="F783" s="103" t="s">
        <v>412</v>
      </c>
      <c r="G783" s="103" t="s">
        <v>425</v>
      </c>
      <c r="H783" s="103" t="s">
        <v>423</v>
      </c>
      <c r="I783" s="104">
        <v>42928</v>
      </c>
      <c r="J783" s="104">
        <v>42928</v>
      </c>
      <c r="K783" s="105">
        <v>175500</v>
      </c>
    </row>
    <row r="784" spans="1:11" x14ac:dyDescent="0.25">
      <c r="A784" s="115" t="s">
        <v>1960</v>
      </c>
      <c r="B784" s="112" t="s">
        <v>688</v>
      </c>
      <c r="C784" s="101">
        <v>53197</v>
      </c>
      <c r="D784" s="102" t="s">
        <v>2330</v>
      </c>
      <c r="E784" s="103"/>
      <c r="F784" s="103" t="s">
        <v>412</v>
      </c>
      <c r="G784" s="103"/>
      <c r="H784" s="103" t="s">
        <v>437</v>
      </c>
      <c r="I784" s="104">
        <v>42755</v>
      </c>
      <c r="J784" s="104">
        <v>42755</v>
      </c>
      <c r="K784" s="105">
        <v>14999.99</v>
      </c>
    </row>
    <row r="785" spans="1:11" x14ac:dyDescent="0.25">
      <c r="A785" s="115" t="s">
        <v>1960</v>
      </c>
      <c r="B785" s="112" t="s">
        <v>688</v>
      </c>
      <c r="C785" s="101">
        <v>53203</v>
      </c>
      <c r="D785" s="102" t="s">
        <v>2331</v>
      </c>
      <c r="E785" s="103"/>
      <c r="F785" s="103" t="s">
        <v>412</v>
      </c>
      <c r="G785" s="103"/>
      <c r="H785" s="103" t="s">
        <v>437</v>
      </c>
      <c r="I785" s="104">
        <v>42762</v>
      </c>
      <c r="J785" s="104">
        <v>42762</v>
      </c>
      <c r="K785" s="105">
        <v>8000.01</v>
      </c>
    </row>
    <row r="786" spans="1:11" x14ac:dyDescent="0.25">
      <c r="A786" s="115" t="s">
        <v>1960</v>
      </c>
      <c r="B786" s="112" t="s">
        <v>688</v>
      </c>
      <c r="C786" s="101">
        <v>53227</v>
      </c>
      <c r="D786" s="102" t="s">
        <v>2332</v>
      </c>
      <c r="E786" s="103"/>
      <c r="F786" s="103" t="s">
        <v>412</v>
      </c>
      <c r="G786" s="103"/>
      <c r="H786" s="103" t="s">
        <v>437</v>
      </c>
      <c r="I786" s="104">
        <v>42772</v>
      </c>
      <c r="J786" s="104">
        <v>42772</v>
      </c>
      <c r="K786" s="105">
        <v>20400</v>
      </c>
    </row>
    <row r="787" spans="1:11" x14ac:dyDescent="0.25">
      <c r="A787" s="115" t="s">
        <v>1960</v>
      </c>
      <c r="B787" s="112" t="s">
        <v>688</v>
      </c>
      <c r="C787" s="101">
        <v>53355</v>
      </c>
      <c r="D787" s="102" t="s">
        <v>2333</v>
      </c>
      <c r="E787" s="103"/>
      <c r="F787" s="103" t="s">
        <v>412</v>
      </c>
      <c r="G787" s="103"/>
      <c r="H787" s="103" t="s">
        <v>437</v>
      </c>
      <c r="I787" s="104">
        <v>42913</v>
      </c>
      <c r="J787" s="104">
        <v>42913</v>
      </c>
      <c r="K787" s="105">
        <v>179999.91</v>
      </c>
    </row>
    <row r="788" spans="1:11" x14ac:dyDescent="0.25">
      <c r="A788" s="115" t="s">
        <v>1960</v>
      </c>
      <c r="B788" s="112" t="s">
        <v>688</v>
      </c>
      <c r="C788" s="101">
        <v>56133</v>
      </c>
      <c r="D788" s="102" t="s">
        <v>2334</v>
      </c>
      <c r="E788" s="103"/>
      <c r="F788" s="103" t="s">
        <v>412</v>
      </c>
      <c r="G788" s="103"/>
      <c r="H788" s="103" t="s">
        <v>437</v>
      </c>
      <c r="I788" s="104"/>
      <c r="J788" s="104">
        <v>41455</v>
      </c>
      <c r="K788" s="105">
        <v>0</v>
      </c>
    </row>
    <row r="789" spans="1:11" x14ac:dyDescent="0.25">
      <c r="A789" s="115" t="s">
        <v>1960</v>
      </c>
      <c r="B789" s="112" t="s">
        <v>688</v>
      </c>
      <c r="C789" s="101">
        <v>53974</v>
      </c>
      <c r="D789" s="102" t="s">
        <v>2335</v>
      </c>
      <c r="E789" s="103" t="s">
        <v>46</v>
      </c>
      <c r="F789" s="103" t="s">
        <v>412</v>
      </c>
      <c r="G789" s="103" t="s">
        <v>425</v>
      </c>
      <c r="H789" s="103" t="s">
        <v>423</v>
      </c>
      <c r="I789" s="104">
        <v>42704</v>
      </c>
      <c r="J789" s="104">
        <v>42704</v>
      </c>
      <c r="K789" s="105">
        <v>354425.99</v>
      </c>
    </row>
    <row r="790" spans="1:11" x14ac:dyDescent="0.25">
      <c r="A790" s="115" t="s">
        <v>1960</v>
      </c>
      <c r="B790" s="112" t="s">
        <v>688</v>
      </c>
      <c r="C790" s="101">
        <v>53506</v>
      </c>
      <c r="D790" s="102" t="s">
        <v>2336</v>
      </c>
      <c r="E790" s="103" t="s">
        <v>46</v>
      </c>
      <c r="F790" s="103" t="s">
        <v>412</v>
      </c>
      <c r="G790" s="103" t="s">
        <v>425</v>
      </c>
      <c r="H790" s="103" t="s">
        <v>423</v>
      </c>
      <c r="I790" s="104">
        <v>43049</v>
      </c>
      <c r="J790" s="104">
        <v>43049</v>
      </c>
      <c r="K790" s="105">
        <v>148508.82</v>
      </c>
    </row>
    <row r="791" spans="1:11" x14ac:dyDescent="0.25">
      <c r="A791" s="115" t="s">
        <v>1960</v>
      </c>
      <c r="B791" s="112" t="s">
        <v>688</v>
      </c>
      <c r="C791" s="101">
        <v>60176</v>
      </c>
      <c r="D791" s="102" t="s">
        <v>2337</v>
      </c>
      <c r="E791" s="103" t="s">
        <v>484</v>
      </c>
      <c r="F791" s="103" t="s">
        <v>412</v>
      </c>
      <c r="G791" s="103"/>
      <c r="H791" s="103" t="s">
        <v>437</v>
      </c>
      <c r="I791" s="104">
        <v>45077</v>
      </c>
      <c r="J791" s="104">
        <v>45070</v>
      </c>
      <c r="K791" s="105">
        <v>20760</v>
      </c>
    </row>
    <row r="792" spans="1:11" x14ac:dyDescent="0.25">
      <c r="A792" s="115" t="s">
        <v>1960</v>
      </c>
      <c r="B792" s="112" t="s">
        <v>688</v>
      </c>
      <c r="C792" s="101">
        <v>64650</v>
      </c>
      <c r="D792" s="102" t="s">
        <v>2338</v>
      </c>
      <c r="E792" s="103" t="s">
        <v>484</v>
      </c>
      <c r="F792" s="103" t="s">
        <v>412</v>
      </c>
      <c r="G792" s="103"/>
      <c r="H792" s="103" t="s">
        <v>437</v>
      </c>
      <c r="I792" s="104">
        <v>45260</v>
      </c>
      <c r="J792" s="104">
        <v>45247</v>
      </c>
      <c r="K792" s="105">
        <v>82200</v>
      </c>
    </row>
    <row r="793" spans="1:11" x14ac:dyDescent="0.25">
      <c r="A793" s="115" t="s">
        <v>1960</v>
      </c>
      <c r="B793" s="112" t="s">
        <v>688</v>
      </c>
      <c r="C793" s="101">
        <v>63387</v>
      </c>
      <c r="D793" s="102" t="s">
        <v>2339</v>
      </c>
      <c r="E793" s="103" t="s">
        <v>46</v>
      </c>
      <c r="F793" s="103" t="s">
        <v>412</v>
      </c>
      <c r="G793" s="103" t="s">
        <v>427</v>
      </c>
      <c r="H793" s="103" t="s">
        <v>528</v>
      </c>
      <c r="I793" s="104">
        <v>41578</v>
      </c>
      <c r="J793" s="104">
        <v>41578</v>
      </c>
      <c r="K793" s="105">
        <v>25700.52</v>
      </c>
    </row>
    <row r="794" spans="1:11" x14ac:dyDescent="0.25">
      <c r="A794" s="115" t="s">
        <v>1960</v>
      </c>
      <c r="B794" s="112" t="s">
        <v>688</v>
      </c>
      <c r="C794" s="101">
        <v>65628</v>
      </c>
      <c r="D794" s="102" t="s">
        <v>2340</v>
      </c>
      <c r="E794" s="103" t="s">
        <v>399</v>
      </c>
      <c r="F794" s="103" t="s">
        <v>440</v>
      </c>
      <c r="G794" s="103" t="s">
        <v>447</v>
      </c>
      <c r="H794" s="103" t="s">
        <v>423</v>
      </c>
      <c r="I794" s="104">
        <v>45655</v>
      </c>
      <c r="J794" s="104"/>
      <c r="K794" s="105">
        <v>240</v>
      </c>
    </row>
    <row r="795" spans="1:11" x14ac:dyDescent="0.25">
      <c r="A795" s="115" t="s">
        <v>1960</v>
      </c>
      <c r="B795" s="112" t="s">
        <v>688</v>
      </c>
      <c r="C795" s="101">
        <v>52286</v>
      </c>
      <c r="D795" s="102" t="s">
        <v>2341</v>
      </c>
      <c r="E795" s="103"/>
      <c r="F795" s="103" t="s">
        <v>412</v>
      </c>
      <c r="G795" s="103"/>
      <c r="H795" s="103" t="s">
        <v>437</v>
      </c>
      <c r="I795" s="104">
        <v>43318</v>
      </c>
      <c r="J795" s="104">
        <v>43318</v>
      </c>
      <c r="K795" s="105">
        <v>180000.29</v>
      </c>
    </row>
    <row r="796" spans="1:11" x14ac:dyDescent="0.25">
      <c r="A796" s="115" t="s">
        <v>1960</v>
      </c>
      <c r="B796" s="112" t="s">
        <v>688</v>
      </c>
      <c r="C796" s="101">
        <v>64651</v>
      </c>
      <c r="D796" s="102" t="s">
        <v>2342</v>
      </c>
      <c r="E796" s="103" t="s">
        <v>821</v>
      </c>
      <c r="F796" s="103" t="s">
        <v>440</v>
      </c>
      <c r="G796" s="103"/>
      <c r="H796" s="103" t="s">
        <v>437</v>
      </c>
      <c r="I796" s="104">
        <v>45471</v>
      </c>
      <c r="J796" s="104"/>
      <c r="K796" s="105">
        <v>705600</v>
      </c>
    </row>
    <row r="797" spans="1:11" x14ac:dyDescent="0.25">
      <c r="A797" s="115" t="s">
        <v>1960</v>
      </c>
      <c r="B797" s="112" t="s">
        <v>688</v>
      </c>
      <c r="C797" s="101">
        <v>65427</v>
      </c>
      <c r="D797" s="102" t="s">
        <v>2343</v>
      </c>
      <c r="E797" s="103" t="s">
        <v>821</v>
      </c>
      <c r="F797" s="103" t="s">
        <v>397</v>
      </c>
      <c r="G797" s="103"/>
      <c r="H797" s="103" t="s">
        <v>437</v>
      </c>
      <c r="I797" s="104">
        <v>45471</v>
      </c>
      <c r="J797" s="104"/>
      <c r="K797" s="105">
        <v>372960</v>
      </c>
    </row>
    <row r="798" spans="1:11" x14ac:dyDescent="0.25">
      <c r="A798" s="115" t="s">
        <v>1960</v>
      </c>
      <c r="B798" s="112" t="s">
        <v>688</v>
      </c>
      <c r="C798" s="101">
        <v>62562</v>
      </c>
      <c r="D798" s="102" t="s">
        <v>2344</v>
      </c>
      <c r="E798" s="103" t="s">
        <v>579</v>
      </c>
      <c r="F798" s="103" t="s">
        <v>412</v>
      </c>
      <c r="G798" s="103"/>
      <c r="H798" s="103" t="s">
        <v>437</v>
      </c>
      <c r="I798" s="104"/>
      <c r="J798" s="104">
        <v>44739</v>
      </c>
      <c r="K798" s="105">
        <v>13440</v>
      </c>
    </row>
    <row r="799" spans="1:11" x14ac:dyDescent="0.25">
      <c r="A799" s="115" t="s">
        <v>1960</v>
      </c>
      <c r="B799" s="112" t="s">
        <v>688</v>
      </c>
      <c r="C799" s="101">
        <v>62973</v>
      </c>
      <c r="D799" s="102" t="s">
        <v>2345</v>
      </c>
      <c r="E799" s="103" t="s">
        <v>579</v>
      </c>
      <c r="F799" s="103" t="s">
        <v>412</v>
      </c>
      <c r="G799" s="103"/>
      <c r="H799" s="103" t="s">
        <v>437</v>
      </c>
      <c r="I799" s="104"/>
      <c r="J799" s="104">
        <v>44803</v>
      </c>
      <c r="K799" s="105">
        <v>8064</v>
      </c>
    </row>
    <row r="800" spans="1:11" x14ac:dyDescent="0.25">
      <c r="A800" s="115" t="s">
        <v>1960</v>
      </c>
      <c r="B800" s="112" t="s">
        <v>688</v>
      </c>
      <c r="C800" s="101">
        <v>52285</v>
      </c>
      <c r="D800" s="102" t="s">
        <v>2346</v>
      </c>
      <c r="E800" s="103"/>
      <c r="F800" s="103" t="s">
        <v>412</v>
      </c>
      <c r="G800" s="103"/>
      <c r="H800" s="103" t="s">
        <v>437</v>
      </c>
      <c r="I800" s="104">
        <v>43106</v>
      </c>
      <c r="J800" s="104">
        <v>43106</v>
      </c>
      <c r="K800" s="105">
        <v>109599.35</v>
      </c>
    </row>
    <row r="801" spans="1:11" x14ac:dyDescent="0.25">
      <c r="A801" s="115" t="s">
        <v>1960</v>
      </c>
      <c r="B801" s="112" t="s">
        <v>688</v>
      </c>
      <c r="C801" s="101">
        <v>62934</v>
      </c>
      <c r="D801" s="102" t="s">
        <v>2347</v>
      </c>
      <c r="E801" s="103" t="s">
        <v>46</v>
      </c>
      <c r="F801" s="103" t="s">
        <v>397</v>
      </c>
      <c r="G801" s="103" t="s">
        <v>447</v>
      </c>
      <c r="H801" s="103" t="s">
        <v>437</v>
      </c>
      <c r="I801" s="104">
        <v>45199</v>
      </c>
      <c r="J801" s="104"/>
      <c r="K801" s="105">
        <v>34500</v>
      </c>
    </row>
    <row r="802" spans="1:11" x14ac:dyDescent="0.25">
      <c r="A802" s="115" t="s">
        <v>1960</v>
      </c>
      <c r="B802" s="112" t="s">
        <v>688</v>
      </c>
      <c r="C802" s="101">
        <v>60589</v>
      </c>
      <c r="D802" s="102" t="s">
        <v>2348</v>
      </c>
      <c r="E802" s="103" t="s">
        <v>579</v>
      </c>
      <c r="F802" s="103" t="s">
        <v>412</v>
      </c>
      <c r="G802" s="103"/>
      <c r="H802" s="103" t="s">
        <v>437</v>
      </c>
      <c r="I802" s="104">
        <v>44347</v>
      </c>
      <c r="J802" s="104">
        <v>44320</v>
      </c>
      <c r="K802" s="105">
        <v>25000</v>
      </c>
    </row>
    <row r="803" spans="1:11" x14ac:dyDescent="0.25">
      <c r="A803" s="115" t="s">
        <v>1960</v>
      </c>
      <c r="B803" s="112" t="s">
        <v>688</v>
      </c>
      <c r="C803" s="101">
        <v>62979</v>
      </c>
      <c r="D803" s="102" t="s">
        <v>2349</v>
      </c>
      <c r="E803" s="103" t="s">
        <v>67</v>
      </c>
      <c r="F803" s="103" t="s">
        <v>397</v>
      </c>
      <c r="G803" s="103" t="s">
        <v>447</v>
      </c>
      <c r="H803" s="103" t="s">
        <v>437</v>
      </c>
      <c r="I803" s="104">
        <v>45016</v>
      </c>
      <c r="J803" s="104"/>
      <c r="K803" s="105">
        <v>84672.02</v>
      </c>
    </row>
    <row r="804" spans="1:11" x14ac:dyDescent="0.25">
      <c r="A804" s="115" t="s">
        <v>1960</v>
      </c>
      <c r="B804" s="112" t="s">
        <v>688</v>
      </c>
      <c r="C804" s="101">
        <v>59173</v>
      </c>
      <c r="D804" s="102" t="s">
        <v>2350</v>
      </c>
      <c r="E804" s="103" t="s">
        <v>484</v>
      </c>
      <c r="F804" s="103" t="s">
        <v>412</v>
      </c>
      <c r="G804" s="103" t="s">
        <v>427</v>
      </c>
      <c r="H804" s="103" t="s">
        <v>437</v>
      </c>
      <c r="I804" s="104">
        <v>44033</v>
      </c>
      <c r="J804" s="104">
        <v>44033</v>
      </c>
      <c r="K804" s="105">
        <v>5952.01</v>
      </c>
    </row>
    <row r="805" spans="1:11" x14ac:dyDescent="0.25">
      <c r="A805" s="115" t="s">
        <v>1960</v>
      </c>
      <c r="B805" s="112" t="s">
        <v>688</v>
      </c>
      <c r="C805" s="101">
        <v>64312</v>
      </c>
      <c r="D805" s="102" t="s">
        <v>2351</v>
      </c>
      <c r="E805" s="103" t="s">
        <v>46</v>
      </c>
      <c r="F805" s="103" t="s">
        <v>397</v>
      </c>
      <c r="G805" s="103"/>
      <c r="H805" s="103" t="s">
        <v>437</v>
      </c>
      <c r="I805" s="104">
        <v>45380</v>
      </c>
      <c r="J805" s="104"/>
      <c r="K805" s="105">
        <v>123120</v>
      </c>
    </row>
    <row r="806" spans="1:11" x14ac:dyDescent="0.25">
      <c r="A806" s="115" t="s">
        <v>1960</v>
      </c>
      <c r="B806" s="112" t="s">
        <v>688</v>
      </c>
      <c r="C806" s="101">
        <v>63303</v>
      </c>
      <c r="D806" s="102" t="s">
        <v>2352</v>
      </c>
      <c r="E806" s="103" t="s">
        <v>451</v>
      </c>
      <c r="F806" s="103" t="s">
        <v>397</v>
      </c>
      <c r="G806" s="103"/>
      <c r="H806" s="103" t="s">
        <v>437</v>
      </c>
      <c r="I806" s="104">
        <v>45199</v>
      </c>
      <c r="J806" s="104"/>
      <c r="K806" s="105">
        <v>63809</v>
      </c>
    </row>
    <row r="807" spans="1:11" x14ac:dyDescent="0.25">
      <c r="A807" s="115" t="s">
        <v>1960</v>
      </c>
      <c r="B807" s="112" t="s">
        <v>688</v>
      </c>
      <c r="C807" s="101">
        <v>61654</v>
      </c>
      <c r="D807" s="102" t="s">
        <v>2353</v>
      </c>
      <c r="E807" s="103" t="s">
        <v>46</v>
      </c>
      <c r="F807" s="103" t="s">
        <v>412</v>
      </c>
      <c r="G807" s="103"/>
      <c r="H807" s="103" t="s">
        <v>437</v>
      </c>
      <c r="I807" s="104">
        <v>44592</v>
      </c>
      <c r="J807" s="104">
        <v>44580</v>
      </c>
      <c r="K807" s="105">
        <v>222002</v>
      </c>
    </row>
    <row r="808" spans="1:11" x14ac:dyDescent="0.25">
      <c r="A808" s="115" t="s">
        <v>1960</v>
      </c>
      <c r="B808" s="112" t="s">
        <v>688</v>
      </c>
      <c r="C808" s="101">
        <v>60307</v>
      </c>
      <c r="D808" s="102" t="s">
        <v>2354</v>
      </c>
      <c r="E808" s="103" t="s">
        <v>67</v>
      </c>
      <c r="F808" s="103" t="s">
        <v>412</v>
      </c>
      <c r="G808" s="103"/>
      <c r="H808" s="103" t="s">
        <v>437</v>
      </c>
      <c r="I808" s="104">
        <v>44260</v>
      </c>
      <c r="J808" s="104">
        <v>44260</v>
      </c>
      <c r="K808" s="105">
        <v>8540</v>
      </c>
    </row>
    <row r="809" spans="1:11" x14ac:dyDescent="0.25">
      <c r="A809" s="115" t="s">
        <v>1960</v>
      </c>
      <c r="B809" s="112" t="s">
        <v>688</v>
      </c>
      <c r="C809" s="101">
        <v>59185</v>
      </c>
      <c r="D809" s="102" t="s">
        <v>2355</v>
      </c>
      <c r="E809" s="103" t="s">
        <v>484</v>
      </c>
      <c r="F809" s="103" t="s">
        <v>412</v>
      </c>
      <c r="G809" s="103"/>
      <c r="H809" s="103" t="s">
        <v>437</v>
      </c>
      <c r="I809" s="104">
        <v>44163</v>
      </c>
      <c r="J809" s="104">
        <v>44154</v>
      </c>
      <c r="K809" s="105">
        <v>22296</v>
      </c>
    </row>
    <row r="810" spans="1:11" x14ac:dyDescent="0.25">
      <c r="A810" s="115" t="s">
        <v>1960</v>
      </c>
      <c r="B810" s="112" t="s">
        <v>688</v>
      </c>
      <c r="C810" s="101">
        <v>63178</v>
      </c>
      <c r="D810" s="102" t="s">
        <v>2356</v>
      </c>
      <c r="E810" s="103" t="s">
        <v>484</v>
      </c>
      <c r="F810" s="103" t="s">
        <v>412</v>
      </c>
      <c r="G810" s="103"/>
      <c r="H810" s="103" t="s">
        <v>437</v>
      </c>
      <c r="I810" s="104">
        <v>44837</v>
      </c>
      <c r="J810" s="104">
        <v>44837</v>
      </c>
      <c r="K810" s="105">
        <v>20781.599999999999</v>
      </c>
    </row>
    <row r="811" spans="1:11" x14ac:dyDescent="0.25">
      <c r="A811" s="115" t="s">
        <v>1960</v>
      </c>
      <c r="B811" s="112" t="s">
        <v>688</v>
      </c>
      <c r="C811" s="101">
        <v>60353</v>
      </c>
      <c r="D811" s="102" t="s">
        <v>2357</v>
      </c>
      <c r="E811" s="103" t="s">
        <v>67</v>
      </c>
      <c r="F811" s="103" t="s">
        <v>412</v>
      </c>
      <c r="G811" s="103"/>
      <c r="H811" s="103" t="s">
        <v>437</v>
      </c>
      <c r="I811" s="104">
        <v>44377</v>
      </c>
      <c r="J811" s="104">
        <v>44355</v>
      </c>
      <c r="K811" s="105">
        <v>13440</v>
      </c>
    </row>
    <row r="812" spans="1:11" x14ac:dyDescent="0.25">
      <c r="A812" s="115" t="s">
        <v>1960</v>
      </c>
      <c r="B812" s="112" t="s">
        <v>688</v>
      </c>
      <c r="C812" s="101">
        <v>62732</v>
      </c>
      <c r="D812" s="102" t="s">
        <v>2358</v>
      </c>
      <c r="E812" s="103" t="s">
        <v>579</v>
      </c>
      <c r="F812" s="103" t="s">
        <v>412</v>
      </c>
      <c r="G812" s="103"/>
      <c r="H812" s="103" t="s">
        <v>437</v>
      </c>
      <c r="I812" s="104">
        <v>44771</v>
      </c>
      <c r="J812" s="104">
        <v>44756</v>
      </c>
      <c r="K812" s="105">
        <v>26880</v>
      </c>
    </row>
    <row r="813" spans="1:11" x14ac:dyDescent="0.25">
      <c r="A813" s="115" t="s">
        <v>1960</v>
      </c>
      <c r="B813" s="112" t="s">
        <v>688</v>
      </c>
      <c r="C813" s="101">
        <v>60955</v>
      </c>
      <c r="D813" s="102" t="s">
        <v>2359</v>
      </c>
      <c r="E813" s="103" t="s">
        <v>579</v>
      </c>
      <c r="F813" s="103" t="s">
        <v>412</v>
      </c>
      <c r="G813" s="103" t="s">
        <v>422</v>
      </c>
      <c r="H813" s="103" t="s">
        <v>437</v>
      </c>
      <c r="I813" s="104">
        <v>44439</v>
      </c>
      <c r="J813" s="104">
        <v>44428</v>
      </c>
      <c r="K813" s="105">
        <v>71567.990000000005</v>
      </c>
    </row>
    <row r="814" spans="1:11" x14ac:dyDescent="0.25">
      <c r="A814" s="115" t="s">
        <v>1960</v>
      </c>
      <c r="B814" s="112" t="s">
        <v>688</v>
      </c>
      <c r="C814" s="101">
        <v>63406</v>
      </c>
      <c r="D814" s="102" t="s">
        <v>2360</v>
      </c>
      <c r="E814" s="103" t="s">
        <v>46</v>
      </c>
      <c r="F814" s="103" t="s">
        <v>412</v>
      </c>
      <c r="G814" s="103"/>
      <c r="H814" s="103" t="s">
        <v>437</v>
      </c>
      <c r="I814" s="104">
        <v>44957</v>
      </c>
      <c r="J814" s="104">
        <v>44942</v>
      </c>
      <c r="K814" s="105">
        <v>289759.53000000003</v>
      </c>
    </row>
    <row r="815" spans="1:11" x14ac:dyDescent="0.25">
      <c r="A815" s="115" t="s">
        <v>1960</v>
      </c>
      <c r="B815" s="112" t="s">
        <v>688</v>
      </c>
      <c r="C815" s="101">
        <v>62981</v>
      </c>
      <c r="D815" s="102" t="s">
        <v>2361</v>
      </c>
      <c r="E815" s="103" t="s">
        <v>46</v>
      </c>
      <c r="F815" s="103" t="s">
        <v>412</v>
      </c>
      <c r="G815" s="103"/>
      <c r="H815" s="103" t="s">
        <v>437</v>
      </c>
      <c r="I815" s="104">
        <v>44865</v>
      </c>
      <c r="J815" s="104">
        <v>44858</v>
      </c>
      <c r="K815" s="105">
        <v>74113.210000000006</v>
      </c>
    </row>
    <row r="816" spans="1:11" x14ac:dyDescent="0.25">
      <c r="A816" s="115" t="s">
        <v>1960</v>
      </c>
      <c r="B816" s="112" t="s">
        <v>688</v>
      </c>
      <c r="C816" s="101">
        <v>62337</v>
      </c>
      <c r="D816" s="102" t="s">
        <v>2362</v>
      </c>
      <c r="E816" s="103" t="s">
        <v>46</v>
      </c>
      <c r="F816" s="103" t="s">
        <v>412</v>
      </c>
      <c r="G816" s="103"/>
      <c r="H816" s="103" t="s">
        <v>437</v>
      </c>
      <c r="I816" s="104">
        <v>44742</v>
      </c>
      <c r="J816" s="104">
        <v>44736</v>
      </c>
      <c r="K816" s="105">
        <v>74113.210000000006</v>
      </c>
    </row>
    <row r="817" spans="1:12" x14ac:dyDescent="0.25">
      <c r="A817" s="115" t="s">
        <v>1960</v>
      </c>
      <c r="B817" s="112" t="s">
        <v>688</v>
      </c>
      <c r="C817" s="101">
        <v>63311</v>
      </c>
      <c r="D817" s="102" t="s">
        <v>2363</v>
      </c>
      <c r="E817" s="103" t="s">
        <v>46</v>
      </c>
      <c r="F817" s="103" t="s">
        <v>397</v>
      </c>
      <c r="G817" s="103" t="s">
        <v>447</v>
      </c>
      <c r="H817" s="103" t="s">
        <v>437</v>
      </c>
      <c r="I817" s="104">
        <v>45200</v>
      </c>
      <c r="J817" s="104"/>
      <c r="K817" s="105">
        <v>78120.039999999994</v>
      </c>
    </row>
    <row r="818" spans="1:12" x14ac:dyDescent="0.25">
      <c r="A818" s="115" t="s">
        <v>1960</v>
      </c>
      <c r="B818" s="112" t="s">
        <v>688</v>
      </c>
      <c r="C818" s="101">
        <v>61340</v>
      </c>
      <c r="D818" s="102" t="s">
        <v>2364</v>
      </c>
      <c r="E818" s="103" t="s">
        <v>46</v>
      </c>
      <c r="F818" s="103" t="s">
        <v>397</v>
      </c>
      <c r="G818" s="103" t="s">
        <v>447</v>
      </c>
      <c r="H818" s="103" t="s">
        <v>437</v>
      </c>
      <c r="I818" s="104"/>
      <c r="J818" s="104"/>
      <c r="K818" s="105">
        <v>65184</v>
      </c>
    </row>
    <row r="819" spans="1:12" x14ac:dyDescent="0.25">
      <c r="A819" s="115" t="s">
        <v>1960</v>
      </c>
      <c r="B819" s="112" t="s">
        <v>688</v>
      </c>
      <c r="C819" s="101">
        <v>61658</v>
      </c>
      <c r="D819" s="102" t="s">
        <v>2365</v>
      </c>
      <c r="E819" s="103" t="s">
        <v>46</v>
      </c>
      <c r="F819" s="103" t="s">
        <v>412</v>
      </c>
      <c r="G819" s="103"/>
      <c r="H819" s="103" t="s">
        <v>437</v>
      </c>
      <c r="I819" s="104">
        <v>44681</v>
      </c>
      <c r="J819" s="104">
        <v>44680</v>
      </c>
      <c r="K819" s="105">
        <v>168003.43</v>
      </c>
    </row>
    <row r="820" spans="1:12" x14ac:dyDescent="0.25">
      <c r="A820" s="115" t="s">
        <v>1960</v>
      </c>
      <c r="B820" s="112" t="s">
        <v>688</v>
      </c>
      <c r="C820" s="101">
        <v>64640</v>
      </c>
      <c r="D820" s="102" t="s">
        <v>2366</v>
      </c>
      <c r="E820" s="103" t="s">
        <v>821</v>
      </c>
      <c r="F820" s="103" t="s">
        <v>397</v>
      </c>
      <c r="G820" s="103"/>
      <c r="H820" s="103" t="s">
        <v>437</v>
      </c>
      <c r="I820" s="104">
        <v>45380</v>
      </c>
      <c r="J820" s="104"/>
      <c r="K820" s="105">
        <v>127008</v>
      </c>
    </row>
    <row r="821" spans="1:12" x14ac:dyDescent="0.25">
      <c r="A821" s="115" t="s">
        <v>1960</v>
      </c>
      <c r="B821" s="112" t="s">
        <v>688</v>
      </c>
      <c r="C821" s="101">
        <v>64744</v>
      </c>
      <c r="D821" s="102" t="s">
        <v>2367</v>
      </c>
      <c r="E821" s="103" t="s">
        <v>821</v>
      </c>
      <c r="F821" s="103" t="s">
        <v>397</v>
      </c>
      <c r="G821" s="103"/>
      <c r="H821" s="103" t="s">
        <v>437</v>
      </c>
      <c r="I821" s="104">
        <v>45380</v>
      </c>
      <c r="J821" s="104"/>
      <c r="K821" s="105">
        <v>127008</v>
      </c>
    </row>
    <row r="822" spans="1:12" x14ac:dyDescent="0.25">
      <c r="A822" s="115" t="s">
        <v>1960</v>
      </c>
      <c r="B822" s="112" t="s">
        <v>688</v>
      </c>
      <c r="C822" s="101">
        <v>61652</v>
      </c>
      <c r="D822" s="102" t="s">
        <v>2368</v>
      </c>
      <c r="E822" s="103" t="s">
        <v>46</v>
      </c>
      <c r="F822" s="103" t="s">
        <v>397</v>
      </c>
      <c r="G822" s="103" t="s">
        <v>422</v>
      </c>
      <c r="H822" s="103" t="s">
        <v>437</v>
      </c>
      <c r="I822" s="104">
        <v>44865</v>
      </c>
      <c r="J822" s="104"/>
      <c r="K822" s="105">
        <v>60001.22</v>
      </c>
    </row>
    <row r="823" spans="1:12" x14ac:dyDescent="0.25">
      <c r="A823" s="115" t="s">
        <v>1960</v>
      </c>
      <c r="B823" s="112" t="s">
        <v>688</v>
      </c>
      <c r="C823" s="101">
        <v>59094</v>
      </c>
      <c r="D823" s="102" t="s">
        <v>2369</v>
      </c>
      <c r="E823" s="103" t="s">
        <v>67</v>
      </c>
      <c r="F823" s="103" t="s">
        <v>412</v>
      </c>
      <c r="G823" s="103"/>
      <c r="H823" s="103" t="s">
        <v>437</v>
      </c>
      <c r="I823" s="104">
        <v>44006</v>
      </c>
      <c r="J823" s="104">
        <v>44006</v>
      </c>
      <c r="K823" s="105">
        <v>179999.91</v>
      </c>
    </row>
    <row r="824" spans="1:12" x14ac:dyDescent="0.25">
      <c r="A824" s="115" t="s">
        <v>1960</v>
      </c>
      <c r="B824" s="112" t="s">
        <v>688</v>
      </c>
      <c r="C824" s="101">
        <v>60925</v>
      </c>
      <c r="D824" s="102" t="s">
        <v>2370</v>
      </c>
      <c r="E824" s="103" t="s">
        <v>67</v>
      </c>
      <c r="F824" s="103" t="s">
        <v>397</v>
      </c>
      <c r="G824" s="103" t="s">
        <v>422</v>
      </c>
      <c r="H824" s="103" t="s">
        <v>437</v>
      </c>
      <c r="I824" s="104">
        <v>44865</v>
      </c>
      <c r="J824" s="104"/>
      <c r="K824" s="105">
        <v>32800</v>
      </c>
    </row>
    <row r="825" spans="1:12" x14ac:dyDescent="0.25">
      <c r="A825" s="115" t="s">
        <v>1960</v>
      </c>
      <c r="B825" s="112" t="s">
        <v>688</v>
      </c>
      <c r="C825" s="101">
        <v>61589</v>
      </c>
      <c r="D825" s="102" t="s">
        <v>2371</v>
      </c>
      <c r="E825" s="103" t="s">
        <v>579</v>
      </c>
      <c r="F825" s="103" t="s">
        <v>412</v>
      </c>
      <c r="G825" s="103"/>
      <c r="H825" s="103" t="s">
        <v>437</v>
      </c>
      <c r="I825" s="104">
        <v>44592</v>
      </c>
      <c r="J825" s="104">
        <v>44578</v>
      </c>
      <c r="K825" s="105">
        <v>13440</v>
      </c>
    </row>
    <row r="826" spans="1:12" x14ac:dyDescent="0.25">
      <c r="A826" s="115" t="s">
        <v>1960</v>
      </c>
      <c r="B826" s="112" t="s">
        <v>688</v>
      </c>
      <c r="C826" s="101">
        <v>62330</v>
      </c>
      <c r="D826" s="102" t="s">
        <v>2372</v>
      </c>
      <c r="E826" s="103" t="s">
        <v>579</v>
      </c>
      <c r="F826" s="103" t="s">
        <v>412</v>
      </c>
      <c r="G826" s="103"/>
      <c r="H826" s="103" t="s">
        <v>437</v>
      </c>
      <c r="I826" s="104">
        <v>44742</v>
      </c>
      <c r="J826" s="104">
        <v>44690</v>
      </c>
      <c r="K826" s="105">
        <v>26880</v>
      </c>
    </row>
    <row r="827" spans="1:12" x14ac:dyDescent="0.25">
      <c r="A827" s="115" t="s">
        <v>1960</v>
      </c>
      <c r="B827" s="112" t="s">
        <v>688</v>
      </c>
      <c r="C827" s="101">
        <v>64905</v>
      </c>
      <c r="D827" s="102" t="s">
        <v>2373</v>
      </c>
      <c r="E827" s="103" t="s">
        <v>579</v>
      </c>
      <c r="F827" s="103" t="s">
        <v>412</v>
      </c>
      <c r="G827" s="103"/>
      <c r="H827" s="103" t="s">
        <v>437</v>
      </c>
      <c r="I827" s="104">
        <v>45260</v>
      </c>
      <c r="J827" s="104">
        <v>45240</v>
      </c>
      <c r="K827" s="105">
        <v>30240</v>
      </c>
    </row>
    <row r="828" spans="1:12" x14ac:dyDescent="0.25">
      <c r="A828" s="115" t="s">
        <v>1960</v>
      </c>
      <c r="B828" s="112" t="s">
        <v>688</v>
      </c>
      <c r="C828" s="101">
        <v>60594</v>
      </c>
      <c r="D828" s="102" t="s">
        <v>2374</v>
      </c>
      <c r="E828" s="103" t="s">
        <v>46</v>
      </c>
      <c r="F828" s="103" t="s">
        <v>412</v>
      </c>
      <c r="G828" s="103"/>
      <c r="H828" s="103" t="s">
        <v>437</v>
      </c>
      <c r="I828" s="104"/>
      <c r="J828" s="104">
        <v>44319</v>
      </c>
      <c r="K828" s="105">
        <v>189000.07</v>
      </c>
    </row>
    <row r="829" spans="1:12" x14ac:dyDescent="0.25">
      <c r="A829" s="115" t="s">
        <v>1960</v>
      </c>
      <c r="B829" s="112" t="s">
        <v>688</v>
      </c>
      <c r="C829" s="101">
        <v>61190</v>
      </c>
      <c r="D829" s="102" t="s">
        <v>2375</v>
      </c>
      <c r="E829" s="103" t="s">
        <v>579</v>
      </c>
      <c r="F829" s="103" t="s">
        <v>412</v>
      </c>
      <c r="G829" s="103" t="s">
        <v>447</v>
      </c>
      <c r="H829" s="103" t="s">
        <v>437</v>
      </c>
      <c r="I829" s="104">
        <v>43693</v>
      </c>
      <c r="J829" s="104">
        <v>43693</v>
      </c>
      <c r="K829" s="105">
        <v>36800.160000000003</v>
      </c>
    </row>
    <row r="830" spans="1:12" x14ac:dyDescent="0.25">
      <c r="A830" s="115" t="s">
        <v>1960</v>
      </c>
      <c r="B830" s="112" t="s">
        <v>688</v>
      </c>
      <c r="C830" s="101">
        <v>57423</v>
      </c>
      <c r="D830" s="102" t="s">
        <v>2376</v>
      </c>
      <c r="E830" s="103" t="s">
        <v>579</v>
      </c>
      <c r="F830" s="103" t="s">
        <v>412</v>
      </c>
      <c r="G830" s="103" t="s">
        <v>417</v>
      </c>
      <c r="H830" s="103" t="s">
        <v>414</v>
      </c>
      <c r="I830" s="104">
        <v>43693</v>
      </c>
      <c r="J830" s="104">
        <v>43693</v>
      </c>
      <c r="K830" s="105">
        <v>36800.11</v>
      </c>
    </row>
    <row r="831" spans="1:12" x14ac:dyDescent="0.25">
      <c r="A831" s="115" t="s">
        <v>1960</v>
      </c>
      <c r="B831" s="112" t="s">
        <v>688</v>
      </c>
      <c r="C831" s="101">
        <v>52705</v>
      </c>
      <c r="D831" s="102" t="s">
        <v>2377</v>
      </c>
      <c r="E831" s="103"/>
      <c r="F831" s="103" t="s">
        <v>397</v>
      </c>
      <c r="G831" s="103" t="s">
        <v>425</v>
      </c>
      <c r="H831" s="103" t="s">
        <v>437</v>
      </c>
      <c r="I831" s="104"/>
      <c r="J831" s="104"/>
      <c r="K831" s="105">
        <v>0</v>
      </c>
    </row>
    <row r="832" spans="1:12" x14ac:dyDescent="0.25">
      <c r="A832" s="115" t="s">
        <v>1960</v>
      </c>
      <c r="B832" s="112" t="s">
        <v>688</v>
      </c>
      <c r="C832" s="101">
        <v>52287</v>
      </c>
      <c r="D832" s="102" t="s">
        <v>2378</v>
      </c>
      <c r="E832" s="103"/>
      <c r="F832" s="103" t="s">
        <v>412</v>
      </c>
      <c r="G832" s="103"/>
      <c r="H832" s="103" t="s">
        <v>437</v>
      </c>
      <c r="I832" s="104">
        <v>43109</v>
      </c>
      <c r="J832" s="104">
        <v>43109</v>
      </c>
      <c r="K832" s="105">
        <v>238560.09</v>
      </c>
      <c r="L832" s="164"/>
    </row>
    <row r="833" spans="1:11" x14ac:dyDescent="0.25">
      <c r="A833" s="115" t="s">
        <v>1960</v>
      </c>
      <c r="B833" s="112" t="s">
        <v>688</v>
      </c>
      <c r="C833" s="101">
        <v>57368</v>
      </c>
      <c r="D833" s="102" t="s">
        <v>2379</v>
      </c>
      <c r="E833" s="103"/>
      <c r="F833" s="103" t="s">
        <v>412</v>
      </c>
      <c r="G833" s="103"/>
      <c r="H833" s="103" t="s">
        <v>437</v>
      </c>
      <c r="I833" s="104">
        <v>43684</v>
      </c>
      <c r="J833" s="104">
        <v>43684</v>
      </c>
      <c r="K833" s="105">
        <v>180000.29</v>
      </c>
    </row>
    <row r="834" spans="1:11" x14ac:dyDescent="0.25">
      <c r="A834" s="115" t="s">
        <v>1960</v>
      </c>
      <c r="B834" s="112" t="s">
        <v>688</v>
      </c>
      <c r="C834" s="101">
        <v>57457</v>
      </c>
      <c r="D834" s="102" t="s">
        <v>2380</v>
      </c>
      <c r="E834" s="103"/>
      <c r="F834" s="103" t="s">
        <v>397</v>
      </c>
      <c r="G834" s="103" t="s">
        <v>427</v>
      </c>
      <c r="H834" s="103" t="s">
        <v>437</v>
      </c>
      <c r="I834" s="104"/>
      <c r="J834" s="104"/>
      <c r="K834" s="105">
        <v>0</v>
      </c>
    </row>
    <row r="835" spans="1:11" x14ac:dyDescent="0.25">
      <c r="A835" s="115" t="s">
        <v>1983</v>
      </c>
      <c r="B835" s="112" t="s">
        <v>688</v>
      </c>
      <c r="C835" s="101">
        <v>60291</v>
      </c>
      <c r="D835" s="102" t="s">
        <v>2381</v>
      </c>
      <c r="E835" s="103" t="s">
        <v>46</v>
      </c>
      <c r="F835" s="103" t="s">
        <v>397</v>
      </c>
      <c r="G835" s="103"/>
      <c r="H835" s="103" t="s">
        <v>433</v>
      </c>
      <c r="I835" s="104">
        <v>44530</v>
      </c>
      <c r="J835" s="104"/>
      <c r="K835" s="105">
        <v>0</v>
      </c>
    </row>
    <row r="836" spans="1:11" x14ac:dyDescent="0.25">
      <c r="A836" s="115" t="s">
        <v>1983</v>
      </c>
      <c r="B836" s="112" t="s">
        <v>688</v>
      </c>
      <c r="C836" s="101">
        <v>61581</v>
      </c>
      <c r="D836" s="102" t="s">
        <v>2382</v>
      </c>
      <c r="E836" s="103" t="s">
        <v>46</v>
      </c>
      <c r="F836" s="103" t="s">
        <v>401</v>
      </c>
      <c r="G836" s="103" t="s">
        <v>417</v>
      </c>
      <c r="H836" s="103" t="s">
        <v>414</v>
      </c>
      <c r="I836" s="104">
        <v>46005</v>
      </c>
      <c r="J836" s="104"/>
      <c r="K836" s="105">
        <v>1500000</v>
      </c>
    </row>
    <row r="837" spans="1:11" x14ac:dyDescent="0.25">
      <c r="A837" s="115" t="s">
        <v>1983</v>
      </c>
      <c r="B837" s="112" t="s">
        <v>688</v>
      </c>
      <c r="C837" s="101">
        <v>59632</v>
      </c>
      <c r="D837" s="102" t="s">
        <v>2383</v>
      </c>
      <c r="E837" s="103" t="s">
        <v>46</v>
      </c>
      <c r="F837" s="103" t="s">
        <v>412</v>
      </c>
      <c r="G837" s="103" t="s">
        <v>413</v>
      </c>
      <c r="H837" s="103" t="s">
        <v>414</v>
      </c>
      <c r="I837" s="104"/>
      <c r="J837" s="104">
        <v>44196</v>
      </c>
      <c r="K837" s="105">
        <v>548000.39</v>
      </c>
    </row>
    <row r="838" spans="1:11" x14ac:dyDescent="0.25">
      <c r="A838" s="115" t="s">
        <v>1983</v>
      </c>
      <c r="B838" s="112" t="s">
        <v>688</v>
      </c>
      <c r="C838" s="101">
        <v>58827</v>
      </c>
      <c r="D838" s="102" t="s">
        <v>2384</v>
      </c>
      <c r="E838" s="103" t="s">
        <v>46</v>
      </c>
      <c r="F838" s="103" t="s">
        <v>412</v>
      </c>
      <c r="G838" s="103" t="s">
        <v>413</v>
      </c>
      <c r="H838" s="103" t="s">
        <v>414</v>
      </c>
      <c r="I838" s="104">
        <v>44022</v>
      </c>
      <c r="J838" s="104">
        <v>44018</v>
      </c>
      <c r="K838" s="105">
        <v>274637.03999999998</v>
      </c>
    </row>
    <row r="839" spans="1:11" x14ac:dyDescent="0.25">
      <c r="A839" s="115" t="s">
        <v>1983</v>
      </c>
      <c r="B839" s="112" t="s">
        <v>688</v>
      </c>
      <c r="C839" s="101">
        <v>58996</v>
      </c>
      <c r="D839" s="102" t="s">
        <v>2385</v>
      </c>
      <c r="E839" s="103" t="s">
        <v>46</v>
      </c>
      <c r="F839" s="103" t="s">
        <v>397</v>
      </c>
      <c r="G839" s="103" t="s">
        <v>417</v>
      </c>
      <c r="H839" s="103" t="s">
        <v>414</v>
      </c>
      <c r="I839" s="104">
        <v>43593</v>
      </c>
      <c r="J839" s="104">
        <v>43228</v>
      </c>
      <c r="K839" s="105">
        <v>35847.480000000003</v>
      </c>
    </row>
    <row r="840" spans="1:11" x14ac:dyDescent="0.25">
      <c r="A840" s="115" t="s">
        <v>1983</v>
      </c>
      <c r="B840" s="112" t="s">
        <v>688</v>
      </c>
      <c r="C840" s="101">
        <v>57949</v>
      </c>
      <c r="D840" s="102" t="s">
        <v>2386</v>
      </c>
      <c r="E840" s="103" t="s">
        <v>46</v>
      </c>
      <c r="F840" s="103" t="s">
        <v>412</v>
      </c>
      <c r="G840" s="103" t="s">
        <v>413</v>
      </c>
      <c r="H840" s="103" t="s">
        <v>414</v>
      </c>
      <c r="I840" s="104">
        <v>43790</v>
      </c>
      <c r="J840" s="104">
        <v>43790</v>
      </c>
      <c r="K840" s="105">
        <v>60123.28</v>
      </c>
    </row>
    <row r="841" spans="1:11" x14ac:dyDescent="0.25">
      <c r="A841" s="115" t="s">
        <v>1983</v>
      </c>
      <c r="B841" s="112" t="s">
        <v>688</v>
      </c>
      <c r="C841" s="101">
        <v>59255</v>
      </c>
      <c r="D841" s="102" t="s">
        <v>2387</v>
      </c>
      <c r="E841" s="103" t="s">
        <v>46</v>
      </c>
      <c r="F841" s="103" t="s">
        <v>412</v>
      </c>
      <c r="G841" s="103" t="s">
        <v>447</v>
      </c>
      <c r="H841" s="103" t="s">
        <v>423</v>
      </c>
      <c r="I841" s="104">
        <v>44195</v>
      </c>
      <c r="J841" s="104">
        <v>44179</v>
      </c>
      <c r="K841" s="105">
        <v>7739339.1299999999</v>
      </c>
    </row>
    <row r="842" spans="1:11" x14ac:dyDescent="0.25">
      <c r="A842" s="115" t="s">
        <v>1983</v>
      </c>
      <c r="B842" s="112" t="s">
        <v>688</v>
      </c>
      <c r="C842" s="101">
        <v>52703</v>
      </c>
      <c r="D842" s="102" t="s">
        <v>2388</v>
      </c>
      <c r="E842" s="103" t="s">
        <v>46</v>
      </c>
      <c r="F842" s="103" t="s">
        <v>412</v>
      </c>
      <c r="G842" s="103" t="s">
        <v>447</v>
      </c>
      <c r="H842" s="103" t="s">
        <v>423</v>
      </c>
      <c r="I842" s="104">
        <v>43228</v>
      </c>
      <c r="J842" s="104">
        <v>43228</v>
      </c>
      <c r="K842" s="105">
        <v>31488</v>
      </c>
    </row>
    <row r="843" spans="1:11" x14ac:dyDescent="0.25">
      <c r="A843" s="115" t="s">
        <v>1983</v>
      </c>
      <c r="B843" s="112" t="s">
        <v>688</v>
      </c>
      <c r="C843" s="101">
        <v>61819</v>
      </c>
      <c r="D843" s="102" t="s">
        <v>2389</v>
      </c>
      <c r="E843" s="103" t="s">
        <v>68</v>
      </c>
      <c r="F843" s="103" t="s">
        <v>397</v>
      </c>
      <c r="G843" s="103" t="s">
        <v>447</v>
      </c>
      <c r="H843" s="103" t="s">
        <v>437</v>
      </c>
      <c r="I843" s="104">
        <v>44742</v>
      </c>
      <c r="J843" s="104"/>
      <c r="K843" s="105">
        <v>240</v>
      </c>
    </row>
    <row r="844" spans="1:11" x14ac:dyDescent="0.25">
      <c r="A844" s="115" t="s">
        <v>1983</v>
      </c>
      <c r="B844" s="112" t="s">
        <v>688</v>
      </c>
      <c r="C844" s="101">
        <v>61823</v>
      </c>
      <c r="D844" s="102" t="s">
        <v>2390</v>
      </c>
      <c r="E844" s="103" t="s">
        <v>46</v>
      </c>
      <c r="F844" s="103" t="s">
        <v>412</v>
      </c>
      <c r="G844" s="103"/>
      <c r="H844" s="103" t="s">
        <v>437</v>
      </c>
      <c r="I844" s="104">
        <v>44592</v>
      </c>
      <c r="J844" s="104">
        <v>44575</v>
      </c>
      <c r="K844" s="105">
        <v>322560.09999999998</v>
      </c>
    </row>
    <row r="845" spans="1:11" x14ac:dyDescent="0.25">
      <c r="A845" s="115" t="s">
        <v>1983</v>
      </c>
      <c r="B845" s="112" t="s">
        <v>688</v>
      </c>
      <c r="C845" s="101">
        <v>61880</v>
      </c>
      <c r="D845" s="102" t="s">
        <v>2390</v>
      </c>
      <c r="E845" s="103" t="s">
        <v>46</v>
      </c>
      <c r="F845" s="103" t="s">
        <v>412</v>
      </c>
      <c r="G845" s="103"/>
      <c r="H845" s="103" t="s">
        <v>437</v>
      </c>
      <c r="I845" s="104">
        <v>44592</v>
      </c>
      <c r="J845" s="104">
        <v>44575</v>
      </c>
      <c r="K845" s="105">
        <v>282240.14</v>
      </c>
    </row>
    <row r="846" spans="1:11" x14ac:dyDescent="0.25">
      <c r="A846" s="115" t="s">
        <v>1983</v>
      </c>
      <c r="B846" s="112" t="s">
        <v>688</v>
      </c>
      <c r="C846" s="101">
        <v>61829</v>
      </c>
      <c r="D846" s="102" t="s">
        <v>2391</v>
      </c>
      <c r="E846" s="103" t="s">
        <v>46</v>
      </c>
      <c r="F846" s="103" t="s">
        <v>397</v>
      </c>
      <c r="G846" s="103"/>
      <c r="H846" s="103" t="s">
        <v>437</v>
      </c>
      <c r="I846" s="104">
        <v>44592</v>
      </c>
      <c r="J846" s="104">
        <v>44575</v>
      </c>
      <c r="K846" s="105">
        <v>282240.12</v>
      </c>
    </row>
    <row r="847" spans="1:11" x14ac:dyDescent="0.25">
      <c r="A847" s="115" t="s">
        <v>1983</v>
      </c>
      <c r="B847" s="112" t="s">
        <v>688</v>
      </c>
      <c r="C847" s="101">
        <v>62211</v>
      </c>
      <c r="D847" s="102" t="s">
        <v>2392</v>
      </c>
      <c r="E847" s="103" t="s">
        <v>46</v>
      </c>
      <c r="F847" s="103" t="s">
        <v>412</v>
      </c>
      <c r="G847" s="103"/>
      <c r="H847" s="103" t="s">
        <v>437</v>
      </c>
      <c r="I847" s="104">
        <v>44804</v>
      </c>
      <c r="J847" s="104">
        <v>44803</v>
      </c>
      <c r="K847" s="105">
        <v>0</v>
      </c>
    </row>
    <row r="848" spans="1:11" x14ac:dyDescent="0.25">
      <c r="A848" s="115" t="s">
        <v>1983</v>
      </c>
      <c r="B848" s="112" t="s">
        <v>688</v>
      </c>
      <c r="C848" s="101">
        <v>52284</v>
      </c>
      <c r="D848" s="102" t="s">
        <v>2393</v>
      </c>
      <c r="E848" s="103" t="s">
        <v>46</v>
      </c>
      <c r="F848" s="103" t="s">
        <v>412</v>
      </c>
      <c r="G848" s="103" t="s">
        <v>427</v>
      </c>
      <c r="H848" s="103" t="s">
        <v>423</v>
      </c>
      <c r="I848" s="104">
        <v>43404</v>
      </c>
      <c r="J848" s="104">
        <v>43404</v>
      </c>
      <c r="K848" s="105">
        <v>1100312.71</v>
      </c>
    </row>
    <row r="849" spans="1:11" x14ac:dyDescent="0.25">
      <c r="A849" s="115" t="s">
        <v>1983</v>
      </c>
      <c r="B849" s="112" t="s">
        <v>688</v>
      </c>
      <c r="C849" s="101">
        <v>60664</v>
      </c>
      <c r="D849" s="102" t="s">
        <v>2394</v>
      </c>
      <c r="E849" s="103" t="s">
        <v>2395</v>
      </c>
      <c r="F849" s="103" t="s">
        <v>397</v>
      </c>
      <c r="G849" s="103"/>
      <c r="H849" s="103" t="s">
        <v>437</v>
      </c>
      <c r="I849" s="104"/>
      <c r="J849" s="104"/>
      <c r="K849" s="105">
        <v>240</v>
      </c>
    </row>
    <row r="850" spans="1:11" x14ac:dyDescent="0.25">
      <c r="A850" s="115" t="s">
        <v>1983</v>
      </c>
      <c r="B850" s="112" t="s">
        <v>688</v>
      </c>
      <c r="C850" s="101">
        <v>63457</v>
      </c>
      <c r="D850" s="102" t="s">
        <v>2396</v>
      </c>
      <c r="E850" s="103" t="s">
        <v>46</v>
      </c>
      <c r="F850" s="103" t="s">
        <v>412</v>
      </c>
      <c r="G850" s="103"/>
      <c r="H850" s="103" t="s">
        <v>437</v>
      </c>
      <c r="I850" s="104">
        <v>45016</v>
      </c>
      <c r="J850" s="104">
        <v>45001</v>
      </c>
      <c r="K850" s="105">
        <v>258720.11</v>
      </c>
    </row>
    <row r="851" spans="1:11" x14ac:dyDescent="0.25">
      <c r="A851" s="115" t="s">
        <v>1983</v>
      </c>
      <c r="B851" s="112" t="s">
        <v>688</v>
      </c>
      <c r="C851" s="101">
        <v>62499</v>
      </c>
      <c r="D851" s="102" t="s">
        <v>2397</v>
      </c>
      <c r="E851" s="103" t="s">
        <v>46</v>
      </c>
      <c r="F851" s="103" t="s">
        <v>412</v>
      </c>
      <c r="G851" s="103"/>
      <c r="H851" s="103" t="s">
        <v>437</v>
      </c>
      <c r="I851" s="104">
        <v>44862</v>
      </c>
      <c r="J851" s="104">
        <v>44830</v>
      </c>
      <c r="K851" s="105">
        <v>17990.240000000002</v>
      </c>
    </row>
    <row r="852" spans="1:11" x14ac:dyDescent="0.25">
      <c r="A852" s="115" t="s">
        <v>1983</v>
      </c>
      <c r="B852" s="112" t="s">
        <v>688</v>
      </c>
      <c r="C852" s="101">
        <v>60998</v>
      </c>
      <c r="D852" s="102" t="s">
        <v>2398</v>
      </c>
      <c r="E852" s="103" t="s">
        <v>46</v>
      </c>
      <c r="F852" s="103" t="s">
        <v>397</v>
      </c>
      <c r="G852" s="103" t="s">
        <v>422</v>
      </c>
      <c r="H852" s="103" t="s">
        <v>437</v>
      </c>
      <c r="I852" s="104">
        <v>45016</v>
      </c>
      <c r="J852" s="104"/>
      <c r="K852" s="105">
        <v>1008000</v>
      </c>
    </row>
    <row r="853" spans="1:11" x14ac:dyDescent="0.25">
      <c r="A853" s="115" t="s">
        <v>1983</v>
      </c>
      <c r="B853" s="112" t="s">
        <v>688</v>
      </c>
      <c r="C853" s="101">
        <v>57793</v>
      </c>
      <c r="D853" s="102" t="s">
        <v>2399</v>
      </c>
      <c r="E853" s="103" t="s">
        <v>46</v>
      </c>
      <c r="F853" s="103" t="s">
        <v>412</v>
      </c>
      <c r="G853" s="103" t="s">
        <v>425</v>
      </c>
      <c r="H853" s="103" t="s">
        <v>423</v>
      </c>
      <c r="I853" s="104">
        <v>43802</v>
      </c>
      <c r="J853" s="104">
        <v>43796</v>
      </c>
      <c r="K853" s="105">
        <v>946573.3</v>
      </c>
    </row>
    <row r="854" spans="1:11" x14ac:dyDescent="0.25">
      <c r="A854" s="115" t="s">
        <v>1983</v>
      </c>
      <c r="B854" s="112" t="s">
        <v>688</v>
      </c>
      <c r="C854" s="101">
        <v>57235</v>
      </c>
      <c r="D854" s="102" t="s">
        <v>2400</v>
      </c>
      <c r="E854" s="103" t="s">
        <v>46</v>
      </c>
      <c r="F854" s="103" t="s">
        <v>397</v>
      </c>
      <c r="G854" s="103" t="s">
        <v>425</v>
      </c>
      <c r="H854" s="103" t="s">
        <v>423</v>
      </c>
      <c r="I854" s="104"/>
      <c r="J854" s="104">
        <v>43657</v>
      </c>
      <c r="K854" s="105">
        <v>0</v>
      </c>
    </row>
    <row r="855" spans="1:11" x14ac:dyDescent="0.25">
      <c r="A855" s="115" t="s">
        <v>1983</v>
      </c>
      <c r="B855" s="112" t="s">
        <v>688</v>
      </c>
      <c r="C855" s="101">
        <v>57714</v>
      </c>
      <c r="D855" s="102" t="s">
        <v>2401</v>
      </c>
      <c r="E855" s="103" t="s">
        <v>46</v>
      </c>
      <c r="F855" s="103" t="s">
        <v>397</v>
      </c>
      <c r="G855" s="103" t="s">
        <v>427</v>
      </c>
      <c r="H855" s="103" t="s">
        <v>423</v>
      </c>
      <c r="I855" s="104">
        <v>43799</v>
      </c>
      <c r="J855" s="104"/>
      <c r="K855" s="105">
        <v>170964.15</v>
      </c>
    </row>
    <row r="856" spans="1:11" x14ac:dyDescent="0.25">
      <c r="A856" s="115" t="s">
        <v>1983</v>
      </c>
      <c r="B856" s="112" t="s">
        <v>688</v>
      </c>
      <c r="C856" s="101">
        <v>56741</v>
      </c>
      <c r="D856" s="102" t="s">
        <v>2402</v>
      </c>
      <c r="E856" s="103" t="s">
        <v>46</v>
      </c>
      <c r="F856" s="103" t="s">
        <v>412</v>
      </c>
      <c r="G856" s="103" t="s">
        <v>425</v>
      </c>
      <c r="H856" s="103" t="s">
        <v>423</v>
      </c>
      <c r="I856" s="104">
        <v>43644</v>
      </c>
      <c r="J856" s="104">
        <v>43644</v>
      </c>
      <c r="K856" s="105">
        <v>303645.49</v>
      </c>
    </row>
    <row r="857" spans="1:11" x14ac:dyDescent="0.25">
      <c r="A857" s="115" t="s">
        <v>1983</v>
      </c>
      <c r="B857" s="112" t="s">
        <v>688</v>
      </c>
      <c r="C857" s="101">
        <v>61820</v>
      </c>
      <c r="D857" s="102" t="s">
        <v>2403</v>
      </c>
      <c r="E857" s="103" t="s">
        <v>510</v>
      </c>
      <c r="F857" s="103" t="s">
        <v>397</v>
      </c>
      <c r="G857" s="103" t="s">
        <v>447</v>
      </c>
      <c r="H857" s="103" t="s">
        <v>437</v>
      </c>
      <c r="I857" s="104">
        <v>45289</v>
      </c>
      <c r="J857" s="104"/>
      <c r="K857" s="105">
        <v>330962.76</v>
      </c>
    </row>
    <row r="858" spans="1:11" x14ac:dyDescent="0.25">
      <c r="A858" s="115" t="s">
        <v>1983</v>
      </c>
      <c r="B858" s="112" t="s">
        <v>688</v>
      </c>
      <c r="C858" s="101">
        <v>61594</v>
      </c>
      <c r="D858" s="102" t="s">
        <v>2404</v>
      </c>
      <c r="E858" s="103" t="s">
        <v>46</v>
      </c>
      <c r="F858" s="103" t="s">
        <v>412</v>
      </c>
      <c r="G858" s="103"/>
      <c r="H858" s="103" t="s">
        <v>437</v>
      </c>
      <c r="I858" s="104"/>
      <c r="J858" s="104">
        <v>44510</v>
      </c>
      <c r="K858" s="105">
        <v>447020.73</v>
      </c>
    </row>
    <row r="859" spans="1:11" x14ac:dyDescent="0.25">
      <c r="A859" s="115" t="s">
        <v>1983</v>
      </c>
      <c r="B859" s="112" t="s">
        <v>688</v>
      </c>
      <c r="C859" s="101">
        <v>63781</v>
      </c>
      <c r="D859" s="102" t="s">
        <v>2405</v>
      </c>
      <c r="E859" s="103" t="s">
        <v>67</v>
      </c>
      <c r="F859" s="103" t="s">
        <v>397</v>
      </c>
      <c r="G859" s="103" t="s">
        <v>447</v>
      </c>
      <c r="H859" s="103" t="s">
        <v>437</v>
      </c>
      <c r="I859" s="104">
        <v>45107</v>
      </c>
      <c r="J859" s="104"/>
      <c r="K859" s="105">
        <v>0</v>
      </c>
    </row>
    <row r="860" spans="1:11" x14ac:dyDescent="0.25">
      <c r="A860" s="115" t="s">
        <v>1983</v>
      </c>
      <c r="B860" s="112" t="s">
        <v>688</v>
      </c>
      <c r="C860" s="101">
        <v>62687</v>
      </c>
      <c r="D860" s="102" t="s">
        <v>2406</v>
      </c>
      <c r="E860" s="103" t="s">
        <v>46</v>
      </c>
      <c r="F860" s="103" t="s">
        <v>397</v>
      </c>
      <c r="G860" s="103" t="s">
        <v>422</v>
      </c>
      <c r="H860" s="103" t="s">
        <v>423</v>
      </c>
      <c r="I860" s="104">
        <v>44985</v>
      </c>
      <c r="J860" s="104"/>
      <c r="K860" s="105">
        <v>558000.42000000004</v>
      </c>
    </row>
    <row r="861" spans="1:11" x14ac:dyDescent="0.25">
      <c r="A861" s="115" t="s">
        <v>1983</v>
      </c>
      <c r="B861" s="112" t="s">
        <v>688</v>
      </c>
      <c r="C861" s="101">
        <v>63218</v>
      </c>
      <c r="D861" s="102" t="s">
        <v>2407</v>
      </c>
      <c r="E861" s="103" t="s">
        <v>46</v>
      </c>
      <c r="F861" s="103" t="s">
        <v>412</v>
      </c>
      <c r="G861" s="103"/>
      <c r="H861" s="103" t="s">
        <v>437</v>
      </c>
      <c r="I861" s="104">
        <v>44895</v>
      </c>
      <c r="J861" s="104">
        <v>44895</v>
      </c>
      <c r="K861" s="105">
        <v>325241.24</v>
      </c>
    </row>
    <row r="862" spans="1:11" x14ac:dyDescent="0.25">
      <c r="A862" s="115" t="s">
        <v>1983</v>
      </c>
      <c r="B862" s="112" t="s">
        <v>688</v>
      </c>
      <c r="C862" s="101">
        <v>63455</v>
      </c>
      <c r="D862" s="102" t="s">
        <v>2408</v>
      </c>
      <c r="E862" s="103" t="s">
        <v>46</v>
      </c>
      <c r="F862" s="103" t="s">
        <v>397</v>
      </c>
      <c r="G862" s="103"/>
      <c r="H862" s="103" t="s">
        <v>437</v>
      </c>
      <c r="I862" s="104">
        <v>44985</v>
      </c>
      <c r="J862" s="104"/>
      <c r="K862" s="105">
        <v>399360.02</v>
      </c>
    </row>
    <row r="863" spans="1:11" x14ac:dyDescent="0.25">
      <c r="A863" s="115" t="s">
        <v>1983</v>
      </c>
      <c r="B863" s="112" t="s">
        <v>688</v>
      </c>
      <c r="C863" s="101">
        <v>62988</v>
      </c>
      <c r="D863" s="102" t="s">
        <v>2409</v>
      </c>
      <c r="E863" s="103" t="s">
        <v>46</v>
      </c>
      <c r="F863" s="103" t="s">
        <v>412</v>
      </c>
      <c r="G863" s="103"/>
      <c r="H863" s="103" t="s">
        <v>437</v>
      </c>
      <c r="I863" s="104">
        <v>44865</v>
      </c>
      <c r="J863" s="104">
        <v>44865</v>
      </c>
      <c r="K863" s="105">
        <v>65147.63</v>
      </c>
    </row>
    <row r="864" spans="1:11" x14ac:dyDescent="0.25">
      <c r="A864" s="115" t="s">
        <v>1983</v>
      </c>
      <c r="B864" s="112" t="s">
        <v>688</v>
      </c>
      <c r="C864" s="101">
        <v>63319</v>
      </c>
      <c r="D864" s="102" t="s">
        <v>2410</v>
      </c>
      <c r="E864" s="103" t="s">
        <v>46</v>
      </c>
      <c r="F864" s="103" t="s">
        <v>397</v>
      </c>
      <c r="G864" s="103"/>
      <c r="H864" s="103" t="s">
        <v>437</v>
      </c>
      <c r="I864" s="104">
        <v>45016</v>
      </c>
      <c r="J864" s="104"/>
      <c r="K864" s="105">
        <v>63712.02</v>
      </c>
    </row>
    <row r="865" spans="1:11" x14ac:dyDescent="0.25">
      <c r="A865" s="115" t="s">
        <v>1983</v>
      </c>
      <c r="B865" s="112" t="s">
        <v>688</v>
      </c>
      <c r="C865" s="101">
        <v>65570</v>
      </c>
      <c r="D865" s="102" t="s">
        <v>2411</v>
      </c>
      <c r="E865" s="103" t="s">
        <v>46</v>
      </c>
      <c r="F865" s="103" t="s">
        <v>412</v>
      </c>
      <c r="G865" s="103"/>
      <c r="H865" s="103" t="s">
        <v>437</v>
      </c>
      <c r="I865" s="104">
        <v>45380</v>
      </c>
      <c r="J865" s="104">
        <v>45366</v>
      </c>
      <c r="K865" s="105">
        <v>235200</v>
      </c>
    </row>
    <row r="866" spans="1:11" x14ac:dyDescent="0.25">
      <c r="A866" s="115" t="s">
        <v>1983</v>
      </c>
      <c r="B866" s="112" t="s">
        <v>688</v>
      </c>
      <c r="C866" s="101">
        <v>63454</v>
      </c>
      <c r="D866" s="102" t="s">
        <v>2412</v>
      </c>
      <c r="E866" s="103" t="s">
        <v>46</v>
      </c>
      <c r="F866" s="103" t="s">
        <v>412</v>
      </c>
      <c r="G866" s="103"/>
      <c r="H866" s="103" t="s">
        <v>437</v>
      </c>
      <c r="I866" s="104">
        <v>44985</v>
      </c>
      <c r="J866" s="104">
        <v>44964</v>
      </c>
      <c r="K866" s="105">
        <v>335462.42</v>
      </c>
    </row>
    <row r="867" spans="1:11" x14ac:dyDescent="0.25">
      <c r="A867" s="115" t="s">
        <v>1983</v>
      </c>
      <c r="B867" s="112" t="s">
        <v>688</v>
      </c>
      <c r="C867" s="101">
        <v>63456</v>
      </c>
      <c r="D867" s="102" t="s">
        <v>2413</v>
      </c>
      <c r="E867" s="103" t="s">
        <v>46</v>
      </c>
      <c r="F867" s="103" t="s">
        <v>412</v>
      </c>
      <c r="G867" s="103"/>
      <c r="H867" s="103" t="s">
        <v>437</v>
      </c>
      <c r="I867" s="104">
        <v>45016</v>
      </c>
      <c r="J867" s="104">
        <v>45000</v>
      </c>
      <c r="K867" s="105">
        <v>258720.11</v>
      </c>
    </row>
    <row r="868" spans="1:11" x14ac:dyDescent="0.25">
      <c r="A868" s="115" t="s">
        <v>1983</v>
      </c>
      <c r="B868" s="112" t="s">
        <v>688</v>
      </c>
      <c r="C868" s="101">
        <v>63182</v>
      </c>
      <c r="D868" s="102" t="s">
        <v>2414</v>
      </c>
      <c r="E868" s="103" t="s">
        <v>46</v>
      </c>
      <c r="F868" s="103" t="s">
        <v>412</v>
      </c>
      <c r="G868" s="103"/>
      <c r="H868" s="103" t="s">
        <v>437</v>
      </c>
      <c r="I868" s="104">
        <v>44895</v>
      </c>
      <c r="J868" s="104">
        <v>44882</v>
      </c>
      <c r="K868" s="105">
        <v>85540.04</v>
      </c>
    </row>
    <row r="869" spans="1:11" x14ac:dyDescent="0.25">
      <c r="A869" s="115" t="s">
        <v>1983</v>
      </c>
      <c r="B869" s="112" t="s">
        <v>688</v>
      </c>
      <c r="C869" s="101">
        <v>65569</v>
      </c>
      <c r="D869" s="102" t="s">
        <v>2415</v>
      </c>
      <c r="E869" s="103" t="s">
        <v>46</v>
      </c>
      <c r="F869" s="103" t="s">
        <v>412</v>
      </c>
      <c r="G869" s="103"/>
      <c r="H869" s="103" t="s">
        <v>437</v>
      </c>
      <c r="I869" s="104">
        <v>45380</v>
      </c>
      <c r="J869" s="104">
        <v>45366</v>
      </c>
      <c r="K869" s="105">
        <v>258720</v>
      </c>
    </row>
    <row r="870" spans="1:11" x14ac:dyDescent="0.25">
      <c r="A870" s="115" t="s">
        <v>1983</v>
      </c>
      <c r="B870" s="112" t="s">
        <v>688</v>
      </c>
      <c r="C870" s="101">
        <v>65272</v>
      </c>
      <c r="D870" s="102" t="s">
        <v>2416</v>
      </c>
      <c r="E870" s="103" t="s">
        <v>46</v>
      </c>
      <c r="F870" s="103" t="s">
        <v>412</v>
      </c>
      <c r="G870" s="103"/>
      <c r="H870" s="103" t="s">
        <v>437</v>
      </c>
      <c r="I870" s="104">
        <v>45322</v>
      </c>
      <c r="J870" s="104">
        <v>45279</v>
      </c>
      <c r="K870" s="105">
        <v>46000</v>
      </c>
    </row>
    <row r="871" spans="1:11" x14ac:dyDescent="0.25">
      <c r="A871" s="115" t="s">
        <v>1983</v>
      </c>
      <c r="B871" s="112" t="s">
        <v>688</v>
      </c>
      <c r="C871" s="101">
        <v>65246</v>
      </c>
      <c r="D871" s="102" t="s">
        <v>2417</v>
      </c>
      <c r="E871" s="103" t="s">
        <v>46</v>
      </c>
      <c r="F871" s="103" t="s">
        <v>412</v>
      </c>
      <c r="G871" s="103"/>
      <c r="H871" s="103" t="s">
        <v>437</v>
      </c>
      <c r="I871" s="104">
        <v>45321</v>
      </c>
      <c r="J871" s="104">
        <v>45279</v>
      </c>
      <c r="K871" s="105">
        <v>46000</v>
      </c>
    </row>
    <row r="872" spans="1:11" x14ac:dyDescent="0.25">
      <c r="A872" s="115" t="s">
        <v>1983</v>
      </c>
      <c r="B872" s="112" t="s">
        <v>688</v>
      </c>
      <c r="C872" s="101">
        <v>59441</v>
      </c>
      <c r="D872" s="102" t="s">
        <v>2418</v>
      </c>
      <c r="E872" s="103" t="s">
        <v>484</v>
      </c>
      <c r="F872" s="103" t="s">
        <v>412</v>
      </c>
      <c r="G872" s="103"/>
      <c r="H872" s="103" t="s">
        <v>437</v>
      </c>
      <c r="I872" s="104">
        <v>44165</v>
      </c>
      <c r="J872" s="104">
        <v>44124</v>
      </c>
      <c r="K872" s="105">
        <v>42001.34</v>
      </c>
    </row>
    <row r="873" spans="1:11" x14ac:dyDescent="0.25">
      <c r="A873" s="115" t="s">
        <v>1983</v>
      </c>
      <c r="B873" s="112" t="s">
        <v>688</v>
      </c>
      <c r="C873" s="101">
        <v>59391</v>
      </c>
      <c r="D873" s="102" t="s">
        <v>2419</v>
      </c>
      <c r="E873" s="103" t="s">
        <v>484</v>
      </c>
      <c r="F873" s="103" t="s">
        <v>412</v>
      </c>
      <c r="G873" s="103" t="s">
        <v>427</v>
      </c>
      <c r="H873" s="103" t="s">
        <v>437</v>
      </c>
      <c r="I873" s="104">
        <v>44104</v>
      </c>
      <c r="J873" s="104">
        <v>44104</v>
      </c>
      <c r="K873" s="105">
        <v>203862.79</v>
      </c>
    </row>
    <row r="874" spans="1:11" x14ac:dyDescent="0.25">
      <c r="A874" s="115" t="s">
        <v>1983</v>
      </c>
      <c r="B874" s="112" t="s">
        <v>688</v>
      </c>
      <c r="C874" s="101">
        <v>59873</v>
      </c>
      <c r="D874" s="102" t="s">
        <v>2420</v>
      </c>
      <c r="E874" s="103" t="s">
        <v>484</v>
      </c>
      <c r="F874" s="103" t="s">
        <v>412</v>
      </c>
      <c r="G874" s="103" t="s">
        <v>427</v>
      </c>
      <c r="H874" s="103" t="s">
        <v>437</v>
      </c>
      <c r="I874" s="104">
        <v>44175</v>
      </c>
      <c r="J874" s="104">
        <v>44167</v>
      </c>
      <c r="K874" s="105">
        <v>21004.79</v>
      </c>
    </row>
    <row r="875" spans="1:11" x14ac:dyDescent="0.25">
      <c r="A875" s="115" t="s">
        <v>1983</v>
      </c>
      <c r="B875" s="112" t="s">
        <v>688</v>
      </c>
      <c r="C875" s="101">
        <v>60030</v>
      </c>
      <c r="D875" s="102" t="s">
        <v>2421</v>
      </c>
      <c r="E875" s="103" t="s">
        <v>46</v>
      </c>
      <c r="F875" s="103" t="s">
        <v>412</v>
      </c>
      <c r="G875" s="103"/>
      <c r="H875" s="103" t="s">
        <v>437</v>
      </c>
      <c r="I875" s="104">
        <v>44224</v>
      </c>
      <c r="J875" s="104">
        <v>44200</v>
      </c>
      <c r="K875" s="105">
        <v>280953.78999999998</v>
      </c>
    </row>
    <row r="876" spans="1:11" x14ac:dyDescent="0.25">
      <c r="A876" s="115" t="s">
        <v>1983</v>
      </c>
      <c r="B876" s="112" t="s">
        <v>688</v>
      </c>
      <c r="C876" s="101">
        <v>61603</v>
      </c>
      <c r="D876" s="102" t="s">
        <v>2422</v>
      </c>
      <c r="E876" s="103" t="s">
        <v>46</v>
      </c>
      <c r="F876" s="103" t="s">
        <v>397</v>
      </c>
      <c r="G876" s="103" t="s">
        <v>422</v>
      </c>
      <c r="H876" s="103" t="s">
        <v>437</v>
      </c>
      <c r="I876" s="104">
        <v>44651</v>
      </c>
      <c r="J876" s="104"/>
      <c r="K876" s="105">
        <v>324480.03999999998</v>
      </c>
    </row>
    <row r="877" spans="1:11" x14ac:dyDescent="0.25">
      <c r="A877" s="115" t="s">
        <v>1983</v>
      </c>
      <c r="B877" s="112" t="s">
        <v>688</v>
      </c>
      <c r="C877" s="101">
        <v>60031</v>
      </c>
      <c r="D877" s="102" t="s">
        <v>2423</v>
      </c>
      <c r="E877" s="103" t="s">
        <v>46</v>
      </c>
      <c r="F877" s="103" t="s">
        <v>412</v>
      </c>
      <c r="G877" s="103"/>
      <c r="H877" s="103" t="s">
        <v>437</v>
      </c>
      <c r="I877" s="104">
        <v>44224</v>
      </c>
      <c r="J877" s="104">
        <v>44227</v>
      </c>
      <c r="K877" s="105">
        <v>260889.52</v>
      </c>
    </row>
    <row r="878" spans="1:11" x14ac:dyDescent="0.25">
      <c r="A878" s="115" t="s">
        <v>1983</v>
      </c>
      <c r="B878" s="112" t="s">
        <v>688</v>
      </c>
      <c r="C878" s="101">
        <v>60784</v>
      </c>
      <c r="D878" s="102" t="s">
        <v>2424</v>
      </c>
      <c r="E878" s="103" t="s">
        <v>46</v>
      </c>
      <c r="F878" s="103" t="s">
        <v>397</v>
      </c>
      <c r="G878" s="103" t="s">
        <v>422</v>
      </c>
      <c r="H878" s="103" t="s">
        <v>437</v>
      </c>
      <c r="I878" s="104"/>
      <c r="J878" s="104"/>
      <c r="K878" s="105">
        <v>211680</v>
      </c>
    </row>
    <row r="879" spans="1:11" x14ac:dyDescent="0.25">
      <c r="A879" s="115" t="s">
        <v>1983</v>
      </c>
      <c r="B879" s="112" t="s">
        <v>688</v>
      </c>
      <c r="C879" s="101">
        <v>62291</v>
      </c>
      <c r="D879" s="102" t="s">
        <v>2425</v>
      </c>
      <c r="E879" s="103" t="s">
        <v>46</v>
      </c>
      <c r="F879" s="103" t="s">
        <v>397</v>
      </c>
      <c r="G879" s="103" t="s">
        <v>422</v>
      </c>
      <c r="H879" s="103" t="s">
        <v>459</v>
      </c>
      <c r="I879" s="104">
        <v>44804</v>
      </c>
      <c r="J879" s="104"/>
      <c r="K879" s="105">
        <v>471744</v>
      </c>
    </row>
    <row r="880" spans="1:11" x14ac:dyDescent="0.25">
      <c r="A880" s="115" t="s">
        <v>1983</v>
      </c>
      <c r="B880" s="112" t="s">
        <v>688</v>
      </c>
      <c r="C880" s="101">
        <v>62293</v>
      </c>
      <c r="D880" s="102" t="s">
        <v>2426</v>
      </c>
      <c r="E880" s="103" t="s">
        <v>46</v>
      </c>
      <c r="F880" s="103" t="s">
        <v>397</v>
      </c>
      <c r="G880" s="103" t="s">
        <v>422</v>
      </c>
      <c r="H880" s="103" t="s">
        <v>459</v>
      </c>
      <c r="I880" s="104">
        <v>44804</v>
      </c>
      <c r="J880" s="104"/>
      <c r="K880" s="105">
        <v>475069.14</v>
      </c>
    </row>
    <row r="881" spans="1:11" x14ac:dyDescent="0.25">
      <c r="A881" s="115" t="s">
        <v>1983</v>
      </c>
      <c r="B881" s="112" t="s">
        <v>688</v>
      </c>
      <c r="C881" s="101">
        <v>62292</v>
      </c>
      <c r="D881" s="102" t="s">
        <v>2427</v>
      </c>
      <c r="E881" s="103" t="s">
        <v>46</v>
      </c>
      <c r="F881" s="103" t="s">
        <v>397</v>
      </c>
      <c r="G881" s="103" t="s">
        <v>422</v>
      </c>
      <c r="H881" s="103" t="s">
        <v>459</v>
      </c>
      <c r="I881" s="104">
        <v>44804</v>
      </c>
      <c r="J881" s="104"/>
      <c r="K881" s="105">
        <v>943488</v>
      </c>
    </row>
    <row r="882" spans="1:11" x14ac:dyDescent="0.25">
      <c r="A882" s="115" t="s">
        <v>1983</v>
      </c>
      <c r="B882" s="112" t="s">
        <v>688</v>
      </c>
      <c r="C882" s="101">
        <v>58709</v>
      </c>
      <c r="D882" s="102" t="s">
        <v>2428</v>
      </c>
      <c r="E882" s="103"/>
      <c r="F882" s="103" t="s">
        <v>397</v>
      </c>
      <c r="G882" s="103" t="s">
        <v>427</v>
      </c>
      <c r="H882" s="103" t="s">
        <v>437</v>
      </c>
      <c r="I882" s="104"/>
      <c r="J882" s="104"/>
      <c r="K882" s="105">
        <v>0</v>
      </c>
    </row>
    <row r="883" spans="1:11" x14ac:dyDescent="0.25">
      <c r="A883" s="115" t="s">
        <v>1983</v>
      </c>
      <c r="B883" s="112" t="s">
        <v>688</v>
      </c>
      <c r="C883" s="101">
        <v>59103</v>
      </c>
      <c r="D883" s="102" t="s">
        <v>2429</v>
      </c>
      <c r="E883" s="103" t="s">
        <v>67</v>
      </c>
      <c r="F883" s="103" t="s">
        <v>412</v>
      </c>
      <c r="G883" s="103"/>
      <c r="H883" s="103" t="s">
        <v>437</v>
      </c>
      <c r="I883" s="104">
        <v>44043</v>
      </c>
      <c r="J883" s="104">
        <v>44013</v>
      </c>
      <c r="K883" s="105">
        <v>304800</v>
      </c>
    </row>
    <row r="884" spans="1:11" x14ac:dyDescent="0.25">
      <c r="A884" s="115" t="s">
        <v>1983</v>
      </c>
      <c r="B884" s="112" t="s">
        <v>688</v>
      </c>
      <c r="C884" s="101">
        <v>58169</v>
      </c>
      <c r="D884" s="102" t="s">
        <v>2430</v>
      </c>
      <c r="E884" s="103"/>
      <c r="F884" s="103" t="s">
        <v>397</v>
      </c>
      <c r="G884" s="103" t="s">
        <v>427</v>
      </c>
      <c r="H884" s="103" t="s">
        <v>437</v>
      </c>
      <c r="I884" s="104">
        <v>43921</v>
      </c>
      <c r="J884" s="104"/>
      <c r="K884" s="105">
        <v>384000.36</v>
      </c>
    </row>
    <row r="885" spans="1:11" x14ac:dyDescent="0.25">
      <c r="A885" s="115" t="s">
        <v>1983</v>
      </c>
      <c r="B885" s="112" t="s">
        <v>688</v>
      </c>
      <c r="C885" s="101">
        <v>57819</v>
      </c>
      <c r="D885" s="102" t="s">
        <v>2431</v>
      </c>
      <c r="E885" s="103"/>
      <c r="F885" s="103" t="s">
        <v>412</v>
      </c>
      <c r="G885" s="103"/>
      <c r="H885" s="103" t="s">
        <v>437</v>
      </c>
      <c r="I885" s="104">
        <v>43799</v>
      </c>
      <c r="J885" s="104">
        <v>43774</v>
      </c>
      <c r="K885" s="105">
        <v>140000.13</v>
      </c>
    </row>
    <row r="886" spans="1:11" x14ac:dyDescent="0.25">
      <c r="A886" s="115" t="s">
        <v>1983</v>
      </c>
      <c r="B886" s="112" t="s">
        <v>688</v>
      </c>
      <c r="C886" s="101">
        <v>58390</v>
      </c>
      <c r="D886" s="102" t="s">
        <v>2432</v>
      </c>
      <c r="E886" s="103"/>
      <c r="F886" s="103" t="s">
        <v>412</v>
      </c>
      <c r="G886" s="103"/>
      <c r="H886" s="103" t="s">
        <v>437</v>
      </c>
      <c r="I886" s="104">
        <v>43951</v>
      </c>
      <c r="J886" s="104">
        <v>43930</v>
      </c>
      <c r="K886" s="105">
        <v>282240.11</v>
      </c>
    </row>
    <row r="887" spans="1:11" x14ac:dyDescent="0.25">
      <c r="A887" s="115" t="s">
        <v>1983</v>
      </c>
      <c r="B887" s="112" t="s">
        <v>688</v>
      </c>
      <c r="C887" s="101">
        <v>59509</v>
      </c>
      <c r="D887" s="102" t="s">
        <v>2433</v>
      </c>
      <c r="E887" s="103" t="s">
        <v>46</v>
      </c>
      <c r="F887" s="103" t="s">
        <v>412</v>
      </c>
      <c r="G887" s="103"/>
      <c r="H887" s="103" t="s">
        <v>437</v>
      </c>
      <c r="I887" s="104"/>
      <c r="J887" s="104">
        <v>44112</v>
      </c>
      <c r="K887" s="105">
        <v>55117.45</v>
      </c>
    </row>
    <row r="888" spans="1:11" x14ac:dyDescent="0.25">
      <c r="A888" s="115" t="s">
        <v>1983</v>
      </c>
      <c r="B888" s="112" t="s">
        <v>688</v>
      </c>
      <c r="C888" s="101">
        <v>59908</v>
      </c>
      <c r="D888" s="102" t="s">
        <v>2434</v>
      </c>
      <c r="E888" s="103" t="s">
        <v>46</v>
      </c>
      <c r="F888" s="103" t="s">
        <v>412</v>
      </c>
      <c r="G888" s="103"/>
      <c r="H888" s="103" t="s">
        <v>437</v>
      </c>
      <c r="I888" s="104">
        <v>44144</v>
      </c>
      <c r="J888" s="104">
        <v>44089</v>
      </c>
      <c r="K888" s="105">
        <v>63627.7</v>
      </c>
    </row>
    <row r="889" spans="1:11" x14ac:dyDescent="0.25">
      <c r="A889" s="115" t="s">
        <v>1983</v>
      </c>
      <c r="B889" s="112" t="s">
        <v>688</v>
      </c>
      <c r="C889" s="101">
        <v>59988</v>
      </c>
      <c r="D889" s="102" t="s">
        <v>2435</v>
      </c>
      <c r="E889" s="103" t="s">
        <v>46</v>
      </c>
      <c r="F889" s="103" t="s">
        <v>412</v>
      </c>
      <c r="G889" s="103"/>
      <c r="H889" s="103" t="s">
        <v>437</v>
      </c>
      <c r="I889" s="104">
        <v>44167</v>
      </c>
      <c r="J889" s="104">
        <v>44089</v>
      </c>
      <c r="K889" s="105">
        <v>81510.28</v>
      </c>
    </row>
    <row r="890" spans="1:11" x14ac:dyDescent="0.25">
      <c r="A890" s="115" t="s">
        <v>1983</v>
      </c>
      <c r="B890" s="112" t="s">
        <v>688</v>
      </c>
      <c r="C890" s="101">
        <v>58579</v>
      </c>
      <c r="D890" s="102" t="s">
        <v>2436</v>
      </c>
      <c r="E890" s="103" t="s">
        <v>46</v>
      </c>
      <c r="F890" s="103" t="s">
        <v>412</v>
      </c>
      <c r="G890" s="103"/>
      <c r="H890" s="103" t="s">
        <v>437</v>
      </c>
      <c r="I890" s="104">
        <v>43929</v>
      </c>
      <c r="J890" s="104">
        <v>43929</v>
      </c>
      <c r="K890" s="105">
        <v>77300.02</v>
      </c>
    </row>
    <row r="891" spans="1:11" x14ac:dyDescent="0.25">
      <c r="A891" s="115" t="s">
        <v>1983</v>
      </c>
      <c r="B891" s="112" t="s">
        <v>688</v>
      </c>
      <c r="C891" s="101">
        <v>59044</v>
      </c>
      <c r="D891" s="102" t="s">
        <v>2437</v>
      </c>
      <c r="E891" s="103" t="s">
        <v>46</v>
      </c>
      <c r="F891" s="103" t="s">
        <v>412</v>
      </c>
      <c r="G891" s="103"/>
      <c r="H891" s="103" t="s">
        <v>437</v>
      </c>
      <c r="I891" s="104">
        <v>43990</v>
      </c>
      <c r="J891" s="104">
        <v>43990</v>
      </c>
      <c r="K891" s="105">
        <v>55700.01</v>
      </c>
    </row>
    <row r="892" spans="1:11" x14ac:dyDescent="0.25">
      <c r="A892" s="115" t="s">
        <v>1983</v>
      </c>
      <c r="B892" s="112" t="s">
        <v>688</v>
      </c>
      <c r="C892" s="101">
        <v>59158</v>
      </c>
      <c r="D892" s="102" t="s">
        <v>2438</v>
      </c>
      <c r="E892" s="103" t="s">
        <v>46</v>
      </c>
      <c r="F892" s="103" t="s">
        <v>412</v>
      </c>
      <c r="G892" s="103"/>
      <c r="H892" s="103" t="s">
        <v>437</v>
      </c>
      <c r="I892" s="104">
        <v>44026</v>
      </c>
      <c r="J892" s="104">
        <v>44026</v>
      </c>
      <c r="K892" s="105">
        <v>63520.01</v>
      </c>
    </row>
    <row r="893" spans="1:11" x14ac:dyDescent="0.25">
      <c r="A893" s="115" t="s">
        <v>1983</v>
      </c>
      <c r="B893" s="112" t="s">
        <v>688</v>
      </c>
      <c r="C893" s="101">
        <v>59261</v>
      </c>
      <c r="D893" s="102" t="s">
        <v>2439</v>
      </c>
      <c r="E893" s="103" t="s">
        <v>46</v>
      </c>
      <c r="F893" s="103" t="s">
        <v>412</v>
      </c>
      <c r="G893" s="103"/>
      <c r="H893" s="103" t="s">
        <v>437</v>
      </c>
      <c r="I893" s="104">
        <v>44053</v>
      </c>
      <c r="J893" s="104">
        <v>44053</v>
      </c>
      <c r="K893" s="105">
        <v>65680.009999999995</v>
      </c>
    </row>
    <row r="894" spans="1:11" x14ac:dyDescent="0.25">
      <c r="A894" s="115" t="s">
        <v>1983</v>
      </c>
      <c r="B894" s="112" t="s">
        <v>688</v>
      </c>
      <c r="C894" s="101">
        <v>60204</v>
      </c>
      <c r="D894" s="102" t="s">
        <v>2440</v>
      </c>
      <c r="E894" s="103" t="s">
        <v>46</v>
      </c>
      <c r="F894" s="103" t="s">
        <v>412</v>
      </c>
      <c r="G894" s="103"/>
      <c r="H894" s="103" t="s">
        <v>437</v>
      </c>
      <c r="I894" s="104">
        <v>44242</v>
      </c>
      <c r="J894" s="104">
        <v>44235</v>
      </c>
      <c r="K894" s="105">
        <v>41254.36</v>
      </c>
    </row>
    <row r="895" spans="1:11" x14ac:dyDescent="0.25">
      <c r="A895" s="115" t="s">
        <v>1983</v>
      </c>
      <c r="B895" s="112" t="s">
        <v>688</v>
      </c>
      <c r="C895" s="101">
        <v>60309</v>
      </c>
      <c r="D895" s="102" t="s">
        <v>2441</v>
      </c>
      <c r="E895" s="103" t="s">
        <v>46</v>
      </c>
      <c r="F895" s="103" t="s">
        <v>412</v>
      </c>
      <c r="G895" s="103"/>
      <c r="H895" s="103" t="s">
        <v>437</v>
      </c>
      <c r="I895" s="104">
        <v>44260</v>
      </c>
      <c r="J895" s="104">
        <v>44235</v>
      </c>
      <c r="K895" s="105">
        <v>45153.61</v>
      </c>
    </row>
    <row r="896" spans="1:11" x14ac:dyDescent="0.25">
      <c r="A896" s="115" t="s">
        <v>1983</v>
      </c>
      <c r="B896" s="112" t="s">
        <v>688</v>
      </c>
      <c r="C896" s="101">
        <v>58513</v>
      </c>
      <c r="D896" s="102" t="s">
        <v>2442</v>
      </c>
      <c r="E896" s="103" t="s">
        <v>46</v>
      </c>
      <c r="F896" s="103" t="s">
        <v>412</v>
      </c>
      <c r="G896" s="103"/>
      <c r="H896" s="103" t="s">
        <v>437</v>
      </c>
      <c r="I896" s="104">
        <v>43921</v>
      </c>
      <c r="J896" s="104">
        <v>43910</v>
      </c>
      <c r="K896" s="105">
        <v>61520.02</v>
      </c>
    </row>
    <row r="897" spans="1:11" x14ac:dyDescent="0.25">
      <c r="A897" s="115" t="s">
        <v>1983</v>
      </c>
      <c r="B897" s="112" t="s">
        <v>688</v>
      </c>
      <c r="C897" s="101">
        <v>59411</v>
      </c>
      <c r="D897" s="102" t="s">
        <v>2443</v>
      </c>
      <c r="E897" s="103" t="s">
        <v>46</v>
      </c>
      <c r="F897" s="103" t="s">
        <v>412</v>
      </c>
      <c r="G897" s="103"/>
      <c r="H897" s="103" t="s">
        <v>437</v>
      </c>
      <c r="I897" s="104">
        <v>44089</v>
      </c>
      <c r="J897" s="104">
        <v>44089</v>
      </c>
      <c r="K897" s="105">
        <v>58947.7</v>
      </c>
    </row>
    <row r="898" spans="1:11" x14ac:dyDescent="0.25">
      <c r="A898" s="115" t="s">
        <v>1983</v>
      </c>
      <c r="B898" s="112" t="s">
        <v>688</v>
      </c>
      <c r="C898" s="101">
        <v>58680</v>
      </c>
      <c r="D898" s="102" t="s">
        <v>2444</v>
      </c>
      <c r="E898" s="103" t="s">
        <v>46</v>
      </c>
      <c r="F898" s="103" t="s">
        <v>412</v>
      </c>
      <c r="G898" s="103"/>
      <c r="H898" s="103" t="s">
        <v>437</v>
      </c>
      <c r="I898" s="104">
        <v>43957</v>
      </c>
      <c r="J898" s="104">
        <v>43957</v>
      </c>
      <c r="K898" s="105">
        <v>63130.01</v>
      </c>
    </row>
    <row r="899" spans="1:11" x14ac:dyDescent="0.25">
      <c r="A899" s="115" t="s">
        <v>1983</v>
      </c>
      <c r="B899" s="112" t="s">
        <v>688</v>
      </c>
      <c r="C899" s="101">
        <v>58354</v>
      </c>
      <c r="D899" s="102" t="s">
        <v>2445</v>
      </c>
      <c r="E899" s="103"/>
      <c r="F899" s="103" t="s">
        <v>412</v>
      </c>
      <c r="G899" s="103"/>
      <c r="H899" s="103" t="s">
        <v>437</v>
      </c>
      <c r="I899" s="104">
        <v>43875</v>
      </c>
      <c r="J899" s="104">
        <v>43465</v>
      </c>
      <c r="K899" s="105">
        <v>15050.01</v>
      </c>
    </row>
    <row r="900" spans="1:11" x14ac:dyDescent="0.25">
      <c r="A900" s="115" t="s">
        <v>1983</v>
      </c>
      <c r="B900" s="112" t="s">
        <v>688</v>
      </c>
      <c r="C900" s="101">
        <v>56822</v>
      </c>
      <c r="D900" s="102" t="s">
        <v>2446</v>
      </c>
      <c r="E900" s="103"/>
      <c r="F900" s="103" t="s">
        <v>412</v>
      </c>
      <c r="G900" s="103"/>
      <c r="H900" s="103" t="s">
        <v>437</v>
      </c>
      <c r="I900" s="104">
        <v>43465</v>
      </c>
      <c r="J900" s="104">
        <v>43465</v>
      </c>
      <c r="K900" s="105">
        <v>268800.11</v>
      </c>
    </row>
    <row r="901" spans="1:11" x14ac:dyDescent="0.25">
      <c r="A901" s="115" t="s">
        <v>1983</v>
      </c>
      <c r="B901" s="112" t="s">
        <v>688</v>
      </c>
      <c r="C901" s="101">
        <v>58483</v>
      </c>
      <c r="D901" s="102" t="s">
        <v>2447</v>
      </c>
      <c r="E901" s="103"/>
      <c r="F901" s="103" t="s">
        <v>412</v>
      </c>
      <c r="G901" s="103"/>
      <c r="H901" s="103" t="s">
        <v>437</v>
      </c>
      <c r="I901" s="104">
        <v>43903</v>
      </c>
      <c r="J901" s="104">
        <v>43903</v>
      </c>
      <c r="K901" s="105">
        <v>19530.009999999998</v>
      </c>
    </row>
    <row r="902" spans="1:11" x14ac:dyDescent="0.25">
      <c r="A902" s="115" t="s">
        <v>1983</v>
      </c>
      <c r="B902" s="112" t="s">
        <v>688</v>
      </c>
      <c r="C902" s="101">
        <v>57584</v>
      </c>
      <c r="D902" s="102" t="s">
        <v>2448</v>
      </c>
      <c r="E902" s="103" t="s">
        <v>46</v>
      </c>
      <c r="F902" s="103" t="s">
        <v>412</v>
      </c>
      <c r="G902" s="103" t="s">
        <v>427</v>
      </c>
      <c r="H902" s="103" t="s">
        <v>437</v>
      </c>
      <c r="I902" s="104">
        <v>43738</v>
      </c>
      <c r="J902" s="104">
        <v>43724</v>
      </c>
      <c r="K902" s="105">
        <v>268800.11</v>
      </c>
    </row>
    <row r="903" spans="1:11" x14ac:dyDescent="0.25">
      <c r="A903" s="115" t="s">
        <v>1983</v>
      </c>
      <c r="B903" s="112" t="s">
        <v>688</v>
      </c>
      <c r="C903" s="101">
        <v>57876</v>
      </c>
      <c r="D903" s="102" t="s">
        <v>2449</v>
      </c>
      <c r="E903" s="103"/>
      <c r="F903" s="103" t="s">
        <v>412</v>
      </c>
      <c r="G903" s="103"/>
      <c r="H903" s="103" t="s">
        <v>437</v>
      </c>
      <c r="I903" s="104">
        <v>43830</v>
      </c>
      <c r="J903" s="104">
        <v>43809</v>
      </c>
      <c r="K903" s="105">
        <v>249600.12</v>
      </c>
    </row>
    <row r="904" spans="1:11" x14ac:dyDescent="0.25">
      <c r="A904" s="115" t="s">
        <v>1983</v>
      </c>
      <c r="B904" s="112" t="s">
        <v>688</v>
      </c>
      <c r="C904" s="101">
        <v>60315</v>
      </c>
      <c r="D904" s="102" t="s">
        <v>2450</v>
      </c>
      <c r="E904" s="103" t="s">
        <v>67</v>
      </c>
      <c r="F904" s="103" t="s">
        <v>412</v>
      </c>
      <c r="G904" s="103"/>
      <c r="H904" s="103" t="s">
        <v>437</v>
      </c>
      <c r="I904" s="104">
        <v>44316</v>
      </c>
      <c r="J904" s="104">
        <v>44291</v>
      </c>
      <c r="K904" s="105">
        <v>284477.67</v>
      </c>
    </row>
    <row r="905" spans="1:11" x14ac:dyDescent="0.25">
      <c r="A905" s="115" t="s">
        <v>2028</v>
      </c>
      <c r="B905" s="112" t="s">
        <v>1139</v>
      </c>
      <c r="C905" s="101">
        <v>57376</v>
      </c>
      <c r="D905" s="102" t="s">
        <v>2451</v>
      </c>
      <c r="E905" s="103" t="s">
        <v>46</v>
      </c>
      <c r="F905" s="103" t="s">
        <v>397</v>
      </c>
      <c r="G905" s="103" t="s">
        <v>427</v>
      </c>
      <c r="H905" s="103" t="s">
        <v>433</v>
      </c>
      <c r="I905" s="104">
        <v>43799</v>
      </c>
      <c r="J905" s="104"/>
      <c r="K905" s="105">
        <v>23382</v>
      </c>
    </row>
    <row r="906" spans="1:11" x14ac:dyDescent="0.25">
      <c r="A906" s="115" t="s">
        <v>2028</v>
      </c>
      <c r="B906" s="112" t="s">
        <v>1139</v>
      </c>
      <c r="C906" s="101">
        <v>62537</v>
      </c>
      <c r="D906" s="102" t="s">
        <v>2452</v>
      </c>
      <c r="E906" s="103" t="s">
        <v>821</v>
      </c>
      <c r="F906" s="103" t="s">
        <v>412</v>
      </c>
      <c r="G906" s="103"/>
      <c r="H906" s="103" t="s">
        <v>437</v>
      </c>
      <c r="I906" s="104">
        <v>44804</v>
      </c>
      <c r="J906" s="104">
        <v>44796</v>
      </c>
      <c r="K906" s="105">
        <v>186378.6</v>
      </c>
    </row>
    <row r="907" spans="1:11" x14ac:dyDescent="0.25">
      <c r="A907" s="115" t="s">
        <v>2028</v>
      </c>
      <c r="B907" s="112" t="s">
        <v>1139</v>
      </c>
      <c r="C907" s="101">
        <v>65370</v>
      </c>
      <c r="D907" s="102" t="s">
        <v>2453</v>
      </c>
      <c r="E907" s="103" t="s">
        <v>821</v>
      </c>
      <c r="F907" s="103" t="s">
        <v>412</v>
      </c>
      <c r="G907" s="103"/>
      <c r="H907" s="103" t="s">
        <v>437</v>
      </c>
      <c r="I907" s="104">
        <v>45322</v>
      </c>
      <c r="J907" s="104">
        <v>45308</v>
      </c>
      <c r="K907" s="105">
        <v>413189.4</v>
      </c>
    </row>
    <row r="908" spans="1:11" x14ac:dyDescent="0.25">
      <c r="A908" s="115" t="s">
        <v>2028</v>
      </c>
      <c r="B908" s="112" t="s">
        <v>1139</v>
      </c>
      <c r="C908" s="101">
        <v>62845</v>
      </c>
      <c r="D908" s="102" t="s">
        <v>2454</v>
      </c>
      <c r="E908" s="103" t="s">
        <v>821</v>
      </c>
      <c r="F908" s="103" t="s">
        <v>412</v>
      </c>
      <c r="G908" s="103"/>
      <c r="H908" s="103" t="s">
        <v>437</v>
      </c>
      <c r="I908" s="104">
        <v>44804</v>
      </c>
      <c r="J908" s="104">
        <v>44796</v>
      </c>
      <c r="K908" s="105">
        <v>394340</v>
      </c>
    </row>
    <row r="909" spans="1:11" x14ac:dyDescent="0.25">
      <c r="A909" s="115" t="s">
        <v>2028</v>
      </c>
      <c r="B909" s="112" t="s">
        <v>1139</v>
      </c>
      <c r="C909" s="101">
        <v>61584</v>
      </c>
      <c r="D909" s="102" t="s">
        <v>2455</v>
      </c>
      <c r="E909" s="103" t="s">
        <v>46</v>
      </c>
      <c r="F909" s="103" t="s">
        <v>397</v>
      </c>
      <c r="G909" s="103" t="s">
        <v>422</v>
      </c>
      <c r="H909" s="103" t="s">
        <v>459</v>
      </c>
      <c r="I909" s="104">
        <v>44895</v>
      </c>
      <c r="J909" s="104"/>
      <c r="K909" s="105">
        <v>97169</v>
      </c>
    </row>
    <row r="910" spans="1:11" x14ac:dyDescent="0.25">
      <c r="A910" s="115" t="s">
        <v>2028</v>
      </c>
      <c r="B910" s="112" t="s">
        <v>1139</v>
      </c>
      <c r="C910" s="101">
        <v>59243</v>
      </c>
      <c r="D910" s="102" t="s">
        <v>2456</v>
      </c>
      <c r="E910" s="103" t="s">
        <v>484</v>
      </c>
      <c r="F910" s="103" t="s">
        <v>397</v>
      </c>
      <c r="G910" s="103" t="s">
        <v>427</v>
      </c>
      <c r="H910" s="103" t="s">
        <v>437</v>
      </c>
      <c r="I910" s="104">
        <v>44104</v>
      </c>
      <c r="J910" s="104"/>
      <c r="K910" s="105">
        <v>116857.59</v>
      </c>
    </row>
    <row r="911" spans="1:11" x14ac:dyDescent="0.25">
      <c r="A911" s="115" t="s">
        <v>2028</v>
      </c>
      <c r="B911" s="112" t="s">
        <v>1139</v>
      </c>
      <c r="C911" s="101">
        <v>61048</v>
      </c>
      <c r="D911" s="102" t="s">
        <v>2457</v>
      </c>
      <c r="E911" s="103" t="s">
        <v>451</v>
      </c>
      <c r="F911" s="103" t="s">
        <v>397</v>
      </c>
      <c r="G911" s="103"/>
      <c r="H911" s="103" t="s">
        <v>437</v>
      </c>
      <c r="I911" s="104">
        <v>44834</v>
      </c>
      <c r="J911" s="104"/>
      <c r="K911" s="105">
        <v>41760</v>
      </c>
    </row>
    <row r="912" spans="1:11" x14ac:dyDescent="0.25">
      <c r="A912" s="115" t="s">
        <v>2028</v>
      </c>
      <c r="B912" s="112" t="s">
        <v>1139</v>
      </c>
      <c r="C912" s="101">
        <v>63326</v>
      </c>
      <c r="D912" s="102" t="s">
        <v>2458</v>
      </c>
      <c r="E912" s="103" t="s">
        <v>821</v>
      </c>
      <c r="F912" s="103" t="s">
        <v>412</v>
      </c>
      <c r="G912" s="103"/>
      <c r="H912" s="103" t="s">
        <v>437</v>
      </c>
      <c r="I912" s="104">
        <v>44887</v>
      </c>
      <c r="J912" s="104">
        <v>44887</v>
      </c>
      <c r="K912" s="105">
        <v>95273.94</v>
      </c>
    </row>
    <row r="913" spans="1:11" x14ac:dyDescent="0.25">
      <c r="A913" s="115" t="s">
        <v>2028</v>
      </c>
      <c r="B913" s="112" t="s">
        <v>1139</v>
      </c>
      <c r="C913" s="101">
        <v>62255</v>
      </c>
      <c r="D913" s="102" t="s">
        <v>2459</v>
      </c>
      <c r="E913" s="103" t="s">
        <v>821</v>
      </c>
      <c r="F913" s="103" t="s">
        <v>412</v>
      </c>
      <c r="G913" s="103"/>
      <c r="H913" s="103" t="s">
        <v>437</v>
      </c>
      <c r="I913" s="104">
        <v>44712</v>
      </c>
      <c r="J913" s="104">
        <v>44683</v>
      </c>
      <c r="K913" s="105">
        <v>110732.4</v>
      </c>
    </row>
    <row r="914" spans="1:11" x14ac:dyDescent="0.25">
      <c r="A914" s="115" t="s">
        <v>2028</v>
      </c>
      <c r="B914" s="112" t="s">
        <v>1139</v>
      </c>
      <c r="C914" s="101">
        <v>61885</v>
      </c>
      <c r="D914" s="102" t="s">
        <v>2460</v>
      </c>
      <c r="E914" s="103" t="s">
        <v>821</v>
      </c>
      <c r="F914" s="103" t="s">
        <v>412</v>
      </c>
      <c r="G914" s="103"/>
      <c r="H914" s="103" t="s">
        <v>437</v>
      </c>
      <c r="I914" s="104">
        <v>44620</v>
      </c>
      <c r="J914" s="104">
        <v>44599</v>
      </c>
      <c r="K914" s="105">
        <v>9390.7199999999993</v>
      </c>
    </row>
    <row r="915" spans="1:11" x14ac:dyDescent="0.25">
      <c r="A915" s="115" t="s">
        <v>2028</v>
      </c>
      <c r="B915" s="112" t="s">
        <v>1139</v>
      </c>
      <c r="C915" s="101">
        <v>64766</v>
      </c>
      <c r="D915" s="102" t="s">
        <v>2461</v>
      </c>
      <c r="E915" s="103" t="s">
        <v>821</v>
      </c>
      <c r="F915" s="103" t="s">
        <v>412</v>
      </c>
      <c r="G915" s="103"/>
      <c r="H915" s="103" t="s">
        <v>437</v>
      </c>
      <c r="I915" s="104">
        <v>45199</v>
      </c>
      <c r="J915" s="104">
        <v>45175</v>
      </c>
      <c r="K915" s="105">
        <v>34128.67</v>
      </c>
    </row>
    <row r="916" spans="1:11" x14ac:dyDescent="0.25">
      <c r="A916" s="115" t="s">
        <v>2028</v>
      </c>
      <c r="B916" s="112" t="s">
        <v>1139</v>
      </c>
      <c r="C916" s="101">
        <v>64639</v>
      </c>
      <c r="D916" s="102" t="s">
        <v>2462</v>
      </c>
      <c r="E916" s="103" t="s">
        <v>821</v>
      </c>
      <c r="F916" s="103" t="s">
        <v>412</v>
      </c>
      <c r="G916" s="103"/>
      <c r="H916" s="103" t="s">
        <v>437</v>
      </c>
      <c r="I916" s="104">
        <v>45169</v>
      </c>
      <c r="J916" s="104">
        <v>45140</v>
      </c>
      <c r="K916" s="105">
        <v>14802.92</v>
      </c>
    </row>
    <row r="917" spans="1:11" x14ac:dyDescent="0.25">
      <c r="A917" s="115" t="s">
        <v>2028</v>
      </c>
      <c r="B917" s="112" t="s">
        <v>1139</v>
      </c>
      <c r="C917" s="101">
        <v>63445</v>
      </c>
      <c r="D917" s="102" t="s">
        <v>2463</v>
      </c>
      <c r="E917" s="103" t="s">
        <v>821</v>
      </c>
      <c r="F917" s="103" t="s">
        <v>412</v>
      </c>
      <c r="G917" s="103"/>
      <c r="H917" s="103" t="s">
        <v>437</v>
      </c>
      <c r="I917" s="104">
        <v>44926</v>
      </c>
      <c r="J917" s="104">
        <v>44909</v>
      </c>
      <c r="K917" s="105">
        <v>48316.23</v>
      </c>
    </row>
    <row r="918" spans="1:11" x14ac:dyDescent="0.25">
      <c r="A918" s="115" t="s">
        <v>2028</v>
      </c>
      <c r="B918" s="112" t="s">
        <v>1139</v>
      </c>
      <c r="C918" s="101">
        <v>61162</v>
      </c>
      <c r="D918" s="102" t="s">
        <v>2464</v>
      </c>
      <c r="E918" s="103" t="s">
        <v>451</v>
      </c>
      <c r="F918" s="103" t="s">
        <v>397</v>
      </c>
      <c r="G918" s="103" t="s">
        <v>422</v>
      </c>
      <c r="H918" s="103" t="s">
        <v>437</v>
      </c>
      <c r="I918" s="104">
        <v>44561</v>
      </c>
      <c r="J918" s="104"/>
      <c r="K918" s="105">
        <v>84000</v>
      </c>
    </row>
    <row r="919" spans="1:11" x14ac:dyDescent="0.25">
      <c r="A919" s="115" t="s">
        <v>2028</v>
      </c>
      <c r="B919" s="112" t="s">
        <v>1139</v>
      </c>
      <c r="C919" s="101">
        <v>63872</v>
      </c>
      <c r="D919" s="102" t="s">
        <v>2465</v>
      </c>
      <c r="E919" s="103" t="s">
        <v>821</v>
      </c>
      <c r="F919" s="103" t="s">
        <v>412</v>
      </c>
      <c r="G919" s="103"/>
      <c r="H919" s="103" t="s">
        <v>437</v>
      </c>
      <c r="I919" s="104">
        <v>45107</v>
      </c>
      <c r="J919" s="104">
        <v>45020</v>
      </c>
      <c r="K919" s="105">
        <v>59807.55</v>
      </c>
    </row>
    <row r="920" spans="1:11" x14ac:dyDescent="0.25">
      <c r="A920" s="115" t="s">
        <v>2028</v>
      </c>
      <c r="B920" s="112" t="s">
        <v>1139</v>
      </c>
      <c r="C920" s="101">
        <v>63328</v>
      </c>
      <c r="D920" s="102" t="s">
        <v>2466</v>
      </c>
      <c r="E920" s="103" t="s">
        <v>821</v>
      </c>
      <c r="F920" s="103" t="s">
        <v>412</v>
      </c>
      <c r="G920" s="103" t="s">
        <v>422</v>
      </c>
      <c r="H920" s="103" t="s">
        <v>437</v>
      </c>
      <c r="I920" s="104">
        <v>45016</v>
      </c>
      <c r="J920" s="104">
        <v>44897</v>
      </c>
      <c r="K920" s="105">
        <v>64553.62</v>
      </c>
    </row>
    <row r="921" spans="1:11" x14ac:dyDescent="0.25">
      <c r="A921" s="115" t="s">
        <v>2028</v>
      </c>
      <c r="B921" s="112" t="s">
        <v>1139</v>
      </c>
      <c r="C921" s="101">
        <v>63400</v>
      </c>
      <c r="D921" s="102" t="s">
        <v>2467</v>
      </c>
      <c r="E921" s="103" t="s">
        <v>451</v>
      </c>
      <c r="F921" s="103" t="s">
        <v>412</v>
      </c>
      <c r="G921" s="103"/>
      <c r="H921" s="103" t="s">
        <v>437</v>
      </c>
      <c r="I921" s="104">
        <v>44926</v>
      </c>
      <c r="J921" s="104">
        <v>44911</v>
      </c>
      <c r="K921" s="105">
        <v>136716</v>
      </c>
    </row>
    <row r="922" spans="1:11" x14ac:dyDescent="0.25">
      <c r="A922" s="115" t="s">
        <v>2028</v>
      </c>
      <c r="B922" s="112" t="s">
        <v>1139</v>
      </c>
      <c r="C922" s="101">
        <v>61019</v>
      </c>
      <c r="D922" s="102" t="s">
        <v>2468</v>
      </c>
      <c r="E922" s="103" t="s">
        <v>821</v>
      </c>
      <c r="F922" s="103" t="s">
        <v>412</v>
      </c>
      <c r="G922" s="103"/>
      <c r="H922" s="103" t="s">
        <v>437</v>
      </c>
      <c r="I922" s="104">
        <v>44469</v>
      </c>
      <c r="J922" s="104">
        <v>44439</v>
      </c>
      <c r="K922" s="105">
        <v>29253.68</v>
      </c>
    </row>
    <row r="923" spans="1:11" x14ac:dyDescent="0.25">
      <c r="A923" s="115" t="s">
        <v>2028</v>
      </c>
      <c r="B923" s="112" t="s">
        <v>1139</v>
      </c>
      <c r="C923" s="101">
        <v>63327</v>
      </c>
      <c r="D923" s="102" t="s">
        <v>2469</v>
      </c>
      <c r="E923" s="103" t="s">
        <v>821</v>
      </c>
      <c r="F923" s="103" t="s">
        <v>397</v>
      </c>
      <c r="G923" s="103" t="s">
        <v>422</v>
      </c>
      <c r="H923" s="103" t="s">
        <v>437</v>
      </c>
      <c r="I923" s="104">
        <v>45289</v>
      </c>
      <c r="J923" s="104"/>
      <c r="K923" s="105">
        <v>0</v>
      </c>
    </row>
    <row r="924" spans="1:11" x14ac:dyDescent="0.25">
      <c r="A924" s="115" t="s">
        <v>2028</v>
      </c>
      <c r="B924" s="112" t="s">
        <v>1139</v>
      </c>
      <c r="C924" s="101">
        <v>63513</v>
      </c>
      <c r="D924" s="102" t="s">
        <v>2470</v>
      </c>
      <c r="E924" s="103" t="s">
        <v>46</v>
      </c>
      <c r="F924" s="103" t="s">
        <v>397</v>
      </c>
      <c r="G924" s="103" t="s">
        <v>422</v>
      </c>
      <c r="H924" s="103" t="s">
        <v>459</v>
      </c>
      <c r="I924" s="104"/>
      <c r="J924" s="104"/>
      <c r="K924" s="105">
        <v>0</v>
      </c>
    </row>
    <row r="925" spans="1:11" x14ac:dyDescent="0.25">
      <c r="A925" s="115" t="s">
        <v>2028</v>
      </c>
      <c r="B925" s="112" t="s">
        <v>1139</v>
      </c>
      <c r="C925" s="101">
        <v>63514</v>
      </c>
      <c r="D925" s="102" t="s">
        <v>2470</v>
      </c>
      <c r="E925" s="103" t="s">
        <v>821</v>
      </c>
      <c r="F925" s="103" t="s">
        <v>412</v>
      </c>
      <c r="G925" s="103"/>
      <c r="H925" s="103" t="s">
        <v>437</v>
      </c>
      <c r="I925" s="104">
        <v>44925</v>
      </c>
      <c r="J925" s="104">
        <v>44916</v>
      </c>
      <c r="K925" s="105">
        <v>40096</v>
      </c>
    </row>
    <row r="926" spans="1:11" x14ac:dyDescent="0.25">
      <c r="A926" s="115" t="s">
        <v>2028</v>
      </c>
      <c r="B926" s="112" t="s">
        <v>1139</v>
      </c>
      <c r="C926" s="101">
        <v>61734</v>
      </c>
      <c r="D926" s="102" t="s">
        <v>2471</v>
      </c>
      <c r="E926" s="103" t="s">
        <v>46</v>
      </c>
      <c r="F926" s="103" t="s">
        <v>412</v>
      </c>
      <c r="G926" s="103" t="s">
        <v>422</v>
      </c>
      <c r="H926" s="103" t="s">
        <v>459</v>
      </c>
      <c r="I926" s="104">
        <v>44561</v>
      </c>
      <c r="J926" s="104">
        <v>44545</v>
      </c>
      <c r="K926" s="105">
        <v>40004.01</v>
      </c>
    </row>
    <row r="927" spans="1:11" x14ac:dyDescent="0.25">
      <c r="A927" s="115" t="s">
        <v>2028</v>
      </c>
      <c r="B927" s="112" t="s">
        <v>1139</v>
      </c>
      <c r="C927" s="101">
        <v>64437</v>
      </c>
      <c r="D927" s="102" t="s">
        <v>2472</v>
      </c>
      <c r="E927" s="103" t="s">
        <v>821</v>
      </c>
      <c r="F927" s="103" t="s">
        <v>397</v>
      </c>
      <c r="G927" s="103"/>
      <c r="H927" s="103" t="s">
        <v>437</v>
      </c>
      <c r="I927" s="104">
        <v>45169</v>
      </c>
      <c r="J927" s="104"/>
      <c r="K927" s="105">
        <v>352800</v>
      </c>
    </row>
    <row r="928" spans="1:11" x14ac:dyDescent="0.25">
      <c r="A928" s="115" t="s">
        <v>2028</v>
      </c>
      <c r="B928" s="112" t="s">
        <v>1139</v>
      </c>
      <c r="C928" s="101">
        <v>59960</v>
      </c>
      <c r="D928" s="102" t="s">
        <v>2473</v>
      </c>
      <c r="E928" s="103" t="s">
        <v>484</v>
      </c>
      <c r="F928" s="103" t="s">
        <v>397</v>
      </c>
      <c r="G928" s="103" t="s">
        <v>427</v>
      </c>
      <c r="H928" s="103" t="s">
        <v>437</v>
      </c>
      <c r="I928" s="104"/>
      <c r="J928" s="104"/>
      <c r="K928" s="105">
        <v>185</v>
      </c>
    </row>
    <row r="929" spans="1:11" x14ac:dyDescent="0.25">
      <c r="A929" s="115" t="s">
        <v>2028</v>
      </c>
      <c r="B929" s="112" t="s">
        <v>1139</v>
      </c>
      <c r="C929" s="101">
        <v>64356</v>
      </c>
      <c r="D929" s="102" t="s">
        <v>2474</v>
      </c>
      <c r="E929" s="103" t="s">
        <v>821</v>
      </c>
      <c r="F929" s="103" t="s">
        <v>412</v>
      </c>
      <c r="G929" s="103"/>
      <c r="H929" s="103" t="s">
        <v>437</v>
      </c>
      <c r="I929" s="104">
        <v>45107</v>
      </c>
      <c r="J929" s="104">
        <v>45083</v>
      </c>
      <c r="K929" s="105">
        <v>14360.77</v>
      </c>
    </row>
    <row r="930" spans="1:11" x14ac:dyDescent="0.25">
      <c r="A930" s="115" t="s">
        <v>2028</v>
      </c>
      <c r="B930" s="112" t="s">
        <v>1139</v>
      </c>
      <c r="C930" s="101">
        <v>64290</v>
      </c>
      <c r="D930" s="102" t="s">
        <v>2475</v>
      </c>
      <c r="E930" s="103" t="s">
        <v>821</v>
      </c>
      <c r="F930" s="103" t="s">
        <v>412</v>
      </c>
      <c r="G930" s="103"/>
      <c r="H930" s="103" t="s">
        <v>437</v>
      </c>
      <c r="I930" s="104"/>
      <c r="J930" s="104">
        <v>45111</v>
      </c>
      <c r="K930" s="105">
        <v>56934.33</v>
      </c>
    </row>
    <row r="931" spans="1:11" x14ac:dyDescent="0.25">
      <c r="A931" s="115" t="s">
        <v>2028</v>
      </c>
      <c r="B931" s="112" t="s">
        <v>1139</v>
      </c>
      <c r="C931" s="101">
        <v>63873</v>
      </c>
      <c r="D931" s="102" t="s">
        <v>2476</v>
      </c>
      <c r="E931" s="103" t="s">
        <v>821</v>
      </c>
      <c r="F931" s="103" t="s">
        <v>412</v>
      </c>
      <c r="G931" s="103"/>
      <c r="H931" s="103" t="s">
        <v>437</v>
      </c>
      <c r="I931" s="104">
        <v>45044</v>
      </c>
      <c r="J931" s="104">
        <v>45015</v>
      </c>
      <c r="K931" s="105">
        <v>74683.44</v>
      </c>
    </row>
    <row r="932" spans="1:11" x14ac:dyDescent="0.25">
      <c r="A932" s="115" t="s">
        <v>2028</v>
      </c>
      <c r="B932" s="112" t="s">
        <v>1139</v>
      </c>
      <c r="C932" s="101">
        <v>58179</v>
      </c>
      <c r="D932" s="102" t="s">
        <v>2477</v>
      </c>
      <c r="E932" s="103"/>
      <c r="F932" s="103" t="s">
        <v>412</v>
      </c>
      <c r="G932" s="103"/>
      <c r="H932" s="103" t="s">
        <v>437</v>
      </c>
      <c r="I932" s="104">
        <v>43861</v>
      </c>
      <c r="J932" s="104">
        <v>43850</v>
      </c>
      <c r="K932" s="105">
        <v>275000.34000000003</v>
      </c>
    </row>
    <row r="933" spans="1:11" x14ac:dyDescent="0.25">
      <c r="A933" s="115" t="s">
        <v>2028</v>
      </c>
      <c r="B933" s="112" t="s">
        <v>1139</v>
      </c>
      <c r="C933" s="101">
        <v>63617</v>
      </c>
      <c r="D933" s="102" t="s">
        <v>2478</v>
      </c>
      <c r="E933" s="103" t="s">
        <v>821</v>
      </c>
      <c r="F933" s="103" t="s">
        <v>412</v>
      </c>
      <c r="G933" s="103"/>
      <c r="H933" s="103" t="s">
        <v>437</v>
      </c>
      <c r="I933" s="104">
        <v>44980</v>
      </c>
      <c r="J933" s="104">
        <v>44980</v>
      </c>
      <c r="K933" s="105">
        <v>71744.740000000005</v>
      </c>
    </row>
    <row r="934" spans="1:11" x14ac:dyDescent="0.25">
      <c r="A934" s="115" t="s">
        <v>2028</v>
      </c>
      <c r="B934" s="112" t="s">
        <v>1139</v>
      </c>
      <c r="C934" s="101">
        <v>58015</v>
      </c>
      <c r="D934" s="102" t="s">
        <v>2479</v>
      </c>
      <c r="E934" s="103" t="s">
        <v>821</v>
      </c>
      <c r="F934" s="103" t="s">
        <v>412</v>
      </c>
      <c r="G934" s="103"/>
      <c r="H934" s="103" t="s">
        <v>437</v>
      </c>
      <c r="I934" s="104">
        <v>43980</v>
      </c>
      <c r="J934" s="104">
        <v>43966</v>
      </c>
      <c r="K934" s="105">
        <v>305001.96000000002</v>
      </c>
    </row>
    <row r="935" spans="1:11" x14ac:dyDescent="0.25">
      <c r="A935" s="115" t="s">
        <v>2028</v>
      </c>
      <c r="B935" s="112" t="s">
        <v>1139</v>
      </c>
      <c r="C935" s="101">
        <v>57297</v>
      </c>
      <c r="D935" s="102" t="s">
        <v>2480</v>
      </c>
      <c r="E935" s="103" t="s">
        <v>821</v>
      </c>
      <c r="F935" s="103" t="s">
        <v>412</v>
      </c>
      <c r="G935" s="103"/>
      <c r="H935" s="103" t="s">
        <v>437</v>
      </c>
      <c r="I935" s="104">
        <v>43668</v>
      </c>
      <c r="J935" s="104">
        <v>43668</v>
      </c>
      <c r="K935" s="105">
        <v>894375.65</v>
      </c>
    </row>
    <row r="936" spans="1:11" x14ac:dyDescent="0.25">
      <c r="A936" s="115" t="s">
        <v>2028</v>
      </c>
      <c r="B936" s="112" t="s">
        <v>1139</v>
      </c>
      <c r="C936" s="101">
        <v>57462</v>
      </c>
      <c r="D936" s="102" t="s">
        <v>2481</v>
      </c>
      <c r="E936" s="103"/>
      <c r="F936" s="103" t="s">
        <v>397</v>
      </c>
      <c r="G936" s="103" t="s">
        <v>427</v>
      </c>
      <c r="H936" s="103" t="s">
        <v>437</v>
      </c>
      <c r="I936" s="104">
        <v>43951</v>
      </c>
      <c r="J936" s="104"/>
      <c r="K936" s="105">
        <v>16000</v>
      </c>
    </row>
    <row r="937" spans="1:11" x14ac:dyDescent="0.25">
      <c r="A937" s="115" t="s">
        <v>2028</v>
      </c>
      <c r="B937" s="112" t="s">
        <v>1139</v>
      </c>
      <c r="C937" s="101">
        <v>59228</v>
      </c>
      <c r="D937" s="102" t="s">
        <v>2482</v>
      </c>
      <c r="E937" s="103" t="s">
        <v>67</v>
      </c>
      <c r="F937" s="103" t="s">
        <v>412</v>
      </c>
      <c r="G937" s="103"/>
      <c r="H937" s="103" t="s">
        <v>437</v>
      </c>
      <c r="I937" s="104">
        <v>44074</v>
      </c>
      <c r="J937" s="104">
        <v>44064</v>
      </c>
      <c r="K937" s="105">
        <v>349439.97</v>
      </c>
    </row>
    <row r="938" spans="1:11" x14ac:dyDescent="0.25">
      <c r="A938" s="115" t="s">
        <v>2028</v>
      </c>
      <c r="B938" s="112" t="s">
        <v>1139</v>
      </c>
      <c r="C938" s="101">
        <v>57463</v>
      </c>
      <c r="D938" s="102" t="s">
        <v>2483</v>
      </c>
      <c r="E938" s="103"/>
      <c r="F938" s="103" t="s">
        <v>397</v>
      </c>
      <c r="G938" s="103" t="s">
        <v>427</v>
      </c>
      <c r="H938" s="103" t="s">
        <v>437</v>
      </c>
      <c r="I938" s="104">
        <v>43951</v>
      </c>
      <c r="J938" s="104"/>
      <c r="K938" s="105">
        <v>24000</v>
      </c>
    </row>
    <row r="939" spans="1:11" x14ac:dyDescent="0.25">
      <c r="A939" s="115" t="s">
        <v>2028</v>
      </c>
      <c r="B939" s="112" t="s">
        <v>1139</v>
      </c>
      <c r="C939" s="101">
        <v>58711</v>
      </c>
      <c r="D939" s="102" t="s">
        <v>2484</v>
      </c>
      <c r="E939" s="103" t="s">
        <v>821</v>
      </c>
      <c r="F939" s="103" t="s">
        <v>412</v>
      </c>
      <c r="G939" s="103"/>
      <c r="H939" s="103" t="s">
        <v>437</v>
      </c>
      <c r="I939" s="104">
        <v>43966</v>
      </c>
      <c r="J939" s="104">
        <v>43966</v>
      </c>
      <c r="K939" s="105">
        <v>63839.99</v>
      </c>
    </row>
    <row r="940" spans="1:11" x14ac:dyDescent="0.25">
      <c r="A940" s="115" t="s">
        <v>2028</v>
      </c>
      <c r="B940" s="112" t="s">
        <v>1139</v>
      </c>
      <c r="C940" s="101">
        <v>58595</v>
      </c>
      <c r="D940" s="102" t="s">
        <v>2485</v>
      </c>
      <c r="E940" s="103"/>
      <c r="F940" s="103" t="s">
        <v>412</v>
      </c>
      <c r="G940" s="103"/>
      <c r="H940" s="103" t="s">
        <v>437</v>
      </c>
      <c r="I940" s="104">
        <v>43934</v>
      </c>
      <c r="J940" s="104">
        <v>43934</v>
      </c>
      <c r="K940" s="105">
        <v>110000.09</v>
      </c>
    </row>
    <row r="941" spans="1:11" x14ac:dyDescent="0.25">
      <c r="A941" s="115" t="s">
        <v>2028</v>
      </c>
      <c r="B941" s="112" t="s">
        <v>1139</v>
      </c>
      <c r="C941" s="101">
        <v>56838</v>
      </c>
      <c r="D941" s="102" t="s">
        <v>2486</v>
      </c>
      <c r="E941" s="103" t="s">
        <v>46</v>
      </c>
      <c r="F941" s="103" t="s">
        <v>412</v>
      </c>
      <c r="G941" s="103"/>
      <c r="H941" s="103" t="s">
        <v>437</v>
      </c>
      <c r="I941" s="104">
        <v>43648</v>
      </c>
      <c r="J941" s="104">
        <v>43648</v>
      </c>
      <c r="K941" s="105">
        <v>463000.63</v>
      </c>
    </row>
    <row r="942" spans="1:11" x14ac:dyDescent="0.25">
      <c r="A942" s="115" t="s">
        <v>2058</v>
      </c>
      <c r="B942" s="112" t="s">
        <v>1139</v>
      </c>
      <c r="C942" s="101">
        <v>57369</v>
      </c>
      <c r="D942" s="102" t="s">
        <v>2487</v>
      </c>
      <c r="E942" s="103"/>
      <c r="F942" s="103" t="s">
        <v>397</v>
      </c>
      <c r="G942" s="103" t="s">
        <v>427</v>
      </c>
      <c r="H942" s="103" t="s">
        <v>437</v>
      </c>
      <c r="I942" s="104">
        <v>43827</v>
      </c>
      <c r="J942" s="104"/>
      <c r="K942" s="105">
        <v>231957.86</v>
      </c>
    </row>
    <row r="943" spans="1:11" x14ac:dyDescent="0.25">
      <c r="A943" s="115" t="s">
        <v>2058</v>
      </c>
      <c r="B943" s="112" t="s">
        <v>1139</v>
      </c>
      <c r="C943" s="101">
        <v>53882</v>
      </c>
      <c r="D943" s="102" t="s">
        <v>2488</v>
      </c>
      <c r="E943" s="103" t="s">
        <v>46</v>
      </c>
      <c r="F943" s="103" t="s">
        <v>412</v>
      </c>
      <c r="G943" s="103" t="s">
        <v>425</v>
      </c>
      <c r="H943" s="103" t="s">
        <v>423</v>
      </c>
      <c r="I943" s="104">
        <v>42601</v>
      </c>
      <c r="J943" s="104">
        <v>42601</v>
      </c>
      <c r="K943" s="105">
        <v>11970</v>
      </c>
    </row>
    <row r="944" spans="1:11" x14ac:dyDescent="0.25">
      <c r="A944" s="115" t="s">
        <v>2058</v>
      </c>
      <c r="B944" s="112" t="s">
        <v>1139</v>
      </c>
      <c r="C944" s="101">
        <v>53881</v>
      </c>
      <c r="D944" s="102" t="s">
        <v>2489</v>
      </c>
      <c r="E944" s="103" t="s">
        <v>46</v>
      </c>
      <c r="F944" s="103" t="s">
        <v>412</v>
      </c>
      <c r="G944" s="103" t="s">
        <v>425</v>
      </c>
      <c r="H944" s="103" t="s">
        <v>423</v>
      </c>
      <c r="I944" s="104">
        <v>42601</v>
      </c>
      <c r="J944" s="104">
        <v>42601</v>
      </c>
      <c r="K944" s="105">
        <v>43079.53</v>
      </c>
    </row>
    <row r="945" spans="1:11" x14ac:dyDescent="0.25">
      <c r="A945" s="115" t="s">
        <v>2058</v>
      </c>
      <c r="B945" s="112" t="s">
        <v>1139</v>
      </c>
      <c r="C945" s="101">
        <v>53883</v>
      </c>
      <c r="D945" s="102" t="s">
        <v>2490</v>
      </c>
      <c r="E945" s="103" t="s">
        <v>46</v>
      </c>
      <c r="F945" s="103" t="s">
        <v>412</v>
      </c>
      <c r="G945" s="103" t="s">
        <v>425</v>
      </c>
      <c r="H945" s="103" t="s">
        <v>423</v>
      </c>
      <c r="I945" s="104">
        <v>42606</v>
      </c>
      <c r="J945" s="104">
        <v>42606</v>
      </c>
      <c r="K945" s="105">
        <v>30900</v>
      </c>
    </row>
    <row r="946" spans="1:11" x14ac:dyDescent="0.25">
      <c r="A946" s="115" t="s">
        <v>2058</v>
      </c>
      <c r="B946" s="112" t="s">
        <v>1139</v>
      </c>
      <c r="C946" s="101">
        <v>52200</v>
      </c>
      <c r="D946" s="102" t="s">
        <v>2491</v>
      </c>
      <c r="E946" s="103" t="s">
        <v>46</v>
      </c>
      <c r="F946" s="103" t="s">
        <v>412</v>
      </c>
      <c r="G946" s="103" t="s">
        <v>427</v>
      </c>
      <c r="H946" s="103" t="s">
        <v>423</v>
      </c>
      <c r="I946" s="104">
        <v>43108</v>
      </c>
      <c r="J946" s="104">
        <v>43108</v>
      </c>
      <c r="K946" s="105">
        <v>43081.18</v>
      </c>
    </row>
    <row r="947" spans="1:11" x14ac:dyDescent="0.25">
      <c r="A947" s="115" t="s">
        <v>2058</v>
      </c>
      <c r="B947" s="112" t="s">
        <v>1139</v>
      </c>
      <c r="C947" s="101">
        <v>60899</v>
      </c>
      <c r="D947" s="102" t="s">
        <v>2492</v>
      </c>
      <c r="E947" s="103" t="s">
        <v>46</v>
      </c>
      <c r="F947" s="103" t="s">
        <v>412</v>
      </c>
      <c r="G947" s="103" t="s">
        <v>447</v>
      </c>
      <c r="H947" s="103" t="s">
        <v>423</v>
      </c>
      <c r="I947" s="104">
        <v>44925</v>
      </c>
      <c r="J947" s="104">
        <v>44924</v>
      </c>
      <c r="K947" s="105">
        <v>374634.1</v>
      </c>
    </row>
    <row r="948" spans="1:11" x14ac:dyDescent="0.25">
      <c r="A948" s="115" t="s">
        <v>2058</v>
      </c>
      <c r="B948" s="112" t="s">
        <v>1139</v>
      </c>
      <c r="C948" s="101">
        <v>58334</v>
      </c>
      <c r="D948" s="102" t="s">
        <v>2493</v>
      </c>
      <c r="E948" s="103" t="s">
        <v>46</v>
      </c>
      <c r="F948" s="103" t="s">
        <v>397</v>
      </c>
      <c r="G948" s="103" t="s">
        <v>425</v>
      </c>
      <c r="H948" s="103" t="s">
        <v>423</v>
      </c>
      <c r="I948" s="104"/>
      <c r="J948" s="104"/>
      <c r="K948" s="105">
        <v>0</v>
      </c>
    </row>
    <row r="949" spans="1:11" x14ac:dyDescent="0.25">
      <c r="A949" s="115" t="s">
        <v>2058</v>
      </c>
      <c r="B949" s="112" t="s">
        <v>1139</v>
      </c>
      <c r="C949" s="101">
        <v>54293</v>
      </c>
      <c r="D949" s="102" t="s">
        <v>2058</v>
      </c>
      <c r="E949" s="103" t="s">
        <v>46</v>
      </c>
      <c r="F949" s="103" t="s">
        <v>412</v>
      </c>
      <c r="G949" s="103" t="s">
        <v>427</v>
      </c>
      <c r="H949" s="103" t="s">
        <v>423</v>
      </c>
      <c r="I949" s="104">
        <v>42198</v>
      </c>
      <c r="J949" s="104">
        <v>42198</v>
      </c>
      <c r="K949" s="105">
        <v>71400.05</v>
      </c>
    </row>
    <row r="950" spans="1:11" x14ac:dyDescent="0.25">
      <c r="A950" s="115" t="s">
        <v>2058</v>
      </c>
      <c r="B950" s="112" t="s">
        <v>1139</v>
      </c>
      <c r="C950" s="101">
        <v>53569</v>
      </c>
      <c r="D950" s="102" t="s">
        <v>2494</v>
      </c>
      <c r="E950" s="103" t="s">
        <v>46</v>
      </c>
      <c r="F950" s="103" t="s">
        <v>412</v>
      </c>
      <c r="G950" s="103" t="s">
        <v>425</v>
      </c>
      <c r="H950" s="103" t="s">
        <v>423</v>
      </c>
      <c r="I950" s="104">
        <v>43088</v>
      </c>
      <c r="J950" s="104">
        <v>43088</v>
      </c>
      <c r="K950" s="105">
        <v>23256</v>
      </c>
    </row>
    <row r="951" spans="1:11" x14ac:dyDescent="0.25">
      <c r="A951" s="115" t="s">
        <v>2058</v>
      </c>
      <c r="B951" s="112" t="s">
        <v>1139</v>
      </c>
      <c r="C951" s="101">
        <v>53884</v>
      </c>
      <c r="D951" s="102" t="s">
        <v>2495</v>
      </c>
      <c r="E951" s="103"/>
      <c r="F951" s="103" t="s">
        <v>412</v>
      </c>
      <c r="G951" s="103"/>
      <c r="H951" s="103" t="s">
        <v>437</v>
      </c>
      <c r="I951" s="104">
        <v>42606</v>
      </c>
      <c r="J951" s="104">
        <v>42606</v>
      </c>
      <c r="K951" s="105">
        <v>23999.66</v>
      </c>
    </row>
    <row r="952" spans="1:11" x14ac:dyDescent="0.25">
      <c r="A952" s="115" t="s">
        <v>2058</v>
      </c>
      <c r="B952" s="112" t="s">
        <v>1139</v>
      </c>
      <c r="C952" s="101">
        <v>52199</v>
      </c>
      <c r="D952" s="102" t="s">
        <v>2496</v>
      </c>
      <c r="E952" s="103"/>
      <c r="F952" s="103" t="s">
        <v>412</v>
      </c>
      <c r="G952" s="103"/>
      <c r="H952" s="103" t="s">
        <v>437</v>
      </c>
      <c r="I952" s="104">
        <v>43109</v>
      </c>
      <c r="J952" s="104">
        <v>43109</v>
      </c>
      <c r="K952" s="105">
        <v>23256</v>
      </c>
    </row>
    <row r="953" spans="1:11" x14ac:dyDescent="0.25">
      <c r="A953" s="115" t="s">
        <v>2058</v>
      </c>
      <c r="B953" s="112" t="s">
        <v>1139</v>
      </c>
      <c r="C953" s="101">
        <v>52198</v>
      </c>
      <c r="D953" s="102" t="s">
        <v>2497</v>
      </c>
      <c r="E953" s="103"/>
      <c r="F953" s="103" t="s">
        <v>412</v>
      </c>
      <c r="G953" s="103"/>
      <c r="H953" s="103" t="s">
        <v>437</v>
      </c>
      <c r="I953" s="104">
        <v>43109</v>
      </c>
      <c r="J953" s="104">
        <v>43109</v>
      </c>
      <c r="K953" s="105">
        <v>9000</v>
      </c>
    </row>
    <row r="954" spans="1:11" x14ac:dyDescent="0.25">
      <c r="A954" s="115" t="s">
        <v>2058</v>
      </c>
      <c r="B954" s="112" t="s">
        <v>1139</v>
      </c>
      <c r="C954" s="101">
        <v>52197</v>
      </c>
      <c r="D954" s="102" t="s">
        <v>2498</v>
      </c>
      <c r="E954" s="103"/>
      <c r="F954" s="103" t="s">
        <v>412</v>
      </c>
      <c r="G954" s="103"/>
      <c r="H954" s="103" t="s">
        <v>437</v>
      </c>
      <c r="I954" s="104">
        <v>43107</v>
      </c>
      <c r="J954" s="104">
        <v>43107</v>
      </c>
      <c r="K954" s="105">
        <v>65430</v>
      </c>
    </row>
    <row r="955" spans="1:11" x14ac:dyDescent="0.25">
      <c r="A955" s="115" t="s">
        <v>2058</v>
      </c>
      <c r="B955" s="112" t="s">
        <v>1139</v>
      </c>
      <c r="C955" s="101">
        <v>52196</v>
      </c>
      <c r="D955" s="102" t="s">
        <v>2499</v>
      </c>
      <c r="E955" s="103"/>
      <c r="F955" s="103" t="s">
        <v>412</v>
      </c>
      <c r="G955" s="103"/>
      <c r="H955" s="103" t="s">
        <v>437</v>
      </c>
      <c r="I955" s="104">
        <v>43105</v>
      </c>
      <c r="J955" s="104">
        <v>43105</v>
      </c>
      <c r="K955" s="105">
        <v>18000</v>
      </c>
    </row>
    <row r="956" spans="1:11" x14ac:dyDescent="0.25">
      <c r="A956" s="115" t="s">
        <v>2058</v>
      </c>
      <c r="B956" s="112" t="s">
        <v>1139</v>
      </c>
      <c r="C956" s="101">
        <v>53972</v>
      </c>
      <c r="D956" s="102" t="s">
        <v>2500</v>
      </c>
      <c r="E956" s="103" t="s">
        <v>46</v>
      </c>
      <c r="F956" s="103" t="s">
        <v>412</v>
      </c>
      <c r="G956" s="103" t="s">
        <v>425</v>
      </c>
      <c r="H956" s="103" t="s">
        <v>423</v>
      </c>
      <c r="I956" s="104">
        <v>42704</v>
      </c>
      <c r="J956" s="104">
        <v>42704</v>
      </c>
      <c r="K956" s="105">
        <v>18000</v>
      </c>
    </row>
    <row r="957" spans="1:11" x14ac:dyDescent="0.25">
      <c r="A957" s="115" t="s">
        <v>2058</v>
      </c>
      <c r="B957" s="112" t="s">
        <v>1139</v>
      </c>
      <c r="C957" s="101">
        <v>59021</v>
      </c>
      <c r="D957" s="102" t="s">
        <v>2501</v>
      </c>
      <c r="E957" s="103" t="s">
        <v>451</v>
      </c>
      <c r="F957" s="103" t="s">
        <v>397</v>
      </c>
      <c r="G957" s="103" t="s">
        <v>427</v>
      </c>
      <c r="H957" s="103" t="s">
        <v>437</v>
      </c>
      <c r="I957" s="104">
        <v>44043</v>
      </c>
      <c r="J957" s="104"/>
      <c r="K957" s="105">
        <v>60000</v>
      </c>
    </row>
    <row r="958" spans="1:11" x14ac:dyDescent="0.25">
      <c r="A958" s="115" t="s">
        <v>2058</v>
      </c>
      <c r="B958" s="112" t="s">
        <v>1139</v>
      </c>
      <c r="C958" s="101">
        <v>59353</v>
      </c>
      <c r="D958" s="102" t="s">
        <v>2502</v>
      </c>
      <c r="E958" s="103" t="s">
        <v>48</v>
      </c>
      <c r="F958" s="103" t="s">
        <v>397</v>
      </c>
      <c r="G958" s="103" t="s">
        <v>427</v>
      </c>
      <c r="H958" s="103" t="s">
        <v>437</v>
      </c>
      <c r="I958" s="104">
        <v>44104</v>
      </c>
      <c r="J958" s="104"/>
      <c r="K958" s="105">
        <v>525168</v>
      </c>
    </row>
    <row r="959" spans="1:11" x14ac:dyDescent="0.25">
      <c r="A959" s="115" t="s">
        <v>2058</v>
      </c>
      <c r="B959" s="112" t="s">
        <v>1139</v>
      </c>
      <c r="C959" s="101">
        <v>58234</v>
      </c>
      <c r="D959" s="102" t="s">
        <v>2503</v>
      </c>
      <c r="E959" s="103"/>
      <c r="F959" s="103" t="s">
        <v>412</v>
      </c>
      <c r="G959" s="103"/>
      <c r="H959" s="103" t="s">
        <v>437</v>
      </c>
      <c r="I959" s="104">
        <v>43890</v>
      </c>
      <c r="J959" s="104">
        <v>43860</v>
      </c>
      <c r="K959" s="105">
        <v>4000</v>
      </c>
    </row>
    <row r="960" spans="1:11" x14ac:dyDescent="0.25">
      <c r="A960" s="115" t="s">
        <v>2058</v>
      </c>
      <c r="B960" s="112" t="s">
        <v>1139</v>
      </c>
      <c r="C960" s="101">
        <v>57205</v>
      </c>
      <c r="D960" s="102" t="s">
        <v>2504</v>
      </c>
      <c r="E960" s="103"/>
      <c r="F960" s="103" t="s">
        <v>412</v>
      </c>
      <c r="G960" s="103"/>
      <c r="H960" s="103" t="s">
        <v>437</v>
      </c>
      <c r="I960" s="104">
        <v>43749</v>
      </c>
      <c r="J960" s="104">
        <v>43749</v>
      </c>
      <c r="K960" s="105">
        <v>8000</v>
      </c>
    </row>
    <row r="961" spans="1:11" x14ac:dyDescent="0.25">
      <c r="A961" s="115" t="s">
        <v>2058</v>
      </c>
      <c r="B961" s="112" t="s">
        <v>1139</v>
      </c>
      <c r="C961" s="101">
        <v>58153</v>
      </c>
      <c r="D961" s="102" t="s">
        <v>2505</v>
      </c>
      <c r="E961" s="103"/>
      <c r="F961" s="103" t="s">
        <v>412</v>
      </c>
      <c r="G961" s="103"/>
      <c r="H961" s="103" t="s">
        <v>437</v>
      </c>
      <c r="I961" s="104">
        <v>43837</v>
      </c>
      <c r="J961" s="104">
        <v>43837</v>
      </c>
      <c r="K961" s="105">
        <v>7800</v>
      </c>
    </row>
    <row r="962" spans="1:11" x14ac:dyDescent="0.25">
      <c r="A962" s="115" t="s">
        <v>2058</v>
      </c>
      <c r="B962" s="112" t="s">
        <v>1139</v>
      </c>
      <c r="C962" s="101">
        <v>52201</v>
      </c>
      <c r="D962" s="102" t="s">
        <v>2506</v>
      </c>
      <c r="E962" s="103" t="s">
        <v>46</v>
      </c>
      <c r="F962" s="103" t="s">
        <v>412</v>
      </c>
      <c r="G962" s="103" t="s">
        <v>447</v>
      </c>
      <c r="H962" s="103" t="s">
        <v>423</v>
      </c>
      <c r="I962" s="104">
        <v>43343</v>
      </c>
      <c r="J962" s="104">
        <v>43334</v>
      </c>
      <c r="K962" s="105">
        <v>67200.009999999995</v>
      </c>
    </row>
    <row r="963" spans="1:11" x14ac:dyDescent="0.25">
      <c r="A963" s="115" t="s">
        <v>2058</v>
      </c>
      <c r="B963" s="112" t="s">
        <v>1139</v>
      </c>
      <c r="C963" s="101">
        <v>64276</v>
      </c>
      <c r="D963" s="102" t="s">
        <v>2507</v>
      </c>
      <c r="E963" s="103" t="s">
        <v>46</v>
      </c>
      <c r="F963" s="103" t="s">
        <v>397</v>
      </c>
      <c r="G963" s="103" t="s">
        <v>422</v>
      </c>
      <c r="H963" s="103" t="s">
        <v>437</v>
      </c>
      <c r="I963" s="104">
        <v>45230</v>
      </c>
      <c r="J963" s="104"/>
      <c r="K963" s="105">
        <v>14020.08</v>
      </c>
    </row>
    <row r="964" spans="1:11" x14ac:dyDescent="0.25">
      <c r="A964" s="115" t="s">
        <v>2058</v>
      </c>
      <c r="B964" s="112" t="s">
        <v>1139</v>
      </c>
      <c r="C964" s="101">
        <v>59418</v>
      </c>
      <c r="D964" s="102" t="s">
        <v>2508</v>
      </c>
      <c r="E964" s="103" t="s">
        <v>484</v>
      </c>
      <c r="F964" s="103" t="s">
        <v>397</v>
      </c>
      <c r="G964" s="103"/>
      <c r="H964" s="103" t="s">
        <v>437</v>
      </c>
      <c r="I964" s="104">
        <v>44195</v>
      </c>
      <c r="J964" s="104"/>
      <c r="K964" s="105">
        <v>460529.81</v>
      </c>
    </row>
    <row r="965" spans="1:11" x14ac:dyDescent="0.25">
      <c r="A965" s="115" t="s">
        <v>2058</v>
      </c>
      <c r="B965" s="112" t="s">
        <v>1139</v>
      </c>
      <c r="C965" s="101">
        <v>65663</v>
      </c>
      <c r="D965" s="102" t="s">
        <v>2509</v>
      </c>
      <c r="E965" s="103" t="s">
        <v>46</v>
      </c>
      <c r="F965" s="103" t="s">
        <v>412</v>
      </c>
      <c r="G965" s="103"/>
      <c r="H965" s="103" t="s">
        <v>437</v>
      </c>
      <c r="I965" s="104">
        <v>45412</v>
      </c>
      <c r="J965" s="104">
        <v>45385</v>
      </c>
      <c r="K965" s="105">
        <v>92872.08</v>
      </c>
    </row>
    <row r="966" spans="1:11" x14ac:dyDescent="0.25">
      <c r="A966" s="115" t="s">
        <v>2058</v>
      </c>
      <c r="B966" s="112" t="s">
        <v>1139</v>
      </c>
      <c r="C966" s="101">
        <v>58652</v>
      </c>
      <c r="D966" s="102" t="s">
        <v>2510</v>
      </c>
      <c r="E966" s="103"/>
      <c r="F966" s="103" t="s">
        <v>397</v>
      </c>
      <c r="G966" s="103" t="s">
        <v>427</v>
      </c>
      <c r="H966" s="103" t="s">
        <v>437</v>
      </c>
      <c r="I966" s="104">
        <v>43981</v>
      </c>
      <c r="J966" s="104"/>
      <c r="K966" s="105">
        <v>4800</v>
      </c>
    </row>
    <row r="967" spans="1:11" x14ac:dyDescent="0.25">
      <c r="A967" s="115" t="s">
        <v>2058</v>
      </c>
      <c r="B967" s="112" t="s">
        <v>1139</v>
      </c>
      <c r="C967" s="101">
        <v>60519</v>
      </c>
      <c r="D967" s="102" t="s">
        <v>2511</v>
      </c>
      <c r="E967" s="103" t="s">
        <v>48</v>
      </c>
      <c r="F967" s="103" t="s">
        <v>397</v>
      </c>
      <c r="G967" s="103"/>
      <c r="H967" s="103" t="s">
        <v>437</v>
      </c>
      <c r="I967" s="104"/>
      <c r="J967" s="104"/>
      <c r="K967" s="105">
        <v>60000</v>
      </c>
    </row>
    <row r="968" spans="1:11" x14ac:dyDescent="0.25">
      <c r="A968" s="115" t="s">
        <v>2058</v>
      </c>
      <c r="B968" s="112" t="s">
        <v>1139</v>
      </c>
      <c r="C968" s="101">
        <v>58197</v>
      </c>
      <c r="D968" s="102" t="s">
        <v>2512</v>
      </c>
      <c r="E968" s="103" t="s">
        <v>46</v>
      </c>
      <c r="F968" s="103" t="s">
        <v>397</v>
      </c>
      <c r="G968" s="103"/>
      <c r="H968" s="103" t="s">
        <v>437</v>
      </c>
      <c r="I968" s="104">
        <v>44195</v>
      </c>
      <c r="J968" s="104"/>
      <c r="K968" s="105">
        <v>15600.01</v>
      </c>
    </row>
    <row r="969" spans="1:11" x14ac:dyDescent="0.25">
      <c r="A969" s="115" t="s">
        <v>2058</v>
      </c>
      <c r="B969" s="112" t="s">
        <v>1139</v>
      </c>
      <c r="C969" s="101">
        <v>65313</v>
      </c>
      <c r="D969" s="102" t="s">
        <v>2513</v>
      </c>
      <c r="E969" s="103" t="s">
        <v>46</v>
      </c>
      <c r="F969" s="103" t="s">
        <v>401</v>
      </c>
      <c r="G969" s="103" t="s">
        <v>417</v>
      </c>
      <c r="H969" s="103" t="s">
        <v>414</v>
      </c>
      <c r="I969" s="104">
        <v>45653</v>
      </c>
      <c r="J969" s="104"/>
      <c r="K969" s="105">
        <v>437760</v>
      </c>
    </row>
    <row r="970" spans="1:11" x14ac:dyDescent="0.25">
      <c r="A970" s="115" t="s">
        <v>2058</v>
      </c>
      <c r="B970" s="112" t="s">
        <v>1139</v>
      </c>
      <c r="C970" s="101">
        <v>64072</v>
      </c>
      <c r="D970" s="102" t="s">
        <v>2514</v>
      </c>
      <c r="E970" s="103" t="s">
        <v>46</v>
      </c>
      <c r="F970" s="103" t="s">
        <v>412</v>
      </c>
      <c r="G970" s="103" t="s">
        <v>417</v>
      </c>
      <c r="H970" s="103" t="s">
        <v>414</v>
      </c>
      <c r="I970" s="104">
        <v>45289</v>
      </c>
      <c r="J970" s="104">
        <v>45288</v>
      </c>
      <c r="K970" s="105">
        <v>384000</v>
      </c>
    </row>
    <row r="971" spans="1:11" x14ac:dyDescent="0.25">
      <c r="A971" s="115" t="s">
        <v>2058</v>
      </c>
      <c r="B971" s="112" t="s">
        <v>1139</v>
      </c>
      <c r="C971" s="101">
        <v>51296</v>
      </c>
      <c r="D971" s="102" t="s">
        <v>2515</v>
      </c>
      <c r="E971" s="103" t="s">
        <v>46</v>
      </c>
      <c r="F971" s="103" t="s">
        <v>412</v>
      </c>
      <c r="G971" s="103" t="s">
        <v>413</v>
      </c>
      <c r="H971" s="103" t="s">
        <v>414</v>
      </c>
      <c r="I971" s="104">
        <v>42742</v>
      </c>
      <c r="J971" s="104">
        <v>42742</v>
      </c>
      <c r="K971" s="105">
        <v>18364.8</v>
      </c>
    </row>
    <row r="972" spans="1:11" x14ac:dyDescent="0.25">
      <c r="A972" s="115" t="s">
        <v>2058</v>
      </c>
      <c r="B972" s="112" t="s">
        <v>1139</v>
      </c>
      <c r="C972" s="101">
        <v>51295</v>
      </c>
      <c r="D972" s="102" t="s">
        <v>2516</v>
      </c>
      <c r="E972" s="103" t="s">
        <v>46</v>
      </c>
      <c r="F972" s="103" t="s">
        <v>412</v>
      </c>
      <c r="G972" s="103" t="s">
        <v>413</v>
      </c>
      <c r="H972" s="103" t="s">
        <v>414</v>
      </c>
      <c r="I972" s="104">
        <v>42741</v>
      </c>
      <c r="J972" s="104">
        <v>42741</v>
      </c>
      <c r="K972" s="105">
        <v>12239.76</v>
      </c>
    </row>
    <row r="973" spans="1:11" x14ac:dyDescent="0.25">
      <c r="A973" s="115" t="s">
        <v>2058</v>
      </c>
      <c r="B973" s="112" t="s">
        <v>1139</v>
      </c>
      <c r="C973" s="101">
        <v>53002</v>
      </c>
      <c r="D973" s="102" t="s">
        <v>2517</v>
      </c>
      <c r="E973" s="103"/>
      <c r="F973" s="103" t="s">
        <v>412</v>
      </c>
      <c r="G973" s="103"/>
      <c r="H973" s="103" t="s">
        <v>437</v>
      </c>
      <c r="I973" s="104">
        <v>43481</v>
      </c>
      <c r="J973" s="104">
        <v>43481</v>
      </c>
      <c r="K973" s="105">
        <v>11628.01</v>
      </c>
    </row>
    <row r="974" spans="1:11" x14ac:dyDescent="0.25">
      <c r="A974" s="115" t="s">
        <v>2058</v>
      </c>
      <c r="B974" s="112" t="s">
        <v>1139</v>
      </c>
      <c r="C974" s="101">
        <v>57336</v>
      </c>
      <c r="D974" s="102" t="s">
        <v>2518</v>
      </c>
      <c r="E974" s="103" t="s">
        <v>579</v>
      </c>
      <c r="F974" s="103" t="s">
        <v>397</v>
      </c>
      <c r="G974" s="103" t="s">
        <v>427</v>
      </c>
      <c r="H974" s="103" t="s">
        <v>437</v>
      </c>
      <c r="I974" s="104">
        <v>43707</v>
      </c>
      <c r="J974" s="104"/>
      <c r="K974" s="105">
        <v>155745.10999999999</v>
      </c>
    </row>
    <row r="975" spans="1:11" x14ac:dyDescent="0.25">
      <c r="A975" s="115" t="s">
        <v>2058</v>
      </c>
      <c r="B975" s="112" t="s">
        <v>1139</v>
      </c>
      <c r="C975" s="101">
        <v>59013</v>
      </c>
      <c r="D975" s="102" t="s">
        <v>2519</v>
      </c>
      <c r="E975" s="103" t="s">
        <v>484</v>
      </c>
      <c r="F975" s="103" t="s">
        <v>397</v>
      </c>
      <c r="G975" s="103" t="s">
        <v>427</v>
      </c>
      <c r="H975" s="103" t="s">
        <v>437</v>
      </c>
      <c r="I975" s="104">
        <v>44043</v>
      </c>
      <c r="J975" s="104"/>
      <c r="K975" s="105">
        <v>2001383.75</v>
      </c>
    </row>
    <row r="976" spans="1:11" x14ac:dyDescent="0.25">
      <c r="A976" s="115" t="s">
        <v>2567</v>
      </c>
      <c r="B976" s="112" t="s">
        <v>611</v>
      </c>
      <c r="C976" s="101">
        <v>64936</v>
      </c>
      <c r="D976" s="102" t="s">
        <v>2614</v>
      </c>
      <c r="E976" s="103" t="s">
        <v>46</v>
      </c>
      <c r="F976" s="103" t="s">
        <v>412</v>
      </c>
      <c r="G976" s="103" t="s">
        <v>427</v>
      </c>
      <c r="H976" s="103" t="s">
        <v>423</v>
      </c>
      <c r="I976" s="104">
        <v>45238</v>
      </c>
      <c r="J976" s="104">
        <v>45238</v>
      </c>
      <c r="K976" s="105">
        <v>22509.32</v>
      </c>
    </row>
    <row r="977" spans="1:11" x14ac:dyDescent="0.25">
      <c r="A977" s="115" t="s">
        <v>2567</v>
      </c>
      <c r="B977" s="112" t="s">
        <v>611</v>
      </c>
      <c r="C977" s="101">
        <v>59025</v>
      </c>
      <c r="D977" s="102" t="s">
        <v>2615</v>
      </c>
      <c r="E977" s="103" t="s">
        <v>46</v>
      </c>
      <c r="F977" s="103" t="s">
        <v>397</v>
      </c>
      <c r="G977" s="103" t="s">
        <v>427</v>
      </c>
      <c r="H977" s="103" t="s">
        <v>423</v>
      </c>
      <c r="I977" s="104">
        <v>44180</v>
      </c>
      <c r="J977" s="104"/>
      <c r="K977" s="105">
        <v>19104</v>
      </c>
    </row>
    <row r="978" spans="1:11" x14ac:dyDescent="0.25">
      <c r="A978" s="115" t="s">
        <v>2567</v>
      </c>
      <c r="B978" s="112" t="s">
        <v>611</v>
      </c>
      <c r="C978" s="101">
        <v>64950</v>
      </c>
      <c r="D978" s="102" t="s">
        <v>2616</v>
      </c>
      <c r="E978" s="103" t="s">
        <v>67</v>
      </c>
      <c r="F978" s="103" t="s">
        <v>485</v>
      </c>
      <c r="G978" s="103"/>
      <c r="H978" s="103" t="s">
        <v>437</v>
      </c>
      <c r="I978" s="104">
        <v>45473</v>
      </c>
      <c r="J978" s="104"/>
      <c r="K978" s="105">
        <v>95483.32</v>
      </c>
    </row>
    <row r="979" spans="1:11" x14ac:dyDescent="0.25">
      <c r="A979" s="115" t="s">
        <v>2567</v>
      </c>
      <c r="B979" s="112" t="s">
        <v>611</v>
      </c>
      <c r="C979" s="101">
        <v>65845</v>
      </c>
      <c r="D979" s="102" t="s">
        <v>2617</v>
      </c>
      <c r="E979" s="103" t="s">
        <v>48</v>
      </c>
      <c r="F979" s="103" t="s">
        <v>398</v>
      </c>
      <c r="G979" s="103" t="s">
        <v>447</v>
      </c>
      <c r="H979" s="103" t="s">
        <v>437</v>
      </c>
      <c r="I979" s="104">
        <v>45473</v>
      </c>
      <c r="J979" s="104"/>
      <c r="K979" s="105">
        <v>240</v>
      </c>
    </row>
    <row r="980" spans="1:11" x14ac:dyDescent="0.25">
      <c r="A980" s="115" t="s">
        <v>2567</v>
      </c>
      <c r="B980" s="112" t="s">
        <v>611</v>
      </c>
      <c r="C980" s="101">
        <v>65571</v>
      </c>
      <c r="D980" s="102" t="s">
        <v>2618</v>
      </c>
      <c r="E980" s="103" t="s">
        <v>67</v>
      </c>
      <c r="F980" s="103" t="s">
        <v>397</v>
      </c>
      <c r="G980" s="103"/>
      <c r="H980" s="103" t="s">
        <v>437</v>
      </c>
      <c r="I980" s="104">
        <v>45473</v>
      </c>
      <c r="J980" s="104"/>
      <c r="K980" s="105">
        <v>3106320</v>
      </c>
    </row>
    <row r="981" spans="1:11" x14ac:dyDescent="0.25">
      <c r="A981" s="115" t="s">
        <v>2567</v>
      </c>
      <c r="B981" s="112" t="s">
        <v>611</v>
      </c>
      <c r="C981" s="101">
        <v>65113</v>
      </c>
      <c r="D981" s="102" t="s">
        <v>2619</v>
      </c>
      <c r="E981" s="103" t="s">
        <v>46</v>
      </c>
      <c r="F981" s="103" t="s">
        <v>440</v>
      </c>
      <c r="G981" s="103" t="s">
        <v>413</v>
      </c>
      <c r="H981" s="103" t="s">
        <v>414</v>
      </c>
      <c r="I981" s="104">
        <v>45596</v>
      </c>
      <c r="J981" s="104"/>
      <c r="K981" s="105">
        <v>23634.79</v>
      </c>
    </row>
    <row r="982" spans="1:11" x14ac:dyDescent="0.25">
      <c r="A982" s="115" t="s">
        <v>2594</v>
      </c>
      <c r="B982" s="112" t="s">
        <v>611</v>
      </c>
      <c r="C982" s="101">
        <v>52314</v>
      </c>
      <c r="D982" s="102" t="s">
        <v>2620</v>
      </c>
      <c r="E982" s="103" t="s">
        <v>46</v>
      </c>
      <c r="F982" s="103" t="s">
        <v>412</v>
      </c>
      <c r="G982" s="103"/>
      <c r="H982" s="103" t="s">
        <v>433</v>
      </c>
      <c r="I982" s="104">
        <v>43111</v>
      </c>
      <c r="J982" s="104">
        <v>43111</v>
      </c>
      <c r="K982" s="105">
        <v>960</v>
      </c>
    </row>
    <row r="983" spans="1:11" x14ac:dyDescent="0.25">
      <c r="A983" s="115" t="s">
        <v>2594</v>
      </c>
      <c r="B983" s="112" t="s">
        <v>611</v>
      </c>
      <c r="C983" s="101">
        <v>65104</v>
      </c>
      <c r="D983" s="102" t="s">
        <v>2621</v>
      </c>
      <c r="E983" s="103" t="s">
        <v>46</v>
      </c>
      <c r="F983" s="103" t="s">
        <v>397</v>
      </c>
      <c r="G983" s="103"/>
      <c r="H983" s="103" t="s">
        <v>437</v>
      </c>
      <c r="I983" s="104">
        <v>45303</v>
      </c>
      <c r="J983" s="104"/>
      <c r="K983" s="105">
        <v>293982.8</v>
      </c>
    </row>
    <row r="984" spans="1:11" x14ac:dyDescent="0.25">
      <c r="A984" s="115" t="s">
        <v>2594</v>
      </c>
      <c r="B984" s="112" t="s">
        <v>611</v>
      </c>
      <c r="C984" s="101">
        <v>52193</v>
      </c>
      <c r="D984" s="102" t="s">
        <v>2622</v>
      </c>
      <c r="E984" s="103" t="s">
        <v>46</v>
      </c>
      <c r="F984" s="103" t="s">
        <v>412</v>
      </c>
      <c r="G984" s="103" t="s">
        <v>427</v>
      </c>
      <c r="H984" s="103" t="s">
        <v>423</v>
      </c>
      <c r="I984" s="104">
        <v>43111</v>
      </c>
      <c r="J984" s="104">
        <v>43111</v>
      </c>
      <c r="K984" s="105">
        <v>16999.8</v>
      </c>
    </row>
    <row r="985" spans="1:11" x14ac:dyDescent="0.25">
      <c r="A985" s="115" t="s">
        <v>2594</v>
      </c>
      <c r="B985" s="112" t="s">
        <v>611</v>
      </c>
      <c r="C985" s="101">
        <v>52192</v>
      </c>
      <c r="D985" s="102" t="s">
        <v>2623</v>
      </c>
      <c r="E985" s="103" t="s">
        <v>46</v>
      </c>
      <c r="F985" s="103" t="s">
        <v>412</v>
      </c>
      <c r="G985" s="103" t="s">
        <v>425</v>
      </c>
      <c r="H985" s="103" t="s">
        <v>423</v>
      </c>
      <c r="I985" s="104">
        <v>43108</v>
      </c>
      <c r="J985" s="104">
        <v>43108</v>
      </c>
      <c r="K985" s="105">
        <v>425999.84</v>
      </c>
    </row>
    <row r="986" spans="1:11" x14ac:dyDescent="0.25">
      <c r="A986" s="115" t="s">
        <v>2594</v>
      </c>
      <c r="B986" s="112" t="s">
        <v>611</v>
      </c>
      <c r="C986" s="101">
        <v>52191</v>
      </c>
      <c r="D986" s="102" t="s">
        <v>2624</v>
      </c>
      <c r="E986" s="103" t="s">
        <v>46</v>
      </c>
      <c r="F986" s="103" t="s">
        <v>412</v>
      </c>
      <c r="G986" s="103" t="s">
        <v>425</v>
      </c>
      <c r="H986" s="103" t="s">
        <v>423</v>
      </c>
      <c r="I986" s="104">
        <v>43103</v>
      </c>
      <c r="J986" s="104">
        <v>43103</v>
      </c>
      <c r="K986" s="105">
        <v>26105</v>
      </c>
    </row>
    <row r="987" spans="1:11" x14ac:dyDescent="0.25">
      <c r="A987" s="115" t="s">
        <v>2594</v>
      </c>
      <c r="B987" s="112" t="s">
        <v>611</v>
      </c>
      <c r="C987" s="101">
        <v>53459</v>
      </c>
      <c r="D987" s="102" t="s">
        <v>2625</v>
      </c>
      <c r="E987" s="103" t="s">
        <v>46</v>
      </c>
      <c r="F987" s="103" t="s">
        <v>412</v>
      </c>
      <c r="G987" s="103" t="s">
        <v>425</v>
      </c>
      <c r="H987" s="103" t="s">
        <v>423</v>
      </c>
      <c r="I987" s="104">
        <v>43005</v>
      </c>
      <c r="J987" s="104">
        <v>43005</v>
      </c>
      <c r="K987" s="105">
        <v>15999.96</v>
      </c>
    </row>
    <row r="988" spans="1:11" x14ac:dyDescent="0.25">
      <c r="A988" s="115" t="s">
        <v>2594</v>
      </c>
      <c r="B988" s="112" t="s">
        <v>611</v>
      </c>
      <c r="C988" s="101">
        <v>59370</v>
      </c>
      <c r="D988" s="102" t="s">
        <v>2626</v>
      </c>
      <c r="E988" s="103" t="s">
        <v>46</v>
      </c>
      <c r="F988" s="103" t="s">
        <v>397</v>
      </c>
      <c r="G988" s="103" t="s">
        <v>425</v>
      </c>
      <c r="H988" s="103" t="s">
        <v>437</v>
      </c>
      <c r="I988" s="104">
        <v>44195</v>
      </c>
      <c r="J988" s="104"/>
      <c r="K988" s="105">
        <v>9400</v>
      </c>
    </row>
    <row r="989" spans="1:11" x14ac:dyDescent="0.25">
      <c r="A989" s="115" t="s">
        <v>2594</v>
      </c>
      <c r="B989" s="112" t="s">
        <v>611</v>
      </c>
      <c r="C989" s="101">
        <v>64938</v>
      </c>
      <c r="D989" s="102" t="s">
        <v>2627</v>
      </c>
      <c r="E989" s="103" t="s">
        <v>46</v>
      </c>
      <c r="F989" s="103" t="s">
        <v>397</v>
      </c>
      <c r="G989" s="103"/>
      <c r="H989" s="103" t="s">
        <v>437</v>
      </c>
      <c r="I989" s="104">
        <v>45657</v>
      </c>
      <c r="J989" s="104"/>
      <c r="K989" s="105">
        <v>374972.52</v>
      </c>
    </row>
    <row r="990" spans="1:11" x14ac:dyDescent="0.25">
      <c r="A990" s="115" t="s">
        <v>2594</v>
      </c>
      <c r="B990" s="112" t="s">
        <v>611</v>
      </c>
      <c r="C990" s="101">
        <v>63273</v>
      </c>
      <c r="D990" s="102" t="s">
        <v>2628</v>
      </c>
      <c r="E990" s="103" t="s">
        <v>46</v>
      </c>
      <c r="F990" s="103" t="s">
        <v>397</v>
      </c>
      <c r="G990" s="103" t="s">
        <v>447</v>
      </c>
      <c r="H990" s="103" t="s">
        <v>423</v>
      </c>
      <c r="I990" s="104"/>
      <c r="J990" s="104"/>
      <c r="K990" s="105">
        <v>0</v>
      </c>
    </row>
    <row r="991" spans="1:11" x14ac:dyDescent="0.25">
      <c r="A991" s="115" t="s">
        <v>2594</v>
      </c>
      <c r="B991" s="112" t="s">
        <v>611</v>
      </c>
      <c r="C991" s="101">
        <v>53274</v>
      </c>
      <c r="D991" s="102" t="s">
        <v>2629</v>
      </c>
      <c r="E991" s="103" t="s">
        <v>46</v>
      </c>
      <c r="F991" s="103" t="s">
        <v>412</v>
      </c>
      <c r="G991" s="103"/>
      <c r="H991" s="103" t="s">
        <v>433</v>
      </c>
      <c r="I991" s="104">
        <v>42825</v>
      </c>
      <c r="J991" s="104">
        <v>42825</v>
      </c>
      <c r="K991" s="105">
        <v>5000</v>
      </c>
    </row>
    <row r="992" spans="1:11" x14ac:dyDescent="0.25">
      <c r="A992" s="115" t="s">
        <v>2594</v>
      </c>
      <c r="B992" s="112" t="s">
        <v>611</v>
      </c>
      <c r="C992" s="101">
        <v>52313</v>
      </c>
      <c r="D992" s="102" t="s">
        <v>2630</v>
      </c>
      <c r="E992" s="103" t="s">
        <v>46</v>
      </c>
      <c r="F992" s="103" t="s">
        <v>412</v>
      </c>
      <c r="G992" s="103"/>
      <c r="H992" s="103" t="s">
        <v>433</v>
      </c>
      <c r="I992" s="104">
        <v>43109</v>
      </c>
      <c r="J992" s="104">
        <v>43109</v>
      </c>
      <c r="K992" s="105">
        <v>2000</v>
      </c>
    </row>
    <row r="993" spans="1:11" x14ac:dyDescent="0.25">
      <c r="A993" s="115" t="s">
        <v>2594</v>
      </c>
      <c r="B993" s="112" t="s">
        <v>611</v>
      </c>
      <c r="C993" s="101">
        <v>60524</v>
      </c>
      <c r="D993" s="102" t="s">
        <v>2631</v>
      </c>
      <c r="E993" s="103" t="s">
        <v>579</v>
      </c>
      <c r="F993" s="103" t="s">
        <v>397</v>
      </c>
      <c r="G993" s="103"/>
      <c r="H993" s="103" t="s">
        <v>437</v>
      </c>
      <c r="I993" s="104">
        <v>44469</v>
      </c>
      <c r="J993" s="104"/>
      <c r="K993" s="105">
        <v>26185.8</v>
      </c>
    </row>
    <row r="994" spans="1:11" x14ac:dyDescent="0.25">
      <c r="A994" s="115" t="s">
        <v>2594</v>
      </c>
      <c r="B994" s="112" t="s">
        <v>611</v>
      </c>
      <c r="C994" s="101">
        <v>65240</v>
      </c>
      <c r="D994" s="102" t="s">
        <v>2632</v>
      </c>
      <c r="E994" s="103" t="s">
        <v>46</v>
      </c>
      <c r="F994" s="103" t="s">
        <v>401</v>
      </c>
      <c r="G994" s="103" t="s">
        <v>413</v>
      </c>
      <c r="H994" s="103" t="s">
        <v>414</v>
      </c>
      <c r="I994" s="104">
        <v>45656</v>
      </c>
      <c r="J994" s="104"/>
      <c r="K994" s="105">
        <v>141787.22</v>
      </c>
    </row>
    <row r="995" spans="1:11" x14ac:dyDescent="0.25">
      <c r="A995" s="115" t="s">
        <v>2594</v>
      </c>
      <c r="B995" s="112" t="s">
        <v>611</v>
      </c>
      <c r="C995" s="101">
        <v>65233</v>
      </c>
      <c r="D995" s="102" t="s">
        <v>2633</v>
      </c>
      <c r="E995" s="103" t="s">
        <v>46</v>
      </c>
      <c r="F995" s="103" t="s">
        <v>412</v>
      </c>
      <c r="G995" s="103" t="s">
        <v>413</v>
      </c>
      <c r="H995" s="103" t="s">
        <v>414</v>
      </c>
      <c r="I995" s="104">
        <v>45291</v>
      </c>
      <c r="J995" s="104">
        <v>45273</v>
      </c>
      <c r="K995" s="105">
        <v>135035.45000000001</v>
      </c>
    </row>
    <row r="996" spans="1:11" x14ac:dyDescent="0.25">
      <c r="A996" s="115" t="s">
        <v>2594</v>
      </c>
      <c r="B996" s="112" t="s">
        <v>611</v>
      </c>
      <c r="C996" s="101">
        <v>61495</v>
      </c>
      <c r="D996" s="102" t="s">
        <v>2634</v>
      </c>
      <c r="E996" s="103" t="s">
        <v>46</v>
      </c>
      <c r="F996" s="103" t="s">
        <v>412</v>
      </c>
      <c r="G996" s="103" t="s">
        <v>413</v>
      </c>
      <c r="H996" s="103" t="s">
        <v>414</v>
      </c>
      <c r="I996" s="104">
        <v>44923</v>
      </c>
      <c r="J996" s="104">
        <v>44901</v>
      </c>
      <c r="K996" s="105">
        <v>128604</v>
      </c>
    </row>
    <row r="997" spans="1:11" x14ac:dyDescent="0.25">
      <c r="A997" s="115" t="s">
        <v>2594</v>
      </c>
      <c r="B997" s="112" t="s">
        <v>611</v>
      </c>
      <c r="C997" s="101">
        <v>61116</v>
      </c>
      <c r="D997" s="102" t="s">
        <v>2635</v>
      </c>
      <c r="E997" s="103" t="s">
        <v>46</v>
      </c>
      <c r="F997" s="103" t="s">
        <v>412</v>
      </c>
      <c r="G997" s="103" t="s">
        <v>413</v>
      </c>
      <c r="H997" s="103" t="s">
        <v>414</v>
      </c>
      <c r="I997" s="104">
        <v>44561</v>
      </c>
      <c r="J997" s="104">
        <v>44547</v>
      </c>
      <c r="K997" s="105">
        <v>120000.05</v>
      </c>
    </row>
    <row r="998" spans="1:11" x14ac:dyDescent="0.25">
      <c r="A998" s="115" t="s">
        <v>2594</v>
      </c>
      <c r="B998" s="112" t="s">
        <v>611</v>
      </c>
      <c r="C998" s="101">
        <v>58911</v>
      </c>
      <c r="D998" s="102" t="s">
        <v>2636</v>
      </c>
      <c r="E998" s="103" t="s">
        <v>46</v>
      </c>
      <c r="F998" s="103" t="s">
        <v>412</v>
      </c>
      <c r="G998" s="103" t="s">
        <v>413</v>
      </c>
      <c r="H998" s="103" t="s">
        <v>414</v>
      </c>
      <c r="I998" s="104"/>
      <c r="J998" s="104">
        <v>44188</v>
      </c>
      <c r="K998" s="105">
        <v>119000</v>
      </c>
    </row>
    <row r="999" spans="1:11" x14ac:dyDescent="0.25">
      <c r="A999" s="115" t="s">
        <v>2594</v>
      </c>
      <c r="B999" s="112" t="s">
        <v>611</v>
      </c>
      <c r="C999" s="101">
        <v>57956</v>
      </c>
      <c r="D999" s="102" t="s">
        <v>2637</v>
      </c>
      <c r="E999" s="103" t="s">
        <v>46</v>
      </c>
      <c r="F999" s="103" t="s">
        <v>412</v>
      </c>
      <c r="G999" s="103" t="s">
        <v>413</v>
      </c>
      <c r="H999" s="103" t="s">
        <v>414</v>
      </c>
      <c r="I999" s="104">
        <v>43791</v>
      </c>
      <c r="J999" s="104">
        <v>43791</v>
      </c>
      <c r="K999" s="105">
        <v>125226.18</v>
      </c>
    </row>
    <row r="1000" spans="1:11" x14ac:dyDescent="0.25">
      <c r="A1000" s="115" t="s">
        <v>2594</v>
      </c>
      <c r="B1000" s="112" t="s">
        <v>611</v>
      </c>
      <c r="C1000" s="101">
        <v>51152</v>
      </c>
      <c r="D1000" s="102" t="s">
        <v>2638</v>
      </c>
      <c r="E1000" s="103" t="s">
        <v>46</v>
      </c>
      <c r="F1000" s="103" t="s">
        <v>412</v>
      </c>
      <c r="G1000" s="103" t="s">
        <v>413</v>
      </c>
      <c r="H1000" s="103" t="s">
        <v>414</v>
      </c>
      <c r="I1000" s="104">
        <v>43111</v>
      </c>
      <c r="J1000" s="104">
        <v>43111</v>
      </c>
      <c r="K1000" s="105">
        <v>52436.75</v>
      </c>
    </row>
    <row r="1001" spans="1:11" x14ac:dyDescent="0.25">
      <c r="A1001" s="115" t="s">
        <v>2594</v>
      </c>
      <c r="B1001" s="112" t="s">
        <v>611</v>
      </c>
      <c r="C1001" s="101">
        <v>51151</v>
      </c>
      <c r="D1001" s="102" t="s">
        <v>2639</v>
      </c>
      <c r="E1001" s="103" t="s">
        <v>46</v>
      </c>
      <c r="F1001" s="103" t="s">
        <v>412</v>
      </c>
      <c r="G1001" s="103" t="s">
        <v>413</v>
      </c>
      <c r="H1001" s="103" t="s">
        <v>414</v>
      </c>
      <c r="I1001" s="104">
        <v>42747</v>
      </c>
      <c r="J1001" s="104">
        <v>42747</v>
      </c>
      <c r="K1001" s="105">
        <v>25119.599999999999</v>
      </c>
    </row>
    <row r="1002" spans="1:11" x14ac:dyDescent="0.25">
      <c r="A1002" s="115" t="s">
        <v>2594</v>
      </c>
      <c r="B1002" s="112" t="s">
        <v>611</v>
      </c>
      <c r="C1002" s="101">
        <v>54010</v>
      </c>
      <c r="D1002" s="102" t="s">
        <v>2640</v>
      </c>
      <c r="E1002" s="103" t="s">
        <v>46</v>
      </c>
      <c r="F1002" s="103" t="s">
        <v>412</v>
      </c>
      <c r="G1002" s="103" t="s">
        <v>427</v>
      </c>
      <c r="H1002" s="103" t="s">
        <v>423</v>
      </c>
      <c r="I1002" s="104">
        <v>42732</v>
      </c>
      <c r="J1002" s="104">
        <v>42732</v>
      </c>
      <c r="K1002" s="105">
        <v>54937.65</v>
      </c>
    </row>
    <row r="1003" spans="1:11" x14ac:dyDescent="0.25">
      <c r="A1003" s="115" t="s">
        <v>2594</v>
      </c>
      <c r="B1003" s="112" t="s">
        <v>611</v>
      </c>
      <c r="C1003" s="101">
        <v>61173</v>
      </c>
      <c r="D1003" s="102" t="s">
        <v>2641</v>
      </c>
      <c r="E1003" s="103" t="s">
        <v>484</v>
      </c>
      <c r="F1003" s="103" t="s">
        <v>412</v>
      </c>
      <c r="G1003" s="103"/>
      <c r="H1003" s="103" t="s">
        <v>437</v>
      </c>
      <c r="I1003" s="104">
        <v>44498</v>
      </c>
      <c r="J1003" s="104">
        <v>44473</v>
      </c>
      <c r="K1003" s="105">
        <v>3400</v>
      </c>
    </row>
    <row r="1004" spans="1:11" x14ac:dyDescent="0.25">
      <c r="A1004" s="115" t="s">
        <v>2594</v>
      </c>
      <c r="B1004" s="112" t="s">
        <v>611</v>
      </c>
      <c r="C1004" s="101">
        <v>64369</v>
      </c>
      <c r="D1004" s="102" t="s">
        <v>2642</v>
      </c>
      <c r="E1004" s="103" t="s">
        <v>46</v>
      </c>
      <c r="F1004" s="103" t="s">
        <v>400</v>
      </c>
      <c r="G1004" s="103" t="s">
        <v>447</v>
      </c>
      <c r="H1004" s="103" t="s">
        <v>423</v>
      </c>
      <c r="I1004" s="104">
        <v>45657</v>
      </c>
      <c r="J1004" s="104"/>
      <c r="K1004" s="105">
        <v>615000</v>
      </c>
    </row>
    <row r="1005" spans="1:11" x14ac:dyDescent="0.25">
      <c r="A1005" s="115" t="s">
        <v>2594</v>
      </c>
      <c r="B1005" s="112" t="s">
        <v>611</v>
      </c>
      <c r="C1005" s="101">
        <v>60575</v>
      </c>
      <c r="D1005" s="102" t="s">
        <v>2643</v>
      </c>
      <c r="E1005" s="103" t="s">
        <v>579</v>
      </c>
      <c r="F1005" s="103" t="s">
        <v>397</v>
      </c>
      <c r="G1005" s="103"/>
      <c r="H1005" s="103" t="s">
        <v>437</v>
      </c>
      <c r="I1005" s="104">
        <v>44469</v>
      </c>
      <c r="J1005" s="104"/>
      <c r="K1005" s="105">
        <v>6100</v>
      </c>
    </row>
    <row r="1006" spans="1:11" x14ac:dyDescent="0.25">
      <c r="A1006" s="115" t="s">
        <v>2594</v>
      </c>
      <c r="B1006" s="112" t="s">
        <v>611</v>
      </c>
      <c r="C1006" s="101">
        <v>56830</v>
      </c>
      <c r="D1006" s="102" t="s">
        <v>2644</v>
      </c>
      <c r="E1006" s="103"/>
      <c r="F1006" s="103" t="s">
        <v>412</v>
      </c>
      <c r="G1006" s="103"/>
      <c r="H1006" s="103" t="s">
        <v>437</v>
      </c>
      <c r="I1006" s="104">
        <v>43551</v>
      </c>
      <c r="J1006" s="104">
        <v>43551</v>
      </c>
      <c r="K1006" s="105">
        <v>4744.3999999999996</v>
      </c>
    </row>
    <row r="1007" spans="1:11" x14ac:dyDescent="0.25">
      <c r="A1007" s="115" t="s">
        <v>2594</v>
      </c>
      <c r="B1007" s="112" t="s">
        <v>611</v>
      </c>
      <c r="C1007" s="101">
        <v>64063</v>
      </c>
      <c r="D1007" s="102" t="s">
        <v>2645</v>
      </c>
      <c r="E1007" s="103" t="s">
        <v>68</v>
      </c>
      <c r="F1007" s="103" t="s">
        <v>397</v>
      </c>
      <c r="G1007" s="103" t="s">
        <v>447</v>
      </c>
      <c r="H1007" s="103" t="s">
        <v>437</v>
      </c>
      <c r="I1007" s="104">
        <v>45169</v>
      </c>
      <c r="J1007" s="104"/>
      <c r="K1007" s="105">
        <v>117499.92</v>
      </c>
    </row>
    <row r="1008" spans="1:11" x14ac:dyDescent="0.25">
      <c r="A1008" s="115" t="s">
        <v>2612</v>
      </c>
      <c r="B1008" s="112" t="s">
        <v>1840</v>
      </c>
      <c r="C1008" s="101">
        <v>62893</v>
      </c>
      <c r="D1008" s="102" t="s">
        <v>2646</v>
      </c>
      <c r="E1008" s="103" t="s">
        <v>46</v>
      </c>
      <c r="F1008" s="103" t="s">
        <v>401</v>
      </c>
      <c r="G1008" s="103" t="s">
        <v>417</v>
      </c>
      <c r="H1008" s="103" t="s">
        <v>414</v>
      </c>
      <c r="I1008" s="104">
        <v>46012</v>
      </c>
      <c r="J1008" s="104"/>
      <c r="K1008" s="105">
        <v>422492.4</v>
      </c>
    </row>
    <row r="1009" spans="1:11" x14ac:dyDescent="0.25">
      <c r="A1009" s="115" t="s">
        <v>2612</v>
      </c>
      <c r="B1009" s="112" t="s">
        <v>1840</v>
      </c>
      <c r="C1009" s="101">
        <v>61514</v>
      </c>
      <c r="D1009" s="102" t="s">
        <v>2647</v>
      </c>
      <c r="E1009" s="103" t="s">
        <v>46</v>
      </c>
      <c r="F1009" s="103" t="s">
        <v>412</v>
      </c>
      <c r="G1009" s="103" t="s">
        <v>413</v>
      </c>
      <c r="H1009" s="103" t="s">
        <v>414</v>
      </c>
      <c r="I1009" s="104">
        <v>44769</v>
      </c>
      <c r="J1009" s="104">
        <v>44743</v>
      </c>
      <c r="K1009" s="105">
        <v>54500</v>
      </c>
    </row>
    <row r="1010" spans="1:11" x14ac:dyDescent="0.25">
      <c r="A1010" s="115" t="s">
        <v>2612</v>
      </c>
      <c r="B1010" s="112" t="s">
        <v>1840</v>
      </c>
      <c r="C1010" s="101">
        <v>59601</v>
      </c>
      <c r="D1010" s="102" t="s">
        <v>2648</v>
      </c>
      <c r="E1010" s="103" t="s">
        <v>46</v>
      </c>
      <c r="F1010" s="103" t="s">
        <v>397</v>
      </c>
      <c r="G1010" s="103" t="s">
        <v>413</v>
      </c>
      <c r="H1010" s="103" t="s">
        <v>414</v>
      </c>
      <c r="I1010" s="104">
        <v>44408</v>
      </c>
      <c r="J1010" s="104"/>
      <c r="K1010" s="105">
        <v>28066.5</v>
      </c>
    </row>
    <row r="1011" spans="1:11" x14ac:dyDescent="0.25">
      <c r="A1011" s="115" t="s">
        <v>2612</v>
      </c>
      <c r="B1011" s="112" t="s">
        <v>1840</v>
      </c>
      <c r="C1011" s="101">
        <v>58862</v>
      </c>
      <c r="D1011" s="102" t="s">
        <v>2649</v>
      </c>
      <c r="E1011" s="103" t="s">
        <v>46</v>
      </c>
      <c r="F1011" s="103" t="s">
        <v>412</v>
      </c>
      <c r="G1011" s="103" t="s">
        <v>413</v>
      </c>
      <c r="H1011" s="103" t="s">
        <v>414</v>
      </c>
      <c r="I1011" s="104">
        <v>44043</v>
      </c>
      <c r="J1011" s="104">
        <v>44027</v>
      </c>
      <c r="K1011" s="105">
        <v>53460.02</v>
      </c>
    </row>
    <row r="1012" spans="1:11" x14ac:dyDescent="0.25">
      <c r="A1012" s="115" t="s">
        <v>2612</v>
      </c>
      <c r="B1012" s="112" t="s">
        <v>1840</v>
      </c>
      <c r="C1012" s="101">
        <v>50446</v>
      </c>
      <c r="D1012" s="102" t="s">
        <v>2650</v>
      </c>
      <c r="E1012" s="103" t="s">
        <v>46</v>
      </c>
      <c r="F1012" s="103" t="s">
        <v>412</v>
      </c>
      <c r="G1012" s="103" t="s">
        <v>413</v>
      </c>
      <c r="H1012" s="103" t="s">
        <v>414</v>
      </c>
      <c r="I1012" s="104">
        <v>43298</v>
      </c>
      <c r="J1012" s="104">
        <v>43298</v>
      </c>
      <c r="K1012" s="105">
        <v>38860.07</v>
      </c>
    </row>
    <row r="1013" spans="1:11" x14ac:dyDescent="0.25">
      <c r="A1013" s="115" t="s">
        <v>2612</v>
      </c>
      <c r="B1013" s="112" t="s">
        <v>1840</v>
      </c>
      <c r="C1013" s="101">
        <v>53553</v>
      </c>
      <c r="D1013" s="102" t="s">
        <v>2651</v>
      </c>
      <c r="E1013" s="103"/>
      <c r="F1013" s="103" t="s">
        <v>412</v>
      </c>
      <c r="G1013" s="103"/>
      <c r="H1013" s="103" t="s">
        <v>437</v>
      </c>
      <c r="I1013" s="104">
        <v>43075</v>
      </c>
      <c r="J1013" s="104">
        <v>43075</v>
      </c>
      <c r="K1013" s="105">
        <v>18560.009999999998</v>
      </c>
    </row>
    <row r="1014" spans="1:11" x14ac:dyDescent="0.25">
      <c r="A1014" s="115" t="s">
        <v>2612</v>
      </c>
      <c r="B1014" s="112" t="s">
        <v>1840</v>
      </c>
      <c r="C1014" s="101">
        <v>52205</v>
      </c>
      <c r="D1014" s="102" t="s">
        <v>2652</v>
      </c>
      <c r="E1014" s="103" t="s">
        <v>46</v>
      </c>
      <c r="F1014" s="103" t="s">
        <v>412</v>
      </c>
      <c r="G1014" s="103"/>
      <c r="H1014" s="103" t="s">
        <v>437</v>
      </c>
      <c r="I1014" s="104">
        <v>43297</v>
      </c>
      <c r="J1014" s="104">
        <v>43297</v>
      </c>
      <c r="K1014" s="105">
        <v>145000.04999999999</v>
      </c>
    </row>
    <row r="1015" spans="1:11" x14ac:dyDescent="0.25">
      <c r="A1015" s="115" t="s">
        <v>2612</v>
      </c>
      <c r="B1015" s="112" t="s">
        <v>1840</v>
      </c>
      <c r="C1015" s="101">
        <v>53319</v>
      </c>
      <c r="D1015" s="102" t="s">
        <v>2653</v>
      </c>
      <c r="E1015" s="103" t="s">
        <v>46</v>
      </c>
      <c r="F1015" s="103" t="s">
        <v>412</v>
      </c>
      <c r="G1015" s="103" t="s">
        <v>427</v>
      </c>
      <c r="H1015" s="103" t="s">
        <v>423</v>
      </c>
      <c r="I1015" s="104">
        <v>42884</v>
      </c>
      <c r="J1015" s="104">
        <v>42884</v>
      </c>
      <c r="K1015" s="105">
        <v>55891.82</v>
      </c>
    </row>
    <row r="1016" spans="1:11" x14ac:dyDescent="0.25">
      <c r="A1016" s="115" t="s">
        <v>2612</v>
      </c>
      <c r="B1016" s="112" t="s">
        <v>1840</v>
      </c>
      <c r="C1016" s="101">
        <v>52010</v>
      </c>
      <c r="D1016" s="102" t="s">
        <v>2654</v>
      </c>
      <c r="E1016" s="103" t="s">
        <v>46</v>
      </c>
      <c r="F1016" s="103" t="s">
        <v>412</v>
      </c>
      <c r="G1016" s="103" t="s">
        <v>425</v>
      </c>
      <c r="H1016" s="103" t="s">
        <v>423</v>
      </c>
      <c r="I1016" s="104">
        <v>43108</v>
      </c>
      <c r="J1016" s="104">
        <v>43108</v>
      </c>
      <c r="K1016" s="105">
        <v>41666.04</v>
      </c>
    </row>
    <row r="1017" spans="1:11" x14ac:dyDescent="0.25">
      <c r="A1017" s="115" t="s">
        <v>2612</v>
      </c>
      <c r="B1017" s="112" t="s">
        <v>1840</v>
      </c>
      <c r="C1017" s="101">
        <v>64696</v>
      </c>
      <c r="D1017" s="102" t="s">
        <v>2655</v>
      </c>
      <c r="E1017" s="103" t="s">
        <v>46</v>
      </c>
      <c r="F1017" s="103" t="s">
        <v>412</v>
      </c>
      <c r="G1017" s="103"/>
      <c r="H1017" s="103" t="s">
        <v>437</v>
      </c>
      <c r="I1017" s="104">
        <v>45167</v>
      </c>
      <c r="J1017" s="104">
        <v>45146</v>
      </c>
      <c r="K1017" s="105">
        <v>31820.83</v>
      </c>
    </row>
    <row r="1018" spans="1:11" x14ac:dyDescent="0.25">
      <c r="A1018" s="115" t="s">
        <v>2612</v>
      </c>
      <c r="B1018" s="112" t="s">
        <v>1840</v>
      </c>
      <c r="C1018" s="101">
        <v>65318</v>
      </c>
      <c r="D1018" s="102" t="s">
        <v>2656</v>
      </c>
      <c r="E1018" s="103" t="s">
        <v>46</v>
      </c>
      <c r="F1018" s="103" t="s">
        <v>412</v>
      </c>
      <c r="G1018" s="103"/>
      <c r="H1018" s="103" t="s">
        <v>437</v>
      </c>
      <c r="I1018" s="104">
        <v>45291</v>
      </c>
      <c r="J1018" s="104">
        <v>45289</v>
      </c>
      <c r="K1018" s="105">
        <v>33453.17</v>
      </c>
    </row>
    <row r="1019" spans="1:11" x14ac:dyDescent="0.25">
      <c r="A1019" s="115" t="s">
        <v>2612</v>
      </c>
      <c r="B1019" s="112" t="s">
        <v>1840</v>
      </c>
      <c r="C1019" s="101">
        <v>63740</v>
      </c>
      <c r="D1019" s="102" t="s">
        <v>2657</v>
      </c>
      <c r="E1019" s="103" t="s">
        <v>46</v>
      </c>
      <c r="F1019" s="103" t="s">
        <v>412</v>
      </c>
      <c r="G1019" s="103"/>
      <c r="H1019" s="103" t="s">
        <v>437</v>
      </c>
      <c r="I1019" s="104"/>
      <c r="J1019" s="104">
        <v>44970</v>
      </c>
      <c r="K1019" s="105">
        <v>13897.92</v>
      </c>
    </row>
    <row r="1020" spans="1:11" x14ac:dyDescent="0.25">
      <c r="A1020" s="115" t="s">
        <v>2612</v>
      </c>
      <c r="B1020" s="112" t="s">
        <v>1840</v>
      </c>
      <c r="C1020" s="101">
        <v>65540</v>
      </c>
      <c r="D1020" s="102" t="s">
        <v>2658</v>
      </c>
      <c r="E1020" s="103" t="s">
        <v>46</v>
      </c>
      <c r="F1020" s="103" t="s">
        <v>412</v>
      </c>
      <c r="G1020" s="103"/>
      <c r="H1020" s="103" t="s">
        <v>437</v>
      </c>
      <c r="I1020" s="104">
        <v>45362</v>
      </c>
      <c r="J1020" s="104">
        <v>45362</v>
      </c>
      <c r="K1020" s="105">
        <v>12950</v>
      </c>
    </row>
    <row r="1021" spans="1:11" x14ac:dyDescent="0.25">
      <c r="A1021" s="115" t="s">
        <v>2612</v>
      </c>
      <c r="B1021" s="112" t="s">
        <v>1840</v>
      </c>
      <c r="C1021" s="101">
        <v>63555</v>
      </c>
      <c r="D1021" s="102" t="s">
        <v>2659</v>
      </c>
      <c r="E1021" s="103" t="s">
        <v>46</v>
      </c>
      <c r="F1021" s="103" t="s">
        <v>412</v>
      </c>
      <c r="G1021" s="103"/>
      <c r="H1021" s="103" t="s">
        <v>437</v>
      </c>
      <c r="I1021" s="104"/>
      <c r="J1021" s="104">
        <v>44929</v>
      </c>
      <c r="K1021" s="105">
        <v>18724.990000000002</v>
      </c>
    </row>
    <row r="1022" spans="1:11" x14ac:dyDescent="0.25">
      <c r="A1022" s="115" t="s">
        <v>2612</v>
      </c>
      <c r="B1022" s="112" t="s">
        <v>1840</v>
      </c>
      <c r="C1022" s="101">
        <v>60727</v>
      </c>
      <c r="D1022" s="102" t="s">
        <v>2660</v>
      </c>
      <c r="E1022" s="103" t="s">
        <v>48</v>
      </c>
      <c r="F1022" s="103" t="s">
        <v>397</v>
      </c>
      <c r="G1022" s="103"/>
      <c r="H1022" s="103" t="s">
        <v>437</v>
      </c>
      <c r="I1022" s="104">
        <v>44439</v>
      </c>
      <c r="J1022" s="104"/>
      <c r="K1022" s="105">
        <v>66564.070000000007</v>
      </c>
    </row>
    <row r="1023" spans="1:11" x14ac:dyDescent="0.25">
      <c r="A1023" s="115" t="s">
        <v>2612</v>
      </c>
      <c r="B1023" s="112" t="s">
        <v>1840</v>
      </c>
      <c r="C1023" s="101">
        <v>63587</v>
      </c>
      <c r="D1023" s="102" t="s">
        <v>2661</v>
      </c>
      <c r="E1023" s="103" t="s">
        <v>48</v>
      </c>
      <c r="F1023" s="103" t="s">
        <v>397</v>
      </c>
      <c r="G1023" s="103"/>
      <c r="H1023" s="103" t="s">
        <v>437</v>
      </c>
      <c r="I1023" s="104">
        <v>44966</v>
      </c>
      <c r="J1023" s="104"/>
      <c r="K1023" s="105">
        <v>117500</v>
      </c>
    </row>
    <row r="1024" spans="1:11" x14ac:dyDescent="0.25">
      <c r="A1024" s="115" t="s">
        <v>2612</v>
      </c>
      <c r="B1024" s="112" t="s">
        <v>1840</v>
      </c>
      <c r="C1024" s="101">
        <v>62072</v>
      </c>
      <c r="D1024" s="102" t="s">
        <v>2662</v>
      </c>
      <c r="E1024" s="103" t="s">
        <v>48</v>
      </c>
      <c r="F1024" s="103" t="s">
        <v>397</v>
      </c>
      <c r="G1024" s="103"/>
      <c r="H1024" s="103" t="s">
        <v>437</v>
      </c>
      <c r="I1024" s="104">
        <v>44651</v>
      </c>
      <c r="J1024" s="104"/>
      <c r="K1024" s="105">
        <v>100004.85</v>
      </c>
    </row>
    <row r="1025" spans="1:11" x14ac:dyDescent="0.25">
      <c r="A1025" s="115" t="s">
        <v>2612</v>
      </c>
      <c r="B1025" s="112" t="s">
        <v>1840</v>
      </c>
      <c r="C1025" s="101">
        <v>63022</v>
      </c>
      <c r="D1025" s="102" t="s">
        <v>2663</v>
      </c>
      <c r="E1025" s="103" t="s">
        <v>46</v>
      </c>
      <c r="F1025" s="103" t="s">
        <v>412</v>
      </c>
      <c r="G1025" s="103" t="s">
        <v>417</v>
      </c>
      <c r="H1025" s="103" t="s">
        <v>414</v>
      </c>
      <c r="I1025" s="104">
        <v>44923</v>
      </c>
      <c r="J1025" s="104">
        <v>44917</v>
      </c>
      <c r="K1025" s="105">
        <v>361376.51</v>
      </c>
    </row>
    <row r="1026" spans="1:11" x14ac:dyDescent="0.25">
      <c r="A1026" s="115" t="s">
        <v>2612</v>
      </c>
      <c r="B1026" s="112" t="s">
        <v>1840</v>
      </c>
      <c r="C1026" s="101">
        <v>65298</v>
      </c>
      <c r="D1026" s="102" t="s">
        <v>2664</v>
      </c>
      <c r="E1026" s="103" t="s">
        <v>48</v>
      </c>
      <c r="F1026" s="103" t="s">
        <v>397</v>
      </c>
      <c r="G1026" s="103"/>
      <c r="H1026" s="103" t="s">
        <v>437</v>
      </c>
      <c r="I1026" s="104">
        <v>45322</v>
      </c>
      <c r="J1026" s="104"/>
      <c r="K1026" s="105">
        <v>86772.98</v>
      </c>
    </row>
    <row r="1027" spans="1:11" x14ac:dyDescent="0.25">
      <c r="A1027" s="115" t="s">
        <v>2612</v>
      </c>
      <c r="B1027" s="112" t="s">
        <v>1840</v>
      </c>
      <c r="C1027" s="101">
        <v>64997</v>
      </c>
      <c r="D1027" s="102" t="s">
        <v>2665</v>
      </c>
      <c r="E1027" s="103" t="s">
        <v>484</v>
      </c>
      <c r="F1027" s="103" t="s">
        <v>440</v>
      </c>
      <c r="G1027" s="103"/>
      <c r="H1027" s="103" t="s">
        <v>437</v>
      </c>
      <c r="I1027" s="104">
        <v>45443</v>
      </c>
      <c r="J1027" s="104"/>
      <c r="K1027" s="105">
        <v>90000</v>
      </c>
    </row>
    <row r="1028" spans="1:11" x14ac:dyDescent="0.25">
      <c r="A1028" s="115" t="s">
        <v>2612</v>
      </c>
      <c r="B1028" s="112" t="s">
        <v>1840</v>
      </c>
      <c r="C1028" s="101">
        <v>65621</v>
      </c>
      <c r="D1028" s="102" t="s">
        <v>2666</v>
      </c>
      <c r="E1028" s="103" t="s">
        <v>46</v>
      </c>
      <c r="F1028" s="103" t="s">
        <v>397</v>
      </c>
      <c r="G1028" s="103"/>
      <c r="H1028" s="103" t="s">
        <v>437</v>
      </c>
      <c r="I1028" s="104">
        <v>45443</v>
      </c>
      <c r="J1028" s="104"/>
      <c r="K1028" s="105">
        <v>0</v>
      </c>
    </row>
    <row r="1029" spans="1:11" x14ac:dyDescent="0.25">
      <c r="A1029" s="115" t="s">
        <v>2612</v>
      </c>
      <c r="B1029" s="112" t="s">
        <v>1840</v>
      </c>
      <c r="C1029" s="101">
        <v>64960</v>
      </c>
      <c r="D1029" s="102" t="s">
        <v>2667</v>
      </c>
      <c r="E1029" s="103" t="s">
        <v>46</v>
      </c>
      <c r="F1029" s="103" t="s">
        <v>397</v>
      </c>
      <c r="G1029" s="103"/>
      <c r="H1029" s="103" t="s">
        <v>481</v>
      </c>
      <c r="I1029" s="104">
        <v>45282</v>
      </c>
      <c r="J1029" s="104"/>
      <c r="K1029" s="105">
        <v>27504</v>
      </c>
    </row>
    <row r="1030" spans="1:11" x14ac:dyDescent="0.25">
      <c r="A1030" s="115" t="s">
        <v>2612</v>
      </c>
      <c r="B1030" s="112" t="s">
        <v>1840</v>
      </c>
      <c r="C1030" s="101">
        <v>64799</v>
      </c>
      <c r="D1030" s="102" t="s">
        <v>2668</v>
      </c>
      <c r="E1030" s="103" t="s">
        <v>46</v>
      </c>
      <c r="F1030" s="103" t="s">
        <v>412</v>
      </c>
      <c r="G1030" s="103"/>
      <c r="H1030" s="103" t="s">
        <v>481</v>
      </c>
      <c r="I1030" s="104">
        <v>45230</v>
      </c>
      <c r="J1030" s="104">
        <v>45226</v>
      </c>
      <c r="K1030" s="105">
        <v>40986.080000000002</v>
      </c>
    </row>
    <row r="1031" spans="1:11" x14ac:dyDescent="0.25">
      <c r="A1031" s="115" t="s">
        <v>2612</v>
      </c>
      <c r="B1031" s="112" t="s">
        <v>1840</v>
      </c>
      <c r="C1031" s="101">
        <v>64946</v>
      </c>
      <c r="D1031" s="102" t="s">
        <v>2669</v>
      </c>
      <c r="E1031" s="103" t="s">
        <v>46</v>
      </c>
      <c r="F1031" s="103" t="s">
        <v>412</v>
      </c>
      <c r="G1031" s="103"/>
      <c r="H1031" s="103" t="s">
        <v>437</v>
      </c>
      <c r="I1031" s="104">
        <v>45230</v>
      </c>
      <c r="J1031" s="104">
        <v>45217</v>
      </c>
      <c r="K1031" s="105">
        <v>19013.919999999998</v>
      </c>
    </row>
    <row r="1032" spans="1:11" x14ac:dyDescent="0.25">
      <c r="A1032" s="115" t="s">
        <v>2612</v>
      </c>
      <c r="B1032" s="112" t="s">
        <v>1840</v>
      </c>
      <c r="C1032" s="101">
        <v>65450</v>
      </c>
      <c r="D1032" s="102" t="s">
        <v>2670</v>
      </c>
      <c r="E1032" s="103" t="s">
        <v>46</v>
      </c>
      <c r="F1032" s="103" t="s">
        <v>412</v>
      </c>
      <c r="G1032" s="103"/>
      <c r="H1032" s="103" t="s">
        <v>437</v>
      </c>
      <c r="I1032" s="104">
        <v>45335</v>
      </c>
      <c r="J1032" s="104">
        <v>45335</v>
      </c>
      <c r="K1032" s="105">
        <v>6602.4</v>
      </c>
    </row>
  </sheetData>
  <mergeCells count="2">
    <mergeCell ref="P66:P83"/>
    <mergeCell ref="P45:P63"/>
  </mergeCells>
  <hyperlinks>
    <hyperlink ref="D3" r:id="rId1" location="Opportunities/e730a052-0a0a-11e9-8b08-0630baf9dcb8" display="https://in1.sugarondemand.com/ - Opportunities/e730a052-0a0a-11e9-8b08-0630baf9dcb8" xr:uid="{16A75DB4-7D27-4E1A-9774-FA7C91D71A36}"/>
    <hyperlink ref="D4" r:id="rId2" location="Opportunities/e70ffb22-0a0a-11e9-b6b8-0630baf9dcb8" display="https://in1.sugarondemand.com/ - Opportunities/e70ffb22-0a0a-11e9-b6b8-0630baf9dcb8" xr:uid="{F35EBDB9-0557-4855-8896-27CC624819BD}"/>
    <hyperlink ref="D5" r:id="rId3" location="Opportunities/bfc3fea4-0445-11ed-98e2-06141b6603a5" display="https://in1.sugarondemand.com/ - Opportunities/bfc3fea4-0445-11ed-98e2-06141b6603a5" xr:uid="{1D3EBBDB-F679-4DBF-8E32-20DCA9A9F710}"/>
    <hyperlink ref="D6" r:id="rId4" location="Opportunities/b705c386-2acb-11ed-90b6-02b0ee514bc7" display="https://in1.sugarondemand.com/ - Opportunities/b705c386-2acb-11ed-90b6-02b0ee514bc7" xr:uid="{53F5930B-1F05-45AF-92F1-15D5E18CAA3C}"/>
    <hyperlink ref="D7" r:id="rId5" location="Opportunities/9d895758-9bab-11ea-9297-02ae981fbade" tooltip="RENOVAÇÃO 2020-2021 - Predilecta" display="https://in1.sugarondemand.com/ - Opportunities/9d895758-9bab-11ea-9297-02ae981fbade" xr:uid="{726C50D3-64DB-4A97-9748-911F60A06C33}"/>
    <hyperlink ref="D8" r:id="rId6" location="Opportunities/7ff98722-4a8e-11e9-bbe2-069e4f790264" tooltip="RENOVAÇÃO 2019 - Predilecta - com Uplift Dual User" display="https://in1.sugarondemand.com/ - Opportunities/7ff98722-4a8e-11e9-bbe2-069e4f790264" xr:uid="{EBEB4ABD-C7F1-4B16-B370-8D400A4716DF}"/>
    <hyperlink ref="D9" r:id="rId7" location="Opportunities/bf77635a-180e-11ed-af0a-022c40d974e6" display="https://in1.sugarondemand.com/ - Opportunities/bf77635a-180e-11ed-af0a-022c40d974e6" xr:uid="{2CD328F5-F17D-4311-93C4-AAA80A0E7CD6}"/>
    <hyperlink ref="D10" r:id="rId8" location="Opportunities/a1988e8c-1fdc-11e9-901a-022c40d974e6" display="https://in1.sugarondemand.com/ - Opportunities/a1988e8c-1fdc-11e9-901a-022c40d974e6" xr:uid="{A142D954-2BF1-431D-A9C3-3799503FEA73}"/>
    <hyperlink ref="D11" r:id="rId9" location="Opportunities/97c8a788-9ed5-11ea-9532-0630baf9dcb8" display="https://in1.sugarondemand.com/ - Opportunities/97c8a788-9ed5-11ea-9532-0630baf9dcb8" xr:uid="{582452D0-33C3-4168-9CD3-00CE135D3073}"/>
    <hyperlink ref="D12" r:id="rId10" location="Opportunities/90da4176-1fdc-11e9-b0e9-0630baf9dcb8" tooltip="A10 - Predilecta - Consultoria Qlik" display="https://in1.sugarondemand.com/ - Opportunities/90da4176-1fdc-11e9-b0e9-0630baf9dcb8" xr:uid="{4CDADD3F-33B2-4946-95CC-6B2301C70CA5}"/>
    <hyperlink ref="D13" r:id="rId11" location="Opportunities/7e21696a-1fdc-11e9-98a8-0630baf9dcb8" tooltip="Predilecta - Land" display="https://in1.sugarondemand.com/ - Opportunities/7e21696a-1fdc-11e9-98a8-0630baf9dcb8" xr:uid="{FFF806EB-5FB6-46DF-B013-933CED6D9C04}"/>
    <hyperlink ref="D14" r:id="rId12" location="Opportunities/56ca50e8-1fd2-11e9-8117-022c40d974e6" tooltip="Predilecta - Expand Licenças" display="https://in1.sugarondemand.com/ - Opportunities/56ca50e8-1fd2-11e9-8117-022c40d974e6" xr:uid="{33F5598F-5CF2-4F62-9BD2-F9E5D09E703A}"/>
    <hyperlink ref="D15" r:id="rId13" location="Opportunities/48e11386-3f06-11eb-8f47-022c40d974e6" tooltip="PREDILECTA ALIMENTOS - Qlik Alerting" display="https://in1.sugarondemand.com/ - Opportunities/48e11386-3f06-11eb-8f47-022c40d974e6" xr:uid="{584C2C02-5DCE-4B11-8AA5-33F7BC27A3A0}"/>
    <hyperlink ref="D16" r:id="rId14" location="Opportunities/a5a02cd8-1663-11e9-be9e-02ae981fbade" tooltip="Treinamento Qlik Master Class - Predilecta" display="https://in1.sugarondemand.com/ - Opportunities/a5a02cd8-1663-11e9-be9e-02ae981fbade" xr:uid="{5EE519E0-29E2-4EAC-938F-1ECD4B1E17A9}"/>
    <hyperlink ref="D17" r:id="rId15" location="Opportunities/8a6d30b8-27e9-11ee-9025-02b0ee514bc7" display="https://in1.sugarondemand.com/ - Opportunities/8a6d30b8-27e9-11ee-9025-02b0ee514bc7" xr:uid="{CAAB8462-2AD0-484D-B270-6C28AAE2B128}"/>
    <hyperlink ref="D18" r:id="rId16" location="Opportunities/5d5923c6-1fd2-11e9-8d91-022c40d974e6" display="https://in1.sugarondemand.com/ - Opportunities/5d5923c6-1fd2-11e9-8d91-022c40d974e6" xr:uid="{2F4DE532-F7BE-447C-B4F9-CED127A646A2}"/>
    <hyperlink ref="D19" r:id="rId17" location="Opportunities/ff5f83e2-780e-11ee-92cd-02ae981fbade" display="https://in1.sugarondemand.com/ - Opportunities/ff5f83e2-780e-11ee-92cd-02ae981fbade" xr:uid="{54E9E343-B788-444F-BC0F-FCE7350DFEEE}"/>
    <hyperlink ref="D20" r:id="rId18" location="Opportunities/dd5673e2-12af-11e9-a456-069e4f790264" display="https://in1.sugarondemand.com/ - Opportunities/dd5673e2-12af-11e9-a456-069e4f790264" xr:uid="{307B222E-F7EA-4B6F-AA06-665E0E6FA9F3}"/>
    <hyperlink ref="D21" r:id="rId19" location="Opportunities/dd1c7012-7735-11ee-9c74-06397e66b9cd" display="https://in1.sugarondemand.com/ - Opportunities/dd1c7012-7735-11ee-9c74-06397e66b9cd" xr:uid="{F932D7D5-2E9A-49F5-901C-434A2812AFF7}"/>
    <hyperlink ref="D22" r:id="rId20" location="Opportunities/c9a91106-8ad2-11ee-9254-069e4f790264" display="https://in1.sugarondemand.com/ - Opportunities/c9a91106-8ad2-11ee-9254-069e4f790264" xr:uid="{F98F44FA-73B7-4DD4-B9CC-05BE13EB5131}"/>
    <hyperlink ref="D24" r:id="rId21" location="Opportunities/e448ed4e-f006-11e9-879f-022c40d974e6" tooltip="A10 - Pacaembu Autopeças - LGPD" display="https://in1.sugarondemand.com/ - Opportunities/e448ed4e-f006-11e9-879f-022c40d974e6" xr:uid="{83C00A74-3E6B-44B4-B6CC-EC774FC2209C}"/>
    <hyperlink ref="D25" r:id="rId22" location="Opportunities/94c501a6-411d-11ee-8ca2-069e4f790264" display="https://in1.sugarondemand.com/ - Opportunities/94c501a6-411d-11ee-8ca2-069e4f790264" xr:uid="{F1496BE9-3456-48EE-AE72-D3B26D8FC345}"/>
    <hyperlink ref="D26" r:id="rId23" location="Opportunities/8c1684ee-c435-11ee-aa73-06397e66b9cd" display="https://in1.sugarondemand.com/ - Opportunities/8c1684ee-c435-11ee-aa73-06397e66b9cd" xr:uid="{9E2F93CB-5DA3-4C40-B539-965039D6112E}"/>
    <hyperlink ref="D27" r:id="rId24" location="Opportunities/8a88a99a-a320-11ed-924e-0630baf9dcb8" display="https://in1.sugarondemand.com/ - Opportunities/8a88a99a-a320-11ed-924e-0630baf9dcb8" xr:uid="{D1BB6105-BCB5-487D-8BDE-1512EE649133}"/>
    <hyperlink ref="D28" r:id="rId25" location="Opportunities/441acd48-beaa-11ee-9274-069e4f790264" display="https://in1.sugarondemand.com/ - Opportunities/441acd48-beaa-11ee-9274-069e4f790264" xr:uid="{434C1779-366A-4600-AB77-437437405A3D}"/>
    <hyperlink ref="D29" r:id="rId26" location="Opportunities/3108e3fc-5cbc-11ee-8724-06397e66b9cd" display="https://in1.sugarondemand.com/ - Opportunities/3108e3fc-5cbc-11ee-8724-06397e66b9cd" xr:uid="{ED683D46-A9B9-4C10-B63C-A7C322ABB320}"/>
    <hyperlink ref="D30" r:id="rId27" location="Opportunities/1d617a2a-38f6-11ed-a020-06141b6603a5" display="https://in1.sugarondemand.com/ - Opportunities/1d617a2a-38f6-11ed-a020-06141b6603a5" xr:uid="{3462B244-FB38-401E-8AD2-16519CB92E42}"/>
    <hyperlink ref="D31" r:id="rId28" location="Opportunities/b15649b0-6e8b-11ee-9447-02b0ee514bc7" tooltip="RENOVAÇÃO SUBSCRIÇÃO 2024 - WITTEL COMUNICACOES LTDA" display="https://in1.sugarondemand.com/ - Opportunities/b15649b0-6e8b-11ee-9447-02b0ee514bc7" xr:uid="{DC3C9497-D28A-478C-A69E-5D9E5EB3EAA4}"/>
    <hyperlink ref="D32" r:id="rId29" location="Opportunities/cb1553a4-8228-11ee-913d-02b0ee514bc7" display="https://in1.sugarondemand.com/ - Opportunities/cb1553a4-8228-11ee-913d-02b0ee514bc7" xr:uid="{AED7DB7C-F07B-44F0-97D1-1282B4A58655}"/>
    <hyperlink ref="D33" r:id="rId30" location="Opportunities/c97eb858-59ef-11ed-aea2-06141b6603a5" display="https://in1.sugarondemand.com/ - Opportunities/c97eb858-59ef-11ed-aea2-06141b6603a5" xr:uid="{0DE145B1-8EF9-4814-BBC4-632C29AD4AB9}"/>
    <hyperlink ref="D34" r:id="rId31" location="Opportunities/62e530ae-78e8-11ee-a9cc-0630baf9dcb8" display="https://in1.sugarondemand.com/ - Opportunities/62e530ae-78e8-11ee-a9cc-0630baf9dcb8" xr:uid="{BE2A7078-DFA5-4424-A119-5FE36414B54A}"/>
    <hyperlink ref="D35" r:id="rId32" location="Opportunities/1e08da18-35dc-11ec-8f34-069e4f790264" tooltip="RENOVAÇÃO SUBSCRIÇÃO 2024 - FITINSUR DESENVOLVIMENTO E LICENCIAMENTO DE SISTEMAS LTDA" display="https://in1.sugarondemand.com/ - Opportunities/1e08da18-35dc-11ec-8f34-069e4f790264" xr:uid="{5EF397F0-6B67-4A82-9788-D7BD91872D08}"/>
    <hyperlink ref="D36" r:id="rId33" location="Opportunities/06be5d50-beed-11ee-bd5e-02b0ee514bc7" display="https://in1.sugarondemand.com/ - Opportunities/06be5d50-beed-11ee-bd5e-02b0ee514bc7" xr:uid="{D0F59C0E-97B3-402F-82AB-9745EC418152}"/>
    <hyperlink ref="D37" r:id="rId34" location="Opportunities/168f89da-cabc-11ea-b401-022c40d974e6" display="https://in1.sugarondemand.com/ - Opportunities/168f89da-cabc-11ea-b401-022c40d974e6" xr:uid="{F737506A-9149-4F38-802B-10F9CDF0A905}"/>
    <hyperlink ref="D38" r:id="rId35" location="Opportunities/089e0aae-7534-11eb-9ca0-022c40d974e6" display="https://in1.sugarondemand.com/ - Opportunities/089e0aae-7534-11eb-9ca0-022c40d974e6" xr:uid="{49C383B0-FDD6-4E66-9D18-5944551734D3}"/>
    <hyperlink ref="D39" r:id="rId36" location="Opportunities/b3b721fe-ac3a-11eb-9bd6-02ae981fbade" display="https://in1.sugarondemand.com/ - Opportunities/b3b721fe-ac3a-11eb-9bd6-02ae981fbade" xr:uid="{ADE39E13-0DDE-4498-BE71-38B2C4F1B623}"/>
    <hyperlink ref="D40" r:id="rId37" location="Opportunities/591dfdc2-ac48-11eb-b737-069e4f790264" display="https://in1.sugarondemand.com/ - Opportunities/591dfdc2-ac48-11eb-b737-069e4f790264" xr:uid="{DDB451EA-5E5C-4B3A-8635-FADE8CC22F08}"/>
    <hyperlink ref="D41" r:id="rId38" location="Opportunities/4b29fac6-15a3-11ec-a4b7-022c40d974e6" display="https://in1.sugarondemand.com/ - Opportunities/4b29fac6-15a3-11ec-a4b7-022c40d974e6" xr:uid="{BE5A7014-B06F-4261-94BD-E13C1EE02C4A}"/>
    <hyperlink ref="D42" r:id="rId39" location="Opportunities/30ba1176-60d6-11eb-9cfa-0630baf9dcb8" display="https://in1.sugarondemand.com/ - Opportunities/30ba1176-60d6-11eb-9cfa-0630baf9dcb8" xr:uid="{0ED82BAD-CAA8-417B-8F0C-581B8BE46ECE}"/>
    <hyperlink ref="D43" r:id="rId40" location="Opportunities/232bed3a-6645-11eb-9fbd-069e4f790264" tooltip="A10 - Fitinsur - Habitat" display="https://in1.sugarondemand.com/ - Opportunities/232bed3a-6645-11eb-9fbd-069e4f790264" xr:uid="{1EC5C295-FF1C-4F6F-85DD-1F921AC7B445}"/>
    <hyperlink ref="D44" r:id="rId41" location="Opportunities/1fd831ca-1725-11ec-86fe-069e4f790264" tooltip="A10 - FitInsur - Suporte" display="https://in1.sugarondemand.com/ - Opportunities/1fd831ca-1725-11ec-86fe-069e4f790264" xr:uid="{5C096671-624E-475F-96BB-EA7D712B21E9}"/>
    <hyperlink ref="D45" r:id="rId42" location="Opportunities/097c7d8c-d28d-11eb-aca8-022c40d974e6" display="https://in1.sugarondemand.com/ - Opportunities/097c7d8c-d28d-11eb-aca8-022c40d974e6" xr:uid="{51398417-4119-4200-A690-B968DB09C5C8}"/>
    <hyperlink ref="D46" r:id="rId43" location="Opportunities/c5f31b56-a03a-11ee-a6c5-5ba01c5268b9" display="https://in1.sugarondemand.com/ - Opportunities/c5f31b56-a03a-11ee-a6c5-5ba01c5268b9" xr:uid="{712C39E0-83BB-415F-B044-CD856EC18EF5}"/>
    <hyperlink ref="D47" r:id="rId44" location="Opportunities/d3e7bf56-9369-11ee-831c-06397e66b9cd" display="https://in1.sugarondemand.com/ - Opportunities/d3e7bf56-9369-11ee-831c-06397e66b9cd" xr:uid="{AFFB8C35-0E75-46B9-AE22-C7928D0856D1}"/>
    <hyperlink ref="D48" r:id="rId45" location="Opportunities/bc517a24-8fbf-11ee-a854-06397e66b9cd" display="https://in1.sugarondemand.com/ - Opportunities/bc517a24-8fbf-11ee-a854-06397e66b9cd" xr:uid="{3B85FFFC-1882-4DFF-9417-4379E86EA63B}"/>
    <hyperlink ref="D49" r:id="rId46" location="Opportunities/f55dd6c6-7e5f-11ee-8ebc-02ae981fbade" display="https://in1.sugarondemand.com/ - Opportunities/f55dd6c6-7e5f-11ee-8ebc-02ae981fbade" xr:uid="{21E4C94E-CF44-4F0B-9D3E-FDE6DD6A239B}"/>
    <hyperlink ref="D50" r:id="rId47" location="Opportunities/df19a616-62d9-11ee-9b7c-06141b6603a5" display="https://in1.sugarondemand.com/ - Opportunities/df19a616-62d9-11ee-9b7c-06141b6603a5" xr:uid="{FDCEFB22-8FDF-4043-A445-E2C3A7D74921}"/>
    <hyperlink ref="D51" r:id="rId48" location="Opportunities/ce83be02-92e7-11ee-baef-0630baf9dcb8" display="https://in1.sugarondemand.com/ - Opportunities/ce83be02-92e7-11ee-baef-0630baf9dcb8" xr:uid="{7A931549-2FAC-4B7F-AD7E-8EBC71AB1719}"/>
    <hyperlink ref="D52" r:id="rId49" location="Opportunities/9c4bc5a8-d536-11ec-b628-022c40d974e6" tooltip="A10 - Prysmian Group - RPA" display="https://in1.sugarondemand.com/ - Opportunities/9c4bc5a8-d536-11ec-b628-022c40d974e6" xr:uid="{DFD4BA60-1049-4A40-81D0-EE5529AB6B85}"/>
    <hyperlink ref="D53" r:id="rId50" location="Opportunities/59b376b8-8a30-11ee-93fb-02b0ee514bc7" display="https://in1.sugarondemand.com/ - Opportunities/59b376b8-8a30-11ee-93fb-02b0ee514bc7" xr:uid="{EEAB3128-60E1-47D1-A3FB-6B72EA9713CA}"/>
    <hyperlink ref="D54" r:id="rId51" location="Opportunities/31d370a2-82fc-11ee-9bd1-02b0ee514bc7" tooltip="A10 - Prysmian - QDI" display="https://in1.sugarondemand.com/ - Opportunities/31d370a2-82fc-11ee-9bd1-02b0ee514bc7" xr:uid="{86607A29-DC3E-4D1F-9647-48E8E3AE6D98}"/>
    <hyperlink ref="D55" r:id="rId52" location="Opportunities/1aa76d36-d02a-11ee-98d1-06397e66b9cd" tooltip="Prysmian - Banco de Horas" display="https://in1.sugarondemand.com/ - Opportunities/1aa76d36-d02a-11ee-98d1-06397e66b9cd" xr:uid="{45262D86-3DA3-49FD-8B5A-837D7E0830AA}"/>
    <hyperlink ref="D56" r:id="rId53" location="Opportunities/10363cca-7507-11ee-ae72-0630baf9dcb8" tooltip="A10 - Prysmian - Snowflake" display="https://in1.sugarondemand.com/ - Opportunities/10363cca-7507-11ee-ae72-0630baf9dcb8" xr:uid="{329E0AF2-44BA-4459-A0FB-2F55221B571B}"/>
    <hyperlink ref="D57" r:id="rId54" location="Opportunities/cae9ba8a-dacd-11ed-9653-02b0ee514bc7" display="https://in1.sugarondemand.com/ - Opportunities/cae9ba8a-dacd-11ed-9653-02b0ee514bc7" xr:uid="{B3968864-2991-4D8E-B881-A353157EAF1D}"/>
    <hyperlink ref="D58" r:id="rId55" location="Opportunities/bc74d956-21ba-11ee-9e57-022c40d974e6" display="https://in1.sugarondemand.com/ - Opportunities/bc74d956-21ba-11ee-9e57-022c40d974e6" xr:uid="{C85C71F9-BF09-40E7-87DF-CDDA7F5A02B2}"/>
    <hyperlink ref="D59" r:id="rId56" location="Opportunities/83389582-ae29-11ee-9cfc-069e4f790264" display="https://in1.sugarondemand.com/ - Opportunities/83389582-ae29-11ee-9cfc-069e4f790264" xr:uid="{9DFF9FEF-3C49-4F2C-BC69-D3CFD4863E06}"/>
    <hyperlink ref="D60" r:id="rId57" location="Opportunities/21ccdddc-62f0-11ee-85c1-0630baf9dcb8" display="https://in1.sugarondemand.com/ - Opportunities/21ccdddc-62f0-11ee-85c1-0630baf9dcb8" xr:uid="{B9ACB578-8E44-4CBF-85F1-D49E50113F92}"/>
    <hyperlink ref="D61" r:id="rId58" location="Opportunities/fad5465e-0f9d-11eb-86d5-02ae981fbade" tooltip="RENOVAÇÃO 2021 - GUARANY" display="https://in1.sugarondemand.com/ - Opportunities/fad5465e-0f9d-11eb-86d5-02ae981fbade" xr:uid="{DDBC25BC-F1BF-4021-995E-DB74DEC0785B}"/>
    <hyperlink ref="D62" r:id="rId59" location="Opportunities/ef57ea86-e029-11eb-978e-022c40d974e6" display="https://in1.sugarondemand.com/ - Opportunities/ef57ea86-e029-11eb-978e-022c40d974e6" xr:uid="{7BEE21E2-87B3-483D-B659-5F11C59FDB6B}"/>
    <hyperlink ref="D63" r:id="rId60" location="Opportunities/da3b646c-6523-11e9-ba4d-069e4f790264" display="https://in1.sugarondemand.com/ - Opportunities/da3b646c-6523-11e9-ba4d-069e4f790264" xr:uid="{8415E83D-7613-4B7A-9FAD-6F381659716F}"/>
    <hyperlink ref="D64" r:id="rId61" location="Opportunities/bfba7212-f711-11ec-941c-0630baf9dcb8" display="https://in1.sugarondemand.com/ - Opportunities/bfba7212-f711-11ec-941c-0630baf9dcb8" xr:uid="{07F9C9E5-1604-4FA1-960A-C449E0377853}"/>
    <hyperlink ref="D65" r:id="rId62" location="Opportunities/a6051440-a0e2-11ee-a2b5-679bcddcca19" display="https://in1.sugarondemand.com/ - Opportunities/a6051440-a0e2-11ee-a2b5-679bcddcca19" xr:uid="{19626AF2-64C5-43FF-AEA1-57EE1DF624FD}"/>
    <hyperlink ref="D66" r:id="rId63" location="Opportunities/a4548d5c-a42e-11ee-9343-2d04dbad7320" display="https://in1.sugarondemand.com/ - Opportunities/a4548d5c-a42e-11ee-9343-2d04dbad7320" xr:uid="{BC757DB5-519E-4E6F-BFFB-257FE4CF7676}"/>
    <hyperlink ref="D67" r:id="rId64" location="Opportunities/3f5267b6-0a01-11e9-8486-02ae981fbade" display="https://in1.sugarondemand.com/ - Opportunities/3f5267b6-0a01-11e9-8486-02ae981fbade" xr:uid="{FFF0BD68-939C-40B8-9ACF-DAD76D0F6218}"/>
    <hyperlink ref="D68" r:id="rId65" location="Opportunities/3f38e8cc-0a01-11e9-999b-02ae981fbade" display="https://in1.sugarondemand.com/ - Opportunities/3f38e8cc-0a01-11e9-999b-02ae981fbade" xr:uid="{370270CB-FD3F-4728-9D49-86574ACBF260}"/>
    <hyperlink ref="D69" r:id="rId66" location="Opportunities/3f0d7c3c-0a01-11e9-b923-02ae981fbade" tooltip="RENOVAÇÃO 2016 - Guarany" display="https://in1.sugarondemand.com/ - Opportunities/3f0d7c3c-0a01-11e9-b923-02ae981fbade" xr:uid="{9617AAA5-052A-4051-A90D-BFE152F80B55}"/>
    <hyperlink ref="D70" r:id="rId67" location="Opportunities/3eef0a86-0a01-11e9-b5e4-02ae981fbade" tooltip="RENOVAÇÃO 2015 - Guarany" display="https://in1.sugarondemand.com/ - Opportunities/3eef0a86-0a01-11e9-b5e4-02ae981fbade" xr:uid="{924EB10B-15CC-4C77-8CB8-CBD698CA7060}"/>
    <hyperlink ref="D71" r:id="rId68" location="Opportunities/3ecbc0a8-0a01-11e9-a879-02ae981fbade" tooltip="RENOVAÇÃO 2013 - Guarany" display="https://in1.sugarondemand.com/ - Opportunities/3ecbc0a8-0a01-11e9-a879-02ae981fbade" xr:uid="{848AC855-0829-400F-8DAA-61B95098D54B}"/>
    <hyperlink ref="D72" r:id="rId69" location="Opportunities/3eac34ae-0a01-11e9-a950-02ae981fbade" tooltip="RENOVAÇÃO 2018 - Guarany" display="https://in1.sugarondemand.com/ - Opportunities/3eac34ae-0a01-11e9-a950-02ae981fbade" xr:uid="{BA9030A4-1299-4504-8F49-72099402C60D}"/>
    <hyperlink ref="D73" r:id="rId70" location="Opportunities/3053e1f4-7fee-11ea-a3fd-0630baf9dcb8" tooltip="Renovação 2020 - Guarany" display="https://in1.sugarondemand.com/ - Opportunities/3053e1f4-7fee-11ea-a3fd-0630baf9dcb8" xr:uid="{48ADDD9C-9CCE-4B6B-A190-BFB406C77E85}"/>
    <hyperlink ref="D74" r:id="rId71" location="Opportunities/06a7ef2c-da0d-11ed-9c49-06397e66b9cd" tooltip="RENOVAÇÃO 2024 - GUARANY" display="https://in1.sugarondemand.com/ - Opportunities/06a7ef2c-da0d-11ed-9c49-06397e66b9cd" xr:uid="{C0BA17FA-FA46-4913-B316-D193FE48D6E9}"/>
    <hyperlink ref="D75" r:id="rId72" location="Opportunities/fa874624-ebf2-11ec-b187-0630baf9dcb8" display="https://in1.sugarondemand.com/ - Opportunities/fa874624-ebf2-11ec-b187-0630baf9dcb8" xr:uid="{6F4AF444-7774-4B3D-85C2-5D1AC63D9DB0}"/>
    <hyperlink ref="D76" r:id="rId73" location="Opportunities/db9b4b74-9462-11ee-9212-02ae981fbade" tooltip="Academia IN - Criando uma organização Alfabetizada em Dados - Guarany" display="https://in1.sugarondemand.com/ - Opportunities/db9b4b74-9462-11ee-9212-02ae981fbade" xr:uid="{55377F93-5180-453A-A42A-ED5BFE9EBABE}"/>
    <hyperlink ref="D77" r:id="rId74" location="Opportunities/31cb1590-74f3-11ee-83f2-022c40d974e6" tooltip="A10 School - Qlik Sense Developer I_Online - Guarany" display="https://in1.sugarondemand.com/ - Opportunities/31cb1590-74f3-11ee-83f2-022c40d974e6" xr:uid="{ED95F6C7-BD5F-40C7-8D17-0F0F24037E7A}"/>
    <hyperlink ref="D78" r:id="rId75" location="Opportunities/2e7ed4d0-7e71-11ee-a2ef-022c40d974e6" tooltip="A10 School - Treinamento Qlik Sense Fundamental - Guarany" display="https://in1.sugarondemand.com/ - Opportunities/2e7ed4d0-7e71-11ee-a2ef-022c40d974e6" xr:uid="{0C55E30C-B4BB-49D3-B17A-0765878794C3}"/>
    <hyperlink ref="D79" r:id="rId76" location="Opportunities/a24715bc-fbf4-11ed-9e57-069e4f790264" tooltip="Guarany - Suporte para migração SaaS - Qlik" display="https://in1.sugarondemand.com/ - Opportunities/a24715bc-fbf4-11ed-9e57-069e4f790264" xr:uid="{84DB7862-D1D3-47AA-A60F-76443A0D7693}"/>
    <hyperlink ref="D80" r:id="rId77" location="Opportunities/2cead4ee-24cf-11ee-a545-069e4f790264" tooltip="Guarany - Migração de dados para Sense SaaS" display="https://in1.sugarondemand.com/ - Opportunities/2cead4ee-24cf-11ee-a545-069e4f790264" xr:uid="{5F2CC502-21CF-4084-B394-FDBC8F16C2D6}"/>
    <hyperlink ref="D81" r:id="rId78" location="Opportunities/fe9ba7e0-d4a5-11ed-9094-06141b6603a5" tooltip="RENOVAÇÃO DATAROBOT 2024 - TIM S/A" display="https://in1.sugarondemand.com/ - Opportunities/fe9ba7e0-d4a5-11ed-9094-06141b6603a5" xr:uid="{0736C54B-D747-4033-AA58-A5C0772D4D04}"/>
    <hyperlink ref="D82" r:id="rId79" location="Opportunities/f8b159e6-1042-11ee-a2ce-022c40d974e6" tooltip="RENOVAÇÃO SUBSCRIÇÃO 2024 - TIM S/A - [NPrinting]" display="https://in1.sugarondemand.com/ - Opportunities/f8b159e6-1042-11ee-a2ce-022c40d974e6" xr:uid="{73651427-2B0E-40B3-B10C-40B7590475C0}"/>
    <hyperlink ref="D83" r:id="rId80" location="Opportunities/eeaec03e-3d7e-11ec-bdc9-022c40d974e6" display="https://in1.sugarondemand.com/ - Opportunities/eeaec03e-3d7e-11ec-bdc9-022c40d974e6" xr:uid="{2D25503F-26FE-4DF3-AEB1-D7DAA6D14BB1}"/>
    <hyperlink ref="D84" r:id="rId81" location="Opportunities/b9e850e6-d652-11ec-90b5-06141b6603a5" display="https://in1.sugarondemand.com/ - Opportunities/b9e850e6-d652-11ec-90b5-06141b6603a5" xr:uid="{7C2AA637-5CEC-4F1D-8A52-31DA5782F6D1}"/>
    <hyperlink ref="D85" r:id="rId82" location="Opportunities/a9a9cd36-17f7-11ed-a9cb-06141b6603a5" display="https://in1.sugarondemand.com/ - Opportunities/a9a9cd36-17f7-11ed-a9cb-06141b6603a5" xr:uid="{B04025FC-582E-4ECC-B847-A617DB145F5F}"/>
    <hyperlink ref="D86" r:id="rId83" location="Opportunities/a4a2e0b8-0539-11ee-90dd-06397e66b9cd" display="https://in1.sugarondemand.com/ - Opportunities/a4a2e0b8-0539-11ee-90dd-06397e66b9cd" xr:uid="{5626F387-EA0F-4208-A996-177DB94D3316}"/>
    <hyperlink ref="D87" r:id="rId84" location="Opportunities/16fdfe74-0a0b-11e9-95d6-022c40d974e6" display="https://in1.sugarondemand.com/ - Opportunities/16fdfe74-0a0b-11e9-95d6-022c40d974e6" xr:uid="{90484198-4284-44B0-8B1D-28319FD4B718}"/>
    <hyperlink ref="D88" r:id="rId85" location="Opportunities/16df04ce-0a0b-11e9-8b2d-022c40d974e6" display="https://in1.sugarondemand.com/ - Opportunities/16df04ce-0a0b-11e9-8b2d-022c40d974e6" xr:uid="{0EA74CF9-549E-48A4-8F07-80C3C6485C9F}"/>
    <hyperlink ref="D89" r:id="rId86" location="Opportunities/04c56af4-2da7-11ec-a61c-02ae981fbade" display="https://in1.sugarondemand.com/ - Opportunities/04c56af4-2da7-11ec-a61c-02ae981fbade" xr:uid="{8281496C-2F86-4157-9ECF-CBB9CAA52C2D}"/>
    <hyperlink ref="D90" r:id="rId87" location="Opportunities/ec4da0ce-88ae-11eb-8b18-0630baf9dcb8" tooltip="TIM - Expand" display="https://in1.sugarondemand.com/ - Opportunities/ec4da0ce-88ae-11eb-8b18-0630baf9dcb8" xr:uid="{5C06407A-2A86-499F-9722-9C3A8A4DEEC6}"/>
    <hyperlink ref="D91" r:id="rId88" location="Opportunities/d1971bf0-a5ad-11ea-bc67-069e4f790264" tooltip="TIM Celular S.A. - Land" display="https://in1.sugarondemand.com/ - Opportunities/d1971bf0-a5ad-11ea-bc67-069e4f790264" xr:uid="{1DE04AB3-B624-451F-8D4F-AE473EB91079}"/>
    <hyperlink ref="D92" r:id="rId89" location="Opportunities/b7d40bda-1f5b-11e9-b0aa-069e4f790264" tooltip="TIM Celular S.A. Expand 300 QSA + QS Test Prd Cpcty" display="https://in1.sugarondemand.com/ - Opportunities/b7d40bda-1f5b-11e9-b0aa-069e4f790264" xr:uid="{2758E563-7D45-423F-8DC5-67A9E460B119}"/>
    <hyperlink ref="D93" r:id="rId90" location="Opportunities/b755f63c-1f5b-11e9-a79b-069e4f790264" tooltip="TIM Celular S.A. Depto. Receitas" display="https://in1.sugarondemand.com/ - Opportunities/b755f63c-1f5b-11e9-a79b-069e4f790264" xr:uid="{9ECB6A86-3AB0-41B7-8B76-C0A9A55719CD}"/>
    <hyperlink ref="D94" r:id="rId91" location="Opportunities/a0157840-1663-11e9-9d60-022c40d974e6" tooltip="TIM Celular S.A. Vizlib" display="https://in1.sugarondemand.com/ - Opportunities/a0157840-1663-11e9-9d60-022c40d974e6" xr:uid="{9C1CDC96-9B72-4EF2-8A94-B99F63DB9012}"/>
    <hyperlink ref="D95" r:id="rId92" location="Opportunities/893a8a02-1fdc-11e9-80ee-0630baf9dcb8" tooltip="TIM Celular Expand 10N60D" display="https://in1.sugarondemand.com/ - Opportunities/893a8a02-1fdc-11e9-80ee-0630baf9dcb8" xr:uid="{29944108-0105-4D23-B399-C44CA2E23D76}"/>
    <hyperlink ref="D96" r:id="rId93" location="Opportunities/82e72782-1fdc-11e9-815f-0630baf9dcb8" tooltip="TIM CELULAR S.A." display="https://in1.sugarondemand.com/ - Opportunities/82e72782-1fdc-11e9-815f-0630baf9dcb8" xr:uid="{928941FC-28B8-4807-92B2-62190E191BBC}"/>
    <hyperlink ref="D97" r:id="rId94" location="Opportunities/5c42dcee-9086-11eb-a986-069e4f790264" tooltip="TIM - NPrinting - Subscrição" display="https://in1.sugarondemand.com/ - Opportunities/5c42dcee-9086-11eb-a986-069e4f790264" xr:uid="{A60318A9-3C58-41AB-8A73-D6DEC120A1B9}"/>
    <hyperlink ref="D98" r:id="rId95" location="Opportunities/77dd24ea-4a8e-11e9-9dc0-069e4f790264" tooltip="TIM Celular S.A. 05N 20D" display="https://in1.sugarondemand.com/ - Opportunities/77dd24ea-4a8e-11e9-9dc0-069e4f790264" xr:uid="{E6C70ACB-51CF-4719-92B7-13B88B43E7E5}"/>
    <hyperlink ref="D99" r:id="rId96" location="Opportunities/f12e5642-af06-11ea-96c7-069e4f790264" tooltip="A10 - Tim - Data Robot" display="https://in1.sugarondemand.com/ - Opportunities/f12e5642-af06-11ea-96c7-069e4f790264" xr:uid="{C4E53520-FD9C-45D9-9A43-D68E23FD1D6E}"/>
    <hyperlink ref="D100" r:id="rId97" location="Opportunities/eaafc846-2470-11ed-b78a-02b0ee514bc7" tooltip="TIM Celular - Renovação e Ampliação VizLib e AnyChart" display="https://in1.sugarondemand.com/ - Opportunities/eaafc846-2470-11ed-b78a-02b0ee514bc7" xr:uid="{B6180A28-CB17-4C89-A76F-007FFDE7060C}"/>
    <hyperlink ref="D101" r:id="rId98" location="Opportunities/dec1cc0c-7e40-11e9-9ec1-02ae981fbade" tooltip="A10 - TIM Celular - Consultoria Accenture" display="https://in1.sugarondemand.com/ - Opportunities/dec1cc0c-7e40-11e9-9ec1-02ae981fbade" xr:uid="{3547E6FF-4D04-4225-8939-E98E1B034B75}"/>
    <hyperlink ref="D102" r:id="rId99" location="Opportunities/c87f026c-f418-11ea-8c60-02ae981fbade" tooltip="TIM Celular - VizLib" display="https://in1.sugarondemand.com/ - Opportunities/c87f026c-f418-11ea-8c60-02ae981fbade" xr:uid="{A30A738B-991F-4078-BBE7-51D66A0A60C0}"/>
    <hyperlink ref="D103" r:id="rId100" location="Opportunities/b76e0fec-1f5b-11e9-aa28-069e4f790264" display="https://in1.sugarondemand.com/ - Opportunities/b76e0fec-1f5b-11e9-aa28-069e4f790264" xr:uid="{D717A0DB-70CC-4079-A1EB-EE56EAF5028A}"/>
    <hyperlink ref="D104" r:id="rId101" location="Opportunities/a92bad6e-e50c-11e9-b4b4-02ae981fbade" display="https://in1.sugarondemand.com/ - Opportunities/a92bad6e-e50c-11e9-b4b4-02ae981fbade" xr:uid="{B01DF630-1258-4DD1-831E-064F8237AC3C}"/>
    <hyperlink ref="D105" r:id="rId102" location="Opportunities/a7c4a190-f854-11ea-96f3-0630baf9dcb8" display="https://in1.sugarondemand.com/ - Opportunities/a7c4a190-f854-11ea-96f3-0630baf9dcb8" xr:uid="{AEBA9398-D7F6-42CC-9E0B-82ED6A3B3198}"/>
    <hyperlink ref="D106" r:id="rId103" location="Opportunities/9cfe6126-0995-11ec-a53b-022c40d974e6" display="https://in1.sugarondemand.com/ - Opportunities/9cfe6126-0995-11ec-a53b-022c40d974e6" xr:uid="{790F8E70-40AB-4677-B206-1FE44EDA1C61}"/>
    <hyperlink ref="D107" r:id="rId104" location="Opportunities/9c85f9ba-09b9-11ec-a239-022c40d974e6" tooltip="TIM Celular - DataRobot" display="https://in1.sugarondemand.com/ - Opportunities/9c85f9ba-09b9-11ec-a239-022c40d974e6" xr:uid="{BC0F23BD-AE8A-4245-BAC3-CD3EE7875637}"/>
    <hyperlink ref="D108" r:id="rId105" location="Opportunities/9a761e9e-0c41-11ed-b700-02b0ee514bc7" display="https://in1.sugarondemand.com/ - Opportunities/9a761e9e-0c41-11ed-b700-02b0ee514bc7" xr:uid="{1E0C547B-A874-4696-B50E-F394E335C138}"/>
    <hyperlink ref="D109" r:id="rId106" location="Opportunities/91222d18-05cd-11ec-a123-02ae981fbade" display="https://in1.sugarondemand.com/ - Opportunities/91222d18-05cd-11ec-a123-02ae981fbade" xr:uid="{9184B488-AD53-4C32-ACF8-3550AF42495B}"/>
    <hyperlink ref="D110" r:id="rId107" location="Opportunities/910b6126-e50b-11e9-abc6-069e4f790264" tooltip="TIM - AnyChart" display="https://in1.sugarondemand.com/ - Opportunities/910b6126-e50b-11e9-abc6-069e4f790264" xr:uid="{989359E3-B703-4400-84DF-CC46C3747EBD}"/>
    <hyperlink ref="D111" r:id="rId108" location="Opportunities/7c633836-b45e-11ed-8dd4-06141b6603a5" tooltip="TIM Celular - Gestão de Capex" display="https://in1.sugarondemand.com/ - Opportunities/7c633836-b45e-11ed-8dd4-06141b6603a5" xr:uid="{5C770446-D73F-4C99-A6B6-873ED9F83172}"/>
    <hyperlink ref="D112" r:id="rId109" location="Opportunities/720cb8ae-a22e-11ed-99a8-0630baf9dcb8" tooltip="TIM - Expand Nprinting - SMB to Server" display="https://in1.sugarondemand.com/ - Opportunities/720cb8ae-a22e-11ed-99a8-0630baf9dcb8" xr:uid="{8A9A03DE-39B8-4C9F-8BC3-B84BDD22FB54}"/>
    <hyperlink ref="D113" r:id="rId110" location="Opportunities/65e75c22-a449-11ea-8565-022c40d974e6" tooltip="TIM Celular - Sistemas Gestão de Capex - WS2432847858" display="https://in1.sugarondemand.com/ - Opportunities/65e75c22-a449-11ea-8565-022c40d974e6" xr:uid="{22A12344-800D-4936-B115-A591E380C4D3}"/>
    <hyperlink ref="D114" r:id="rId111" location="Opportunities/5ce9b884-f41e-11ea-a849-02ae981fbade" tooltip="TIM Celular - AnyChart" display="https://in1.sugarondemand.com/ - Opportunities/5ce9b884-f41e-11ea-a849-02ae981fbade" xr:uid="{3113282C-6536-4312-9975-941D4F581FF3}"/>
    <hyperlink ref="D115" r:id="rId112" location="Opportunities/420fd792-050b-11ec-b6aa-069e4f790264" tooltip="TIM Celular - Renovação Xviz" display="https://in1.sugarondemand.com/ - Opportunities/420fd792-050b-11ec-b6aa-069e4f790264" xr:uid="{801942B5-3F6A-4939-B447-65259294454A}"/>
    <hyperlink ref="D116" r:id="rId113" location="Opportunities/1120f3e6-80e5-11eb-b72b-0630baf9dcb8" tooltip="TIM -RFP DesEnvolvimento e Operação Portais Governança 2021" display="https://in1.sugarondemand.com/ - Opportunities/1120f3e6-80e5-11eb-b72b-0630baf9dcb8" xr:uid="{ACD4B2ED-3824-4391-A01A-50F18F2DCFE4}"/>
    <hyperlink ref="D23" r:id="rId114" location="Opportunities/3853a62e-6f81-11ee-81c1-02b0ee514bc7" display="https://in1.sugarondemand.com/ - Opportunities/3853a62e-6f81-11ee-81c1-02b0ee514bc7" xr:uid="{286D3AAF-723C-471E-A79A-AA7CC0971C40}"/>
    <hyperlink ref="D117" r:id="rId115" location="Opportunities/cd2f5ea4-f9a2-11e9-b048-022c40d974e6" tooltip="Renovação 2019 - ALD Automotive" display="https://in1.sugarondemand.com/ - Opportunities/cd2f5ea4-f9a2-11e9-b048-022c40d974e6" xr:uid="{A85BBD14-3145-43D0-80F3-B0CC22F50417}"/>
    <hyperlink ref="D118" r:id="rId116" location="Opportunities/b93b3034-9aca-11ea-86c8-02ae981fbade" display="https://in1.sugarondemand.com/ - Opportunities/b93b3034-9aca-11ea-86c8-02ae981fbade" xr:uid="{8B56468F-115A-4F36-9F54-9071DDF9EA4A}"/>
    <hyperlink ref="D119" r:id="rId117" location="Opportunities/5d6e4a16-0a5e-11ec-b5d3-02ae981fbade" display="https://in1.sugarondemand.com/ - Opportunities/5d6e4a16-0a5e-11ec-b5d3-02ae981fbade" xr:uid="{EB892D4F-889E-4476-B20D-C159C9E64D23}"/>
    <hyperlink ref="D120" r:id="rId118" location="Opportunities/12bede1e-09de-11e9-b68a-069e4f790264" tooltip="RENOVAÇÃO 2017 - ALD Automotive" display="https://in1.sugarondemand.com/ - Opportunities/12bede1e-09de-11e9-b68a-069e4f790264" xr:uid="{11F57311-AFDE-49C8-951D-E5E18D8297D1}"/>
    <hyperlink ref="D121" r:id="rId119" location="Opportunities/12a83060-09de-11e9-9654-069e4f790264" tooltip="RENOVAÇÃO 2016 - ALD Automotive" display="https://in1.sugarondemand.com/ - Opportunities/12a83060-09de-11e9-9654-069e4f790264" xr:uid="{84972A99-620C-4C6D-9D81-0F1B83DD6BD4}"/>
    <hyperlink ref="D122" r:id="rId120" location="Opportunities/128e370a-09de-11e9-9ffd-069e4f790264" tooltip="RENOVAÇÃO 2018 - ALD Automotive" display="https://in1.sugarondemand.com/ - Opportunities/128e370a-09de-11e9-9ffd-069e4f790264" xr:uid="{B97B9FAB-9760-4965-A890-084716078680}"/>
    <hyperlink ref="D123" r:id="rId121" location="Opportunities/b19444d4-1fdc-11e9-94c8-022c40d974e6" tooltip="ALD Automotive S.A 01SBE 05N 20D" display="https://in1.sugarondemand.com/ - Opportunities/b19444d4-1fdc-11e9-94c8-022c40d974e6" xr:uid="{8244D2F5-EDDD-43F9-8AD9-4EBA021493EA}"/>
    <hyperlink ref="D124" r:id="rId122" location="Opportunities/7a6265f4-4a8e-11e9-ad28-069e4f790264" tooltip="Ald Aurtomotive - Expand - 3 QSA" display="https://in1.sugarondemand.com/ - Opportunities/7a6265f4-4a8e-11e9-ad28-069e4f790264" xr:uid="{48A04A94-550D-42BC-A6BB-079A03FB01EB}"/>
    <hyperlink ref="D125" r:id="rId123" location="Opportunities/7a065048-4a8e-11e9-b701-069e4f790264" tooltip="Ald Automotive - Expand - Nprinting" display="https://in1.sugarondemand.com/ - Opportunities/7a065048-4a8e-11e9-b701-069e4f790264" xr:uid="{56BC5788-043C-48F8-8C16-2F1E6ADE0C7E}"/>
    <hyperlink ref="D126" r:id="rId124" location="Opportunities/bd8130dc-ec2c-11e9-a30a-02ae981fbade" tooltip="ALD - Treinamento Qlik Sense Developer - Modulo I" display="https://in1.sugarondemand.com/ - Opportunities/bd8130dc-ec2c-11e9-a30a-02ae981fbade" xr:uid="{F4D4EF41-BBA2-4518-8BDA-7B042A33E017}"/>
    <hyperlink ref="D127" r:id="rId125" location="Opportunities/8304c224-1663-11e9-8150-022c40d974e6" tooltip="ALD Automotive Treinamento QlikSense Developer" display="https://in1.sugarondemand.com/ - Opportunities/8304c224-1663-11e9-8150-022c40d974e6" xr:uid="{F7F9CF5B-BE19-47FF-BBEE-FF5601C71EA6}"/>
    <hyperlink ref="D128" r:id="rId126" location="Opportunities/5a9d465e-f97e-11e9-99d3-022c40d974e6" tooltip="ALD - Treinamento Qlik Sense Server" display="https://in1.sugarondemand.com/ - Opportunities/5a9d465e-f97e-11e9-99d3-022c40d974e6" xr:uid="{40492060-BE0D-46D3-8B83-5D753A6E2679}"/>
    <hyperlink ref="D129" r:id="rId127" location="Opportunities/f44a59b6-9e9a-11ee-96ab-6f127876e7e2" tooltip="ALD AUTOMOTIVE - ALOCAÇÃO 2024" display="https://in1.sugarondemand.com/ - Opportunities/f44a59b6-9e9a-11ee-96ab-6f127876e7e2" xr:uid="{6A1E0403-AA7E-430A-A352-1B2CA08D1ADD}"/>
    <hyperlink ref="D130" r:id="rId128" location="Opportunities/cb2be902-06d2-11ed-bd44-02ae981fbade" display="https://in1.sugarondemand.com/ - Opportunities/cb2be902-06d2-11ed-bd44-02ae981fbade" xr:uid="{F644E3F9-3F9E-4CFA-BB02-406C2A69AE29}"/>
    <hyperlink ref="D131" r:id="rId129" location="Opportunities/88a193e2-a877-11ed-853e-022c40d974e6" tooltip="A10 - ALD  - BANCO DE HORAS" display="https://in1.sugarondemand.com/ - Opportunities/88a193e2-a877-11ed-853e-022c40d974e6" xr:uid="{7FE10C82-DD92-4936-824D-CC068D44B108}"/>
    <hyperlink ref="D132" r:id="rId130" location="Opportunities/7ad66bf2-4a8e-11e9-98b0-069e4f790264" tooltip="A10 - ALD Automotive - Consultoria Qlik" display="https://in1.sugarondemand.com/ - Opportunities/7ad66bf2-4a8e-11e9-98b0-069e4f790264" xr:uid="{F992D52C-F4C4-45CC-AA5C-28A9DE227360}"/>
    <hyperlink ref="D133" r:id="rId131" location="Opportunities/788b8580-1fd2-11e9-b311-022c40d974e6" tooltip="ALD Consultoria Especializada Qlik (Business Review)" display="https://in1.sugarondemand.com/ - Opportunities/788b8580-1fd2-11e9-b311-022c40d974e6" xr:uid="{1EE50EC7-63ED-41EB-940B-D18C145895EE}"/>
    <hyperlink ref="D134" r:id="rId132" location="Opportunities/6048c21a-1b29-11ee-9bba-069e4f790264" tooltip="ALD - A10 - CONSULTORIA - NEGOCIOS/MERCADO" display="https://in1.sugarondemand.com/ - Opportunities/6048c21a-1b29-11ee-9bba-069e4f790264" xr:uid="{9EDDE297-D29A-436D-87C7-C402DA8C5194}"/>
    <hyperlink ref="D135" r:id="rId133" location="Opportunities/34e246c4-3629-11eb-8deb-069e4f790264" tooltip="A10 - ALD - SERVIÇOS A10" display="https://in1.sugarondemand.com/ - Opportunities/34e246c4-3629-11eb-8deb-069e4f790264" xr:uid="{31390C02-1850-4DE2-9D4B-F64BB05BF059}"/>
    <hyperlink ref="D136" r:id="rId134" location="Opportunities/1301452e-91bf-11e9-9b4b-0630baf9dcb8" tooltip="ALD Consultoria Especializada PowerBI" display="https://in1.sugarondemand.com/ - Opportunities/1301452e-91bf-11e9-9b4b-0630baf9dcb8" xr:uid="{E04120CB-2F83-4196-8C2E-CAD5A488E313}"/>
    <hyperlink ref="D137" r:id="rId135" location="Opportunities/7e14d630-9b54-11ed-9550-069e4f790264" tooltip="RENOVAÇÃO PYPLAN 2025 - VCI VANGUARD CONFECÇÕES (ARAMIS)" display="https://in1.sugarondemand.com/ - Opportunities/7e14d630-9b54-11ed-9550-069e4f790264" xr:uid="{CE5E6B6C-EFBE-4188-9EAD-A51862ED8546}"/>
    <hyperlink ref="D138" r:id="rId136" location="Opportunities/d66614f2-0076-11ee-880c-022c40d974e6" tooltip="A10 - ARAMIS - ALTERYX DESIGNER CLOUD" display="https://in1.sugarondemand.com/ - Opportunities/d66614f2-0076-11ee-880c-022c40d974e6" xr:uid="{76172B70-13D3-49AB-BA81-9D82B7121518}"/>
    <hyperlink ref="D139" r:id="rId137" location="Opportunities/b9a48932-f562-11eb-9765-0630baf9dcb8" display="https://in1.sugarondemand.com/ - Opportunities/b9a48932-f562-11eb-9765-0630baf9dcb8" xr:uid="{DA935117-4E68-4FC6-8F8A-D9CAE55B3158}"/>
    <hyperlink ref="D140" r:id="rId138" location="Opportunities/b6347100-9a96-11ee-8513-b55bbd72bcba" display="https://in1.sugarondemand.com/ - Opportunities/b6347100-9a96-11ee-8513-b55bbd72bcba" xr:uid="{D23501D9-AF6D-4AA0-B3AE-B668EE3E9984}"/>
    <hyperlink ref="D141" r:id="rId139" location="Opportunities/b59e1456-055b-11ee-b535-02b0ee514bc7" tooltip="A10 - ARAMIS - QDI" display="https://in1.sugarondemand.com/ - Opportunities/b59e1456-055b-11ee-b535-02b0ee514bc7" xr:uid="{60C1A0B8-66A5-4EA4-B4F7-0CCFB634D090}"/>
    <hyperlink ref="D142" r:id="rId140" location="Opportunities/6f4cfc24-6848-11ee-931d-0630baf9dcb8" tooltip="A10 - ARAMIS - FIVETRAN" display="https://in1.sugarondemand.com/ - Opportunities/6f4cfc24-6848-11ee-931d-0630baf9dcb8" xr:uid="{2B836D44-AD77-4040-A64B-9657269A0F8D}"/>
    <hyperlink ref="D143" r:id="rId141" location="Opportunities/5e4c7e8c-d95e-11ed-8ca1-02ae981fbade" tooltip="A10 - ARAMIS - BANCO DE HORAS" display="https://in1.sugarondemand.com/ - Opportunities/5e4c7e8c-d95e-11ed-8ca1-02ae981fbade" xr:uid="{7FD7C95A-F393-406A-ACD2-BF591B8D6DCC}"/>
    <hyperlink ref="D144" r:id="rId142" location="Opportunities/5051b712-d1c3-11ee-86a4-0630baf9dcb8" tooltip="A10 - ARAMIS - POWERBI" display="https://in1.sugarondemand.com/ - Opportunities/5051b712-d1c3-11ee-86a4-0630baf9dcb8" xr:uid="{A9CC04BE-5235-48DF-AC2F-FE8A54463588}"/>
    <hyperlink ref="D145" r:id="rId143" location="Opportunities/4b795542-7091-11eb-b5a4-02ae981fbade" tooltip="Aramis - Pyplan (4Y)" display="https://in1.sugarondemand.com/ - Opportunities/4b795542-7091-11eb-b5a4-02ae981fbade" xr:uid="{0F416082-DE62-4995-A796-FFE3BBF31E1F}"/>
    <hyperlink ref="D146" r:id="rId144" location="Opportunities/45f00138-e502-11ed-9623-02ae981fbade" tooltip="Snowflake Aramis" display="https://in1.sugarondemand.com/ - Opportunities/45f00138-e502-11ed-9623-02ae981fbade" xr:uid="{2E13644B-696F-48D3-B2B1-369E65E38F14}"/>
    <hyperlink ref="D147" r:id="rId145" location="Opportunities/4060c314-f8b3-11ed-9489-02ae981fbade" tooltip="A10 - ARAMIS - SNOWFLAKE" display="https://in1.sugarondemand.com/ - Opportunities/4060c314-f8b3-11ed-9489-02ae981fbade" xr:uid="{67BEE274-1427-43E7-BED4-F7A5F59C9CEF}"/>
    <hyperlink ref="D148" r:id="rId146" location="Opportunities/0598aa52-c2f6-11eb-9410-02ae981fbade" tooltip="Consultor QlikSense Senior - Aramis" display="https://in1.sugarondemand.com/ - Opportunities/0598aa52-c2f6-11eb-9410-02ae981fbade" xr:uid="{858B9BA2-4B0F-42B9-9DA1-D66F066D4879}"/>
    <hyperlink ref="D149" r:id="rId147" location="Opportunities/f4e78b58-4824-11ea-a0df-0630baf9dcb8" display="https://in1.sugarondemand.com/ - Opportunities/f4e78b58-4824-11ea-a0df-0630baf9dcb8" xr:uid="{276E0EF2-A85B-4DFE-8B7C-A3F47961F152}"/>
    <hyperlink ref="D150" r:id="rId148" location="Opportunities/d15220aa-e12d-11ec-a8da-022c40d974e6" tooltip="RENOVAÇÃO SUBSCRIÇÃO QLIK 2025 - DISTRIBUIDORA DE MEDICAMENTOS SANTA CRUZ" display="https://in1.sugarondemand.com/ - Opportunities/d15220aa-e12d-11ec-a8da-022c40d974e6" xr:uid="{6EDA9669-3692-4A0F-8400-4497217D05F0}"/>
    <hyperlink ref="D151" r:id="rId149" location="Opportunities/b99606e2-7764-11ee-953c-06397e66b9cd" tooltip="RENOVAÇÃO SUBSCRIÇÃO 2026 - SANTA CRUZ - Portal da Indústria - Expand Licenças QLIK (COSELL)" display="https://in1.sugarondemand.com/ - Opportunities/b99606e2-7764-11ee-953c-06397e66b9cd" xr:uid="{AFC51D73-C164-4D41-B264-73590CC9B6A2}"/>
    <hyperlink ref="D152" r:id="rId150" location="Opportunities/8e5dedcc-0f2b-11eb-8b46-0630baf9dcb8" tooltip="RENOVAÇÃO 2021 - DISTRIBUIDORA DE MEDICAMENTOS SANTA CRUZ" display="https://in1.sugarondemand.com/ - Opportunities/8e5dedcc-0f2b-11eb-8b46-0630baf9dcb8" xr:uid="{29017118-891A-4014-80DD-5D86342C5330}"/>
    <hyperlink ref="D153" r:id="rId151" location="Opportunities/83c4bbe2-4a8e-11e9-a47a-069e4f790264" display="https://in1.sugarondemand.com/ - Opportunities/83c4bbe2-4a8e-11e9-a47a-069e4f790264" xr:uid="{F840661A-E7C9-441F-BBB7-59B99985443C}"/>
    <hyperlink ref="D154" r:id="rId152" location="Opportunities/2f6cec6e-a210-11eb-b018-02ae981fbade" display="https://in1.sugarondemand.com/ - Opportunities/2f6cec6e-a210-11eb-b018-02ae981fbade" xr:uid="{BA5700B8-8288-4F03-810E-57BE05DED904}"/>
    <hyperlink ref="D155" r:id="rId153" location="Opportunities/2474afb2-0a01-11e9-9045-022c40d974e6" tooltip="RENOVAÇÃO 2017 - DISTRIBUIDORA DE MEDICAMENTOS SANTA CRUZ" display="https://in1.sugarondemand.com/ - Opportunities/2474afb2-0a01-11e9-9045-022c40d974e6" xr:uid="{BD47481D-0EB1-4E42-9685-F49DEBBE0E99}"/>
    <hyperlink ref="D156" r:id="rId154" location="Opportunities/f77dc878-1526-11ee-b96e-0630baf9dcb8" display="https://in1.sugarondemand.com/ - Opportunities/f77dc878-1526-11ee-b96e-0630baf9dcb8" xr:uid="{4DAED224-F222-4F58-A710-C6E623D4F224}"/>
    <hyperlink ref="D157" r:id="rId155" location="Opportunities/e71c33ee-9ed6-11ea-8280-02ae981fbade" display="https://in1.sugarondemand.com/ - Opportunities/e71c33ee-9ed6-11ea-8280-02ae981fbade" xr:uid="{825DAAD7-DF01-4ABE-A316-74A7182FFF1D}"/>
    <hyperlink ref="D158" r:id="rId156" location="Opportunities/966889d6-1663-11e9-ab6b-022c40d974e6" display="https://in1.sugarondemand.com/ - Opportunities/966889d6-1663-11e9-ab6b-022c40d974e6" xr:uid="{2375E330-DCA5-4652-B250-ED8479BC3FC2}"/>
    <hyperlink ref="D159" r:id="rId157" location="Opportunities/73757506-1fd2-11e9-8e22-022c40d974e6" tooltip="DISTRIBUIDORA DE MEDICAMENTOS SANTA CRUZ - Expand - Publish" display="https://in1.sugarondemand.com/ - Opportunities/73757506-1fd2-11e9-8e22-022c40d974e6" xr:uid="{CD692D99-C1F7-4EE7-8B19-A7D301AFB8BE}"/>
    <hyperlink ref="D160" r:id="rId158" location="Opportunities/b3142d32-4bc6-11ed-88dc-02ae981fbade" display="https://in1.sugarondemand.com/ - Opportunities/b3142d32-4bc6-11ed-88dc-02ae981fbade" xr:uid="{D8C9B460-A77A-47CE-A81F-4B324D673B74}"/>
    <hyperlink ref="D161" r:id="rId159" location="Opportunities/a7606dda-1663-11e9-8cf3-02ae981fbade" display="https://in1.sugarondemand.com/ - Opportunities/a7606dda-1663-11e9-8cf3-02ae981fbade" xr:uid="{E0074884-7A90-4B11-A4B5-0C4D2F37B9CB}"/>
    <hyperlink ref="D162" r:id="rId160" location="Opportunities/fe2deeb0-bdb9-11ed-bf0c-02ae981fbade" display="https://in1.sugarondemand.com/ - Opportunities/fe2deeb0-bdb9-11ed-bf0c-02ae981fbade" xr:uid="{698C7F06-2E7E-4BB0-9528-5ACCFF9D79FE}"/>
    <hyperlink ref="D163" r:id="rId161" location="Opportunities/fdd40996-a94b-11ec-93b4-0630baf9dcb8" tooltip="A10 - GRUPO SANTA CRUZ - FRAMEWORK - IMERSÃO ARQUITETURA DE DADOS" display="https://in1.sugarondemand.com/ - Opportunities/fdd40996-a94b-11ec-93b4-0630baf9dcb8" xr:uid="{37D30777-1E7F-4120-AA39-C0BDE8DCBE04}"/>
    <hyperlink ref="D164" r:id="rId162" location="Opportunities/fa5ad7b2-8903-11ec-ac74-06141b6603a5" display="https://in1.sugarondemand.com/ - Opportunities/fa5ad7b2-8903-11ec-ac74-06141b6603a5" xr:uid="{5389E3F8-6D33-4C54-ADDD-CFF2202BB879}"/>
    <hyperlink ref="D165" r:id="rId163" location="Opportunities/d46263da-45dc-11ee-8a44-02b0ee514bc7" tooltip="A10 - SANTA CRUZ - DATA SQUAD" display="https://in1.sugarondemand.com/ - Opportunities/d46263da-45dc-11ee-8a44-02b0ee514bc7" xr:uid="{30487518-7AED-4AE7-B47B-753F2CC8CC74}"/>
    <hyperlink ref="D166" r:id="rId164" location="Opportunities/9643c240-1663-11e9-8565-022c40d974e6" tooltip="A10 - DISTRIBUIDORA DE MEDICAMENTOS SANTA CRUZ - Consultoria Projeto QlikView (3 meses)" display="https://in1.sugarondemand.com/ - Opportunities/9643c240-1663-11e9-8565-022c40d974e6" xr:uid="{7DFA3C4D-4705-4686-B408-FC4AD09BDDBD}"/>
    <hyperlink ref="D167" r:id="rId165" location="Opportunities/96219008-1663-11e9-9af5-022c40d974e6" tooltip="A10 - DISTRIBUIDORA DE MEDICAMENTOS SANTA CRUZ - Consultoria Projeto QlikView ( 1 Mès )" display="https://in1.sugarondemand.com/ - Opportunities/96219008-1663-11e9-9af5-022c40d974e6" xr:uid="{404E1932-B130-490D-B11E-7F7E7E561EF0}"/>
    <hyperlink ref="D168" r:id="rId166" location="Opportunities/8e51666e-1663-11e9-9e39-022c40d974e6" display="https://in1.sugarondemand.com/ - Opportunities/8e51666e-1663-11e9-9e39-022c40d974e6" xr:uid="{8D1E279F-3B11-4431-95E9-B9C6EEC35305}"/>
    <hyperlink ref="D169" r:id="rId167" location="Opportunities/853a264a-7b99-11eb-8090-022c40d974e6" tooltip="A10 - SANTA CRUZ - SERVIÇOS AUTOMATION" display="https://in1.sugarondemand.com/ - Opportunities/853a264a-7b99-11eb-8090-022c40d974e6" xr:uid="{7BBFF955-7C14-421E-8632-E6B1EB3BDA33}"/>
    <hyperlink ref="D170" r:id="rId168" location="Opportunities/7f7877fe-8dbb-11ec-92d4-022c40d974e6" display="https://in1.sugarondemand.com/ - Opportunities/7f7877fe-8dbb-11ec-92d4-022c40d974e6" xr:uid="{D65F65E0-EDF7-4908-82CE-269B068E0D6C}"/>
    <hyperlink ref="D171" r:id="rId169" location="Opportunities/72834d88-555e-11ed-8ba3-0630baf9dcb8" display="https://in1.sugarondemand.com/ - Opportunities/72834d88-555e-11ed-8ba3-0630baf9dcb8" xr:uid="{5C779CC0-648B-40AB-9E36-D5CF15972997}"/>
    <hyperlink ref="D172" r:id="rId170" location="Opportunities/575ec492-c5e2-11ee-beca-06397e66b9cd" display="https://in1.sugarondemand.com/ - Opportunities/575ec492-c5e2-11ee-beca-06397e66b9cd" xr:uid="{5FE47A31-67C7-4D97-B51B-A00F392BF7F4}"/>
    <hyperlink ref="D173" r:id="rId171" location="Opportunities/3d4ef32e-7001-11e9-a8e5-0630baf9dcb8" display="https://in1.sugarondemand.com/ - Opportunities/3d4ef32e-7001-11e9-a8e5-0630baf9dcb8" xr:uid="{1554D49A-23C4-43E2-AE84-276729B0E405}"/>
    <hyperlink ref="D174" r:id="rId172" location="Opportunities/3bfe289e-6469-11ee-892b-02b0ee514bc7" display="https://in1.sugarondemand.com/ - Opportunities/3bfe289e-6469-11ee-892b-02b0ee514bc7" xr:uid="{7A3B10FA-B226-4EA2-8F0B-99DAE6E96AA6}"/>
    <hyperlink ref="D175" r:id="rId173" location="Opportunities/3a2a7d72-77a0-11ec-a816-02b0ee514bc7" tooltip="IN - GRUPO SANTA CRUZ  - EXPAND QLIK" display="https://in1.sugarondemand.com/ - Opportunities/3a2a7d72-77a0-11ec-a816-02b0ee514bc7" xr:uid="{31B892C2-4B2D-42EB-93C3-924E533252B0}"/>
    <hyperlink ref="D176" r:id="rId174" location="Opportunities/292b2732-89d0-11ec-9864-022c40d974e6" display="https://in1.sugarondemand.com/ - Opportunities/292b2732-89d0-11ec-9864-022c40d974e6" xr:uid="{6D74C380-52AA-4C85-89F4-8E05D56F3BD1}"/>
    <hyperlink ref="D177" r:id="rId175" location="Opportunities/26f5c156-14fd-11ea-bcc7-069e4f790264" display="https://in1.sugarondemand.com/ - Opportunities/26f5c156-14fd-11ea-bcc7-069e4f790264" xr:uid="{7A1C1A64-C322-4063-A798-DCEE327AFCDA}"/>
    <hyperlink ref="D178" r:id="rId176" location="Opportunities/0800a510-5cbe-11ee-816a-06141b6603a5" tooltip="A10 - SANTA CRUZ - PORTAL DA INDUSTRIA - EXPAND QLIK 2" display="https://in1.sugarondemand.com/ - Opportunities/0800a510-5cbe-11ee-816a-06141b6603a5" xr:uid="{D6EAFC5B-B38A-40B8-B6E1-BBA7C77532E2}"/>
    <hyperlink ref="D179" r:id="rId177" location="Opportunities/020b4348-e08b-11ea-99c0-022c40d974e6" tooltip="A10 - SANTA CRUZ - MIGRAÇÃO QLIKVIEW" display="https://in1.sugarondemand.com/ - Opportunities/020b4348-e08b-11ea-99c0-022c40d974e6" xr:uid="{5AAEBABD-E9FA-4DC4-86FC-82CCB7DFDDDD}"/>
    <hyperlink ref="D180" r:id="rId178" location="Opportunities/0608eb5a-7cd0-11ee-9d81-0630baf9dcb8" tooltip="SMC AUTOMACAO DO BRASIL - Contrato NPrinting (17 meses)" display="https://in1.sugarondemand.com/ - Opportunities/0608eb5a-7cd0-11ee-9d81-0630baf9dcb8" xr:uid="{6F68259F-1DE9-47CB-9E52-23AE7580EC34}"/>
    <hyperlink ref="D181" r:id="rId179" location="Opportunities/22eb05ec-d4c2-11e9-a780-069e4f790264" tooltip="SMC - Treinamento Qlik Sense" display="https://in1.sugarondemand.com/ - Opportunities/22eb05ec-d4c2-11e9-a780-069e4f790264" xr:uid="{8626E590-10CD-46DD-8200-54BD5E7E992C}"/>
    <hyperlink ref="D182" r:id="rId180" location="Opportunities/c68cf8d6-2079-11ec-8108-02ae981fbade" display="https://in1.sugarondemand.com/ - Opportunities/c68cf8d6-2079-11ec-8108-02ae981fbade" xr:uid="{F2E7996D-ABDA-4427-AEA8-75760BDB70C6}"/>
    <hyperlink ref="D183" r:id="rId181" location="Opportunities/9b04f48c-b276-11eb-9aea-069e4f790264" tooltip="A10 School - Treinamento QS Mashup do Básico ao Avançado - SMC" display="https://in1.sugarondemand.com/ - Opportunities/9b04f48c-b276-11eb-9aea-069e4f790264" xr:uid="{0F45F040-3EDF-4A7E-B1CA-FE2560F41180}"/>
    <hyperlink ref="D184" r:id="rId182" location="Opportunities/f31c9cea-1304-11eb-9a21-022c40d974e6" display="https://in1.sugarondemand.com/ - Opportunities/f31c9cea-1304-11eb-9a21-022c40d974e6" xr:uid="{7A9F0E22-617A-4561-A223-3EF1E45A8F02}"/>
    <hyperlink ref="D185" r:id="rId183" location="Opportunities/f28d8736-628a-11ec-a788-069e4f790264" display="https://in1.sugarondemand.com/ - Opportunities/f28d8736-628a-11ec-a788-069e4f790264" xr:uid="{AFFC116E-A0D5-41CD-963D-9EAFB9D57BB4}"/>
    <hyperlink ref="D186" r:id="rId184" location="Opportunities/d7f5a698-afdf-11ee-ad45-06141b6603a5" display="https://in1.sugarondemand.com/ - Opportunities/d7f5a698-afdf-11ee-ad45-06141b6603a5" xr:uid="{EEF1D2DE-B2D0-4EAF-A79B-364AA13E8F26}"/>
    <hyperlink ref="D187" r:id="rId185" location="Opportunities/6a8ccf98-9aac-11ee-909e-1be42c39ba4e" display="https://in1.sugarondemand.com/ - Opportunities/6a8ccf98-9aac-11ee-909e-1be42c39ba4e" xr:uid="{9B7C3B88-3042-4A5B-B306-3C7753540CBD}"/>
    <hyperlink ref="D188" r:id="rId186" location="Opportunities/5f834118-cf37-11ed-86b9-02ae981fbade" display="https://in1.sugarondemand.com/ - Opportunities/5f834118-cf37-11ed-86b9-02ae981fbade" xr:uid="{B7C1B4CC-EE36-405E-BED3-9C806960F1DF}"/>
    <hyperlink ref="D189" r:id="rId187" location="Opportunities/5939fe6e-0acd-11ea-8385-022c40d974e6" tooltip="A10 - SMC - Consultoria Analytics" display="https://in1.sugarondemand.com/ - Opportunities/5939fe6e-0acd-11ea-8385-022c40d974e6" xr:uid="{F514585F-771F-404D-9114-BFD50330F46C}"/>
    <hyperlink ref="D190" r:id="rId188" location="Opportunities/3f4b1f18-b811-11eb-b39d-022c40d974e6" display="https://in1.sugarondemand.com/ - Opportunities/3f4b1f18-b811-11eb-b39d-022c40d974e6" xr:uid="{DEB4471A-415E-403E-94B8-5EEAC0589594}"/>
    <hyperlink ref="D191" r:id="rId189" location="Opportunities/2d776e6e-101f-11ee-9006-06141b6603a5" display="https://in1.sugarondemand.com/ - Opportunities/2d776e6e-101f-11ee-9006-06141b6603a5" xr:uid="{C88ECED9-F2BB-48F2-8226-0C75E8F974BC}"/>
    <hyperlink ref="D192" r:id="rId190" location="Opportunities/83becee0-a5a0-11ee-9992-f33bbe27e57e" tooltip="RENOVAÇÃO DATAROBOT 2025 - TOKIO MARINE" display="https://in1.sugarondemand.com/ - Opportunities/83becee0-a5a0-11ee-9992-f33bbe27e57e" xr:uid="{BB9AE381-A07B-4A68-A2EF-D03D7944980B}"/>
    <hyperlink ref="D193" r:id="rId191" location="Opportunities/4a1ff2a6-9b4f-11ed-ac03-02ae981fbade" display="https://in1.sugarondemand.com/ - Opportunities/4a1ff2a6-9b4f-11ed-ac03-02ae981fbade" xr:uid="{3E5AA1A2-0225-45F3-BD94-29EFE02662A6}"/>
    <hyperlink ref="D194" r:id="rId192" location="Opportunities/f723d4c6-e9a9-11eb-9db0-069e4f790264" display="https://in1.sugarondemand.com/ - Opportunities/f723d4c6-e9a9-11eb-9db0-069e4f790264" xr:uid="{FDBF3EEA-8AFA-4603-8F69-80D8DBA68E02}"/>
    <hyperlink ref="D195" r:id="rId193" location="Opportunities/de764fa8-59e3-11ec-80f7-06141b6603a5" tooltip="Alteryx" display="https://in1.sugarondemand.com/ - Opportunities/de764fa8-59e3-11ec-80f7-06141b6603a5" xr:uid="{B5EF7122-7595-4CC3-B27A-69D5BA64E7C4}"/>
    <hyperlink ref="D196" r:id="rId194" location="Opportunities/aad2d3fa-b9c9-11ed-af8c-0630baf9dcb8" tooltip="QDI Tokio Marine" display="https://in1.sugarondemand.com/ - Opportunities/aad2d3fa-b9c9-11ed-af8c-0630baf9dcb8" xr:uid="{67C1423B-11C2-4777-BB65-B4BB6FE1C91B}"/>
    <hyperlink ref="D197" r:id="rId195" location="Opportunities/9e8b8252-a86e-11ed-a752-02b0ee514bc7" display="https://in1.sugarondemand.com/ - Opportunities/9e8b8252-a86e-11ed-a752-02b0ee514bc7" xr:uid="{A7EC9DC9-61E7-4557-B66E-F2BD81923052}"/>
    <hyperlink ref="D198" r:id="rId196" location="Opportunities/87dc4a6e-66af-11ee-ad40-06397e66b9cd" tooltip="TOKIO MARINE ALATION" display="https://in1.sugarondemand.com/ - Opportunities/87dc4a6e-66af-11ee-ad40-06397e66b9cd" xr:uid="{2D6CFB17-285F-4167-9BD8-3373AE7451EC}"/>
    <hyperlink ref="D199" r:id="rId197" location="Opportunities/4e79eb88-2569-11ed-981b-0630baf9dcb8" tooltip="Tokio DataRobot Expan. 2023 - Renovação Anual e Dob. # Modelos de AutoML" display="https://in1.sugarondemand.com/ - Opportunities/4e79eb88-2569-11ed-981b-0630baf9dcb8" xr:uid="{F0E2D99A-0D15-40D5-93E4-2DB92E62D993}"/>
    <hyperlink ref="D200" r:id="rId198" location="Opportunities/4001f8c0-6a60-11ed-a8e0-06397e66b9cd" tooltip="Snowflake Tokio Marine" display="https://in1.sugarondemand.com/ - Opportunities/4001f8c0-6a60-11ed-a8e0-06397e66b9cd" xr:uid="{52381AED-0AF6-41A1-AF67-D9D5205057A2}"/>
    <hyperlink ref="D201" r:id="rId199" location="Opportunities/086d9c82-6133-11ee-beb5-0630baf9dcb8" tooltip="TOKIO MARINE - Denodo" display="https://in1.sugarondemand.com/ - Opportunities/086d9c82-6133-11ee-beb5-0630baf9dcb8" xr:uid="{9FCF4628-140D-40C3-B5C8-024EC0B0000A}"/>
    <hyperlink ref="D202" r:id="rId200" location="Opportunities/ddacd390-9b4a-11ed-9d7b-069e4f790264" display="https://in1.sugarondemand.com/ - Opportunities/ddacd390-9b4a-11ed-9d7b-069e4f790264" xr:uid="{11724339-9B9D-437F-A26C-C55DDFC8B0AA}"/>
    <hyperlink ref="D203" r:id="rId201" location="Opportunities/93b609b4-4d53-11ec-b0e2-022c40d974e6" tooltip="RENOVAÇÃO ALTERYX 2024 - QUALICORP [RENATO FORTE]" display="https://in1.sugarondemand.com/ - Opportunities/93b609b4-4d53-11ec-b0e2-022c40d974e6" xr:uid="{83401E9C-0E76-4445-A78D-627CF8FA99D9}"/>
    <hyperlink ref="D204" r:id="rId202" location="Opportunities/624d7f6a-9b4a-11ed-b780-022c40d974e6" display="https://in1.sugarondemand.com/ - Opportunities/624d7f6a-9b4a-11ed-b780-022c40d974e6" xr:uid="{53B3E5EC-294A-4652-BDCE-1850B4E9932B}"/>
    <hyperlink ref="D205" r:id="rId203" location="Opportunities/b888d056-32a4-11ec-b181-0630baf9dcb8" tooltip="A10 - Qualicorp - Alteryx Server" display="https://in1.sugarondemand.com/ - Opportunities/b888d056-32a4-11ec-b181-0630baf9dcb8" xr:uid="{73DE546E-F085-465B-8BA1-C5326C0CDCA5}"/>
    <hyperlink ref="D206" r:id="rId204" location="Opportunities/9726dea6-dcd0-11ea-92fc-069e4f790264" display="https://in1.sugarondemand.com/ - Opportunities/9726dea6-dcd0-11ea-92fc-069e4f790264" xr:uid="{63B85685-9B1C-4C9C-8B78-EC88DF6F11F4}"/>
    <hyperlink ref="D207" r:id="rId205" location="Opportunities/94b67fd6-59d0-11ec-bfd1-02ae981fbade" display="https://in1.sugarondemand.com/ - Opportunities/94b67fd6-59d0-11ec-bfd1-02ae981fbade" xr:uid="{BCEF8A85-767E-48E6-B5BD-C7739A4D6073}"/>
    <hyperlink ref="D208" r:id="rId206" location="Opportunities/9020a5e8-618b-11eb-9ea4-069e4f790264" tooltip="A10 - Qualicorp - Riscos - 2 Designers Alteryx" display="https://in1.sugarondemand.com/ - Opportunities/9020a5e8-618b-11eb-9ea4-069e4f790264" xr:uid="{215D00C2-2903-4EAD-A4B9-AAB47D8327D4}"/>
    <hyperlink ref="D209" r:id="rId207" location="Opportunities/85cce5a8-c402-11ed-a10e-0630baf9dcb8" tooltip="QUALICORP Alteryx Server" display="https://in1.sugarondemand.com/ - Opportunities/85cce5a8-c402-11ed-a10e-0630baf9dcb8" xr:uid="{7E2039AA-8AE7-4965-BC27-3CF55DAFB656}"/>
    <hyperlink ref="D210" r:id="rId208" location="Opportunities/6b492834-300d-11ec-b058-022c40d974e6" display="https://in1.sugarondemand.com/ - Opportunities/6b492834-300d-11ec-b058-022c40d974e6" xr:uid="{FDC30339-840D-4170-9F15-04214E44EDF9}"/>
    <hyperlink ref="D211" r:id="rId209" location="Opportunities/24a72b84-e3b1-11ed-80d2-022c40d974e6" tooltip="Qualicorp - Snowflake" display="https://in1.sugarondemand.com/ - Opportunities/24a72b84-e3b1-11ed-80d2-022c40d974e6" xr:uid="{E81A2BEB-EE73-442D-96CE-CE18948ACCB0}"/>
    <hyperlink ref="D212" r:id="rId210" location="Opportunities/1fae8aa2-481d-11ee-acdc-022c40d974e6" tooltip="RFQ de 31/08/2023 1 Designer e 12 meses suporte serviço as-is" display="https://in1.sugarondemand.com/ - Opportunities/1fae8aa2-481d-11ee-acdc-022c40d974e6" xr:uid="{5DF073A1-A534-4F2E-8350-2CFBE62E4FCE}"/>
    <hyperlink ref="D213" r:id="rId211" location="Opportunities/09eb2180-6a12-11eb-a696-0630baf9dcb8" display="https://in1.sugarondemand.com/ - Opportunities/09eb2180-6a12-11eb-a696-0630baf9dcb8" xr:uid="{1C3D7F2B-2E18-438B-81B4-38A6EFF3E1E4}"/>
    <hyperlink ref="D214" r:id="rId212" location="Opportunities/0350fc34-ba13-11ed-b309-0630baf9dcb8" display="https://in1.sugarondemand.com/ - Opportunities/0350fc34-ba13-11ed-b309-0630baf9dcb8" xr:uid="{A1CDC3F7-2EEE-461E-8BF3-9900A6C2B89C}"/>
    <hyperlink ref="D215" r:id="rId213" location="Opportunities/000a7334-5e05-11ee-95e2-069e4f790264" tooltip="QUALICORP - Denodo" display="https://in1.sugarondemand.com/ - Opportunities/000a7334-5e05-11ee-95e2-069e4f790264" xr:uid="{0DA4D7A3-E56A-400B-854F-3190714E8698}"/>
    <hyperlink ref="O218" r:id="rId214" display="javascript:void(0);" xr:uid="{18CEFB6D-A140-4ADB-8641-9B8EC2BFD63E}"/>
    <hyperlink ref="D216" r:id="rId215" location="Opportunities/e4f2799c-d5d6-11eb-852f-069e4f790264" tooltip="A10 School - Treinamento RPA &amp; Automation Anywhere - Urbano" display="https://in1.sugarondemand.com/ - Opportunities/e4f2799c-d5d6-11eb-852f-069e4f790264" xr:uid="{4FE1AEEA-E830-4C97-AE89-9C7DDAAF0F5A}"/>
    <hyperlink ref="D217" r:id="rId216" location="Opportunities/07abaa98-9daf-11ed-a3e3-02b0ee514bc7" tooltip="A10 School - Treinamento Qlik Sense - Urbano" display="https://in1.sugarondemand.com/ - Opportunities/07abaa98-9daf-11ed-a3e3-02b0ee514bc7" xr:uid="{C791A979-01E4-4B61-9523-571EF4464162}"/>
    <hyperlink ref="D218" r:id="rId217" location="Opportunities/e948a68c-5d39-11ee-b771-06141b6603a5" tooltip="Urbano - Alocação Analista RPA - 12 Meses 2024" display="https://in1.sugarondemand.com/ - Opportunities/e948a68c-5d39-11ee-b771-06141b6603a5" xr:uid="{38F2E51A-8718-4BD9-BB2F-9406885D7379}"/>
    <hyperlink ref="D219" r:id="rId218" location="Opportunities/d2e2931c-dc25-11ec-82d0-0630baf9dcb8" display="https://in1.sugarondemand.com/ - Opportunities/d2e2931c-dc25-11ec-82d0-0630baf9dcb8" xr:uid="{CC054DA3-DBA8-4B8C-807E-B2A382A38F8E}"/>
    <hyperlink ref="D220" r:id="rId219" location="Opportunities/c90673f8-cd70-11ed-842f-069e4f790264" display="https://in1.sugarondemand.com/ - Opportunities/c90673f8-cd70-11ed-842f-069e4f790264" xr:uid="{78BB5C46-1CE9-43E5-92E3-A316A9E98881}"/>
    <hyperlink ref="D221" r:id="rId220" location="Opportunities/ac79125a-0a28-11ee-b3b6-069e4f790264" display="https://in1.sugarondemand.com/ - Opportunities/ac79125a-0a28-11ee-b3b6-069e4f790264" xr:uid="{60E9D7BB-DDB1-4436-8C26-D32A4A74F1BD}"/>
    <hyperlink ref="D222" r:id="rId221" location="Opportunities/9a3ac97c-a979-11ed-9050-069e4f790264" display="https://in1.sugarondemand.com/ - Opportunities/9a3ac97c-a979-11ed-9050-069e4f790264" xr:uid="{0DB610B9-0BCC-48B8-B8C8-A2C4DE760E29}"/>
    <hyperlink ref="D223" r:id="rId222" location="Opportunities/972057b4-b9ca-11ed-ae16-0630baf9dcb8" tooltip="Urbano QDI" display="https://in1.sugarondemand.com/ - Opportunities/972057b4-b9ca-11ed-ae16-0630baf9dcb8" xr:uid="{E7F9EAE3-BCCB-46E3-AA9F-D2FABF92258D}"/>
    <hyperlink ref="D224" r:id="rId223" location="Opportunities/94fd3504-d21d-11ed-884d-02b0ee514bc7" tooltip="Urbano - RPA - Automation 360 Creator Pack" display="https://in1.sugarondemand.com/ - Opportunities/94fd3504-d21d-11ed-884d-02b0ee514bc7" xr:uid="{D08AF24E-A873-47F2-9983-38197FB58B24}"/>
    <hyperlink ref="D225" r:id="rId224" location="Opportunities/7ffd663c-b473-11ed-992d-022c40d974e6" tooltip="Urbano - Alocação RPA - Março a Julho 2023" display="https://in1.sugarondemand.com/ - Opportunities/7ffd663c-b473-11ed-992d-022c40d974e6" xr:uid="{E963B687-6852-432D-B9B8-2AD373246B2B}"/>
    <hyperlink ref="D226" r:id="rId225" location="Opportunities/773f90f8-965d-11ed-9716-02b0ee514bc7" tooltip="Urbano - Alocação Analista RPA pelo período de 12 meses" display="https://in1.sugarondemand.com/ - Opportunities/773f90f8-965d-11ed-9716-02b0ee514bc7" xr:uid="{1DA1864E-23D9-49CA-AC8B-72FC45B5B337}"/>
    <hyperlink ref="D227" r:id="rId226" location="Opportunities/6a894c0e-f42d-11ed-b2cb-06141b6603a5" tooltip="Urbano - Migração RPA Automation Anywhere" display="https://in1.sugarondemand.com/ - Opportunities/6a894c0e-f42d-11ed-b2cb-06141b6603a5" xr:uid="{8B1E2FDF-E4B9-4C1B-9770-6A6A5D6766A2}"/>
    <hyperlink ref="D228" r:id="rId227" location="Opportunities/64b1804a-2285-11ee-9c94-069e4f790264" tooltip="Urbano PyPlan" display="https://in1.sugarondemand.com/ - Opportunities/64b1804a-2285-11ee-9c94-069e4f790264" xr:uid="{5E3FCDC2-E19C-40E4-909F-1493C169178F}"/>
    <hyperlink ref="D229" r:id="rId228" location="Opportunities/4e500f74-7f18-11ea-b314-0630baf9dcb8" tooltip="URBANO AGROINDUSTRIAL LTDA  - RA It Solution" display="https://in1.sugarondemand.com/ - Opportunities/4e500f74-7f18-11ea-b314-0630baf9dcb8" xr:uid="{2AC3108A-0A04-46EA-984A-786FBA57F5E7}"/>
    <hyperlink ref="D230" r:id="rId229" location="Opportunities/394fe2f6-cd77-11ed-8dad-0630baf9dcb8" display="https://in1.sugarondemand.com/ - Opportunities/394fe2f6-cd77-11ed-8dad-0630baf9dcb8" xr:uid="{23BEE2C0-EE21-4661-A5FB-E93905C34A8C}"/>
    <hyperlink ref="D231" r:id="rId230" location="Opportunities/30890490-b83c-11ed-afaa-0630baf9dcb8" tooltip="Snowflake Urbano" display="https://in1.sugarondemand.com/ - Opportunities/30890490-b83c-11ed-afaa-0630baf9dcb8" xr:uid="{96644C41-3EB3-48BA-991D-EAFA70794A31}"/>
    <hyperlink ref="D232" r:id="rId231" location="Opportunities/1d5a4592-9320-11ec-98ed-02b0ee514bc7" tooltip="Urbano - Sustentação RPA Automation Anywhere" display="https://in1.sugarondemand.com/ - Opportunities/1d5a4592-9320-11ec-98ed-02b0ee514bc7" xr:uid="{0E64745E-90D8-4B6F-A08E-31C1BF301C22}"/>
    <hyperlink ref="D233" r:id="rId232" location="Opportunities/18341a76-12bc-11ee-a3b9-06397e66b9cd" tooltip="URBANO ALTERYX" display="https://in1.sugarondemand.com/ - Opportunities/18341a76-12bc-11ee-a3b9-06397e66b9cd" xr:uid="{876DE4B1-5903-420C-9E59-A8E804B366CB}"/>
    <hyperlink ref="D234" r:id="rId233" location="Opportunities/89e58e40-9b50-11ed-ae22-022c40d974e6" display="https://in1.sugarondemand.com/ - Opportunities/89e58e40-9b50-11ed-ae22-022c40d974e6" xr:uid="{154BAA26-CD41-410D-A93F-07A2BCE28718}"/>
    <hyperlink ref="D235" r:id="rId234" location="Opportunities/6ccf7742-f057-11ed-a9e5-06141b6603a5" display="https://in1.sugarondemand.com/ - Opportunities/6ccf7742-f057-11ed-a9e5-06141b6603a5" xr:uid="{FBE85BF3-F416-424F-8795-E12667DD98C7}"/>
    <hyperlink ref="D236" r:id="rId235" location="Opportunities/f82eae38-5d3b-11ee-b645-0630baf9dcb8" tooltip="Unimed Campinas - Alocação RPA - 12 Meses 2024" display="https://in1.sugarondemand.com/ - Opportunities/f82eae38-5d3b-11ee-b645-0630baf9dcb8" xr:uid="{0772FCC6-F2F6-4A76-9FBF-9C65DF2F1516}"/>
    <hyperlink ref="D237" r:id="rId236" location="Opportunities/dea35fb8-1e75-11ee-bd22-06141b6603a5" display="https://in1.sugarondemand.com/ - Opportunities/dea35fb8-1e75-11ee-bd22-06141b6603a5" xr:uid="{168FD7BC-0A3D-4A8F-9BC8-AB003516941C}"/>
    <hyperlink ref="D238" r:id="rId237" location="Opportunities/94c516f0-cd6e-11ed-863f-022c40d974e6" display="https://in1.sugarondemand.com/ - Opportunities/94c516f0-cd6e-11ed-863f-022c40d974e6" xr:uid="{76E3D547-F7A2-4D3D-910E-F563575B9B5D}"/>
    <hyperlink ref="D239" r:id="rId238" location="Opportunities/9193006a-53a6-11ed-8248-0630baf9dcb8" tooltip="Unimed Campinas - Alocação RPA" display="https://in1.sugarondemand.com/ - Opportunities/9193006a-53a6-11ed-8248-0630baf9dcb8" xr:uid="{782B9727-7AA6-4BBB-987E-BCC47345ED77}"/>
    <hyperlink ref="D240" r:id="rId239" location="Opportunities/6bf9daee-2282-11ee-9a56-0630baf9dcb8" tooltip="Unimed Campinas PyPlan" display="https://in1.sugarondemand.com/ - Opportunities/6bf9daee-2282-11ee-9a56-0630baf9dcb8" xr:uid="{9A245D83-DE2B-4EFA-BE97-614874CD06B4}"/>
    <hyperlink ref="D241" r:id="rId240" location="Opportunities/567fc810-b3db-11ed-b724-06397e66b9cd" display="https://in1.sugarondemand.com/ - Opportunities/567fc810-b3db-11ed-b724-06397e66b9cd" xr:uid="{44419843-31D9-447C-B637-AA5CE5EE9595}"/>
    <hyperlink ref="D242" r:id="rId241" location="Opportunities/44a90478-1093-11eb-9c1d-02ae981fbade" tooltip="Unimed Campinas - RPA" display="https://in1.sugarondemand.com/ - Opportunities/44a90478-1093-11eb-9c1d-02ae981fbade" xr:uid="{41FB9C65-0945-466D-AC3F-39EC98BA639B}"/>
    <hyperlink ref="D243" r:id="rId242" location="Opportunities/42aa0f06-dcf6-11ec-b76b-0630baf9dcb8" tooltip="A10 - Unimed Campinas - RPA Licença Renovação por 1 Ano" display="https://in1.sugarondemand.com/ - Opportunities/42aa0f06-dcf6-11ec-b76b-0630baf9dcb8" xr:uid="{73B56EEA-B5D9-4654-9822-D5840CDABD01}"/>
    <hyperlink ref="D244" r:id="rId243" location="Opportunities/0a2a1294-1b65-11ee-8f38-02ae981fbade" tooltip="Unimed Campinas desafio de modelagem preditiva relacionada à fraude" display="https://in1.sugarondemand.com/ - Opportunities/0a2a1294-1b65-11ee-8f38-02ae981fbade" xr:uid="{F860D5DD-6363-4A98-9FF5-EDBCCFE260E4}"/>
    <hyperlink ref="D245" r:id="rId244" location="Opportunities/09b8a3a4-1b63-11ee-a544-06397e66b9cd" tooltip="Unimed Campinas Assessment Governança de Dados" display="https://in1.sugarondemand.com/ - Opportunities/09b8a3a4-1b63-11ee-a544-06397e66b9cd" xr:uid="{EFC717D4-CE46-4EE4-B230-1220A41D7690}"/>
    <hyperlink ref="D246" r:id="rId245" location="Opportunities/b47accd8-9478-11ea-bdb4-0630baf9dcb8" tooltip="Renovação 2020 - AFIP" display="https://in1.sugarondemand.com/ - Opportunities/b47accd8-9478-11ea-bdb4-0630baf9dcb8" xr:uid="{097F7A22-B832-4ABE-A801-221103B8EE2C}"/>
    <hyperlink ref="D247" r:id="rId246" location="Opportunities/b1e7f85e-0f22-11eb-b6b2-069e4f790264" tooltip="RENOVAÇÃO 2021 - ASSOCIAÇÃO FUNDO DE INCENTIVO A PESQUISA - AFIP" display="https://in1.sugarondemand.com/ - Opportunities/b1e7f85e-0f22-11eb-b6b2-069e4f790264" xr:uid="{2414D38C-D285-425C-9FFE-F82C1EED6D07}"/>
    <hyperlink ref="D248" r:id="rId247" location="Opportunities/a6656662-e1d8-11ec-9b0e-0630baf9dcb8" tooltip="RENOVAÇÃO QLIK 2025 - ASSOCIAÇÃO FUNDO DE INCENTIVO A PESQUISA (AFIP MEDICINA DIAGNÓSTICA)" display="https://in1.sugarondemand.com/ - Opportunities/a6656662-e1d8-11ec-9b0e-0630baf9dcb8" xr:uid="{A83E225E-BED9-4377-B0EB-66B167E5BE58}"/>
    <hyperlink ref="D249" r:id="rId248" location="Opportunities/874ef0c8-e598-11eb-bda7-0630baf9dcb8" display="https://in1.sugarondemand.com/ - Opportunities/874ef0c8-e598-11eb-bda7-0630baf9dcb8" xr:uid="{0C367011-98B8-495F-B5E9-16141279BC4A}"/>
    <hyperlink ref="D250" r:id="rId249" location="Opportunities/7ec5b184-3657-11ec-b409-02ae981fbade" display="https://in1.sugarondemand.com/ - Opportunities/7ec5b184-3657-11ec-b409-02ae981fbade" xr:uid="{FDE4E60B-6E0B-4260-8068-355FBCC293A4}"/>
    <hyperlink ref="D251" r:id="rId250" location="Opportunities/660d69e6-e922-11ed-9166-02ae981fbade" tooltip="AFIP - Conversão Perpétua para Subscrição SaaS (3Y)" display="https://in1.sugarondemand.com/ - Opportunities/660d69e6-e922-11ed-9166-02ae981fbade" xr:uid="{2A5BB40E-3343-44CE-94DF-65CDB7E00AA6}"/>
    <hyperlink ref="D252" r:id="rId251" location="Opportunities/526e69d4-70d7-11e9-8b9e-022c40d974e6" display="https://in1.sugarondemand.com/ - Opportunities/526e69d4-70d7-11e9-8b9e-022c40d974e6" xr:uid="{29964581-2C41-4339-A9AF-E3FEC5089B62}"/>
    <hyperlink ref="D253" r:id="rId252" location="Opportunities/18d5ec2a-09de-11e9-a02d-069e4f790264" display="https://in1.sugarondemand.com/ - Opportunities/18d5ec2a-09de-11e9-a02d-069e4f790264" xr:uid="{99BA18DB-3B16-4451-ACD4-94CCC12D851D}"/>
    <hyperlink ref="D254" r:id="rId253" location="Opportunities/18bed95e-09de-11e9-811b-069e4f790264" display="https://in1.sugarondemand.com/ - Opportunities/18bed95e-09de-11e9-811b-069e4f790264" xr:uid="{ACFD622D-84E2-4388-BB44-62CCAFFC779B}"/>
    <hyperlink ref="D255" r:id="rId254" location="Opportunities/18a6d430-09de-11e9-9408-069e4f790264" display="https://in1.sugarondemand.com/ - Opportunities/18a6d430-09de-11e9-9408-069e4f790264" xr:uid="{1AE5EBCD-AF57-48C2-A3F5-87E8FBD19B3A}"/>
    <hyperlink ref="D256" r:id="rId255" location="Opportunities/1891377e-09de-11e9-84d3-069e4f790264" tooltip="RENOVAÇÃO 2015 - AFIP" display="https://in1.sugarondemand.com/ - Opportunities/1891377e-09de-11e9-84d3-069e4f790264" xr:uid="{9C25761F-86DD-461C-9972-A118FF2219E1}"/>
    <hyperlink ref="D257" r:id="rId256" location="Opportunities/dd67d86c-39bb-11ed-9e42-02b0ee514bc7" tooltip="AFIP - Expand Qlik 63A" display="https://in1.sugarondemand.com/ - Opportunities/dd67d86c-39bb-11ed-9e42-02b0ee514bc7" xr:uid="{CC2D1B1C-8A7C-4662-86A1-6BFBBDB70405}"/>
    <hyperlink ref="D258" r:id="rId257" location="Opportunities/bae7b492-d3cd-11eb-8e3f-0630baf9dcb8" display="https://in1.sugarondemand.com/ - Opportunities/bae7b492-d3cd-11eb-8e3f-0630baf9dcb8" xr:uid="{C0D57F3F-CF4C-4B10-B079-F2A31B866EE7}"/>
    <hyperlink ref="D259" r:id="rId258" location="Opportunities/99bb7658-d09a-11ec-9fb8-022c40d974e6" tooltip="AFIP - Expand - CM - 10 QSA - 26 meses (62.360)" display="https://in1.sugarondemand.com/ - Opportunities/99bb7658-d09a-11ec-9fb8-022c40d974e6" xr:uid="{8B7BA1BA-EA9B-433A-863D-DA39196054C1}"/>
    <hyperlink ref="D260" r:id="rId259" location="Opportunities/8d6a91e4-1663-11e9-be41-022c40d974e6" tooltip="Ass.Fundo Incentivo a Pesquisa SS Uplift Dual User ID 0795228" display="https://in1.sugarondemand.com/ - Opportunities/8d6a91e4-1663-11e9-be41-022c40d974e6" xr:uid="{BC77FF55-FA39-4D0D-B1AC-6C522A1EAC57}"/>
    <hyperlink ref="D261" r:id="rId260" location="Opportunities/6380dca0-1ff8-11e9-8719-022c40d974e6" tooltip="Associação Fundo de Incentivo a Pesquisa Projeto de BI" display="https://in1.sugarondemand.com/ - Opportunities/6380dca0-1ff8-11e9-8719-022c40d974e6" xr:uid="{61A4D182-65CB-4447-B680-7B90DA828423}"/>
    <hyperlink ref="D262" r:id="rId261" location="Opportunities/0b460090-3374-11ed-8cbb-02b0ee514bc7" tooltip="AFIP - Expand Mixed Site - 83 Analyzer - Pro Rata (63.077)" display="https://in1.sugarondemand.com/ - Opportunities/0b460090-3374-11ed-8cbb-02b0ee514bc7" xr:uid="{074D374F-4C2E-4EF5-A938-5011C83504AF}"/>
    <hyperlink ref="D263" r:id="rId262" location="Opportunities/de1b7336-12af-11e9-baa2-069e4f790264" display="https://in1.sugarondemand.com/ - Opportunities/de1b7336-12af-11e9-baa2-069e4f790264" xr:uid="{FCFD703B-042D-4A5A-8F20-0706D350EA1B}"/>
    <hyperlink ref="D264" r:id="rId263" location="Opportunities/dde0d0b4-12af-11e9-9ec1-069e4f790264" tooltip="AFIP  Treinamento Expert Leader" display="https://in1.sugarondemand.com/ - Opportunities/dde0d0b4-12af-11e9-9ec1-069e4f790264" xr:uid="{D3D01BAA-C855-474B-9ADB-1E794CB9B60B}"/>
    <hyperlink ref="D265" r:id="rId264" location="Opportunities/18ee8fd2-09de-11e9-af08-069e4f790264" tooltip="TREINAMENTO In Company Qlikview Server 28/09" display="https://in1.sugarondemand.com/ - Opportunities/18ee8fd2-09de-11e9-af08-069e4f790264" xr:uid="{B98D5FF0-5889-435C-95BF-55F25EA4BC73}"/>
    <hyperlink ref="D266" r:id="rId265" location="Opportunities/1878a3c6-09de-11e9-9e90-069e4f790264" display="https://in1.sugarondemand.com/ - Opportunities/1878a3c6-09de-11e9-9e90-069e4f790264" xr:uid="{EFF8E996-4082-46CD-9CA9-2F91DB417417}"/>
    <hyperlink ref="D267" r:id="rId266" location="Opportunities/eb213a74-3d25-11ea-9b75-022c40d974e6" display="https://in1.sugarondemand.com/ - Opportunities/eb213a74-3d25-11ea-9b75-022c40d974e6" xr:uid="{DF945B5B-EEBB-4D35-BA15-C366D6C32C4C}"/>
    <hyperlink ref="D268" r:id="rId267" location="Opportunities/eaff77de-8f91-11ec-9f3e-069e4f790264" display="https://in1.sugarondemand.com/ - Opportunities/eaff77de-8f91-11ec-9f3e-069e4f790264" xr:uid="{E0CD035B-1593-467D-ADFA-C2CE5E818632}"/>
    <hyperlink ref="D269" r:id="rId268" location="Opportunities/ddff69ca-12af-11e9-88a2-069e4f790264" display="https://in1.sugarondemand.com/ - Opportunities/ddff69ca-12af-11e9-88a2-069e4f790264" xr:uid="{7FA8F10E-1E04-448D-A95C-31D8FB09DE46}"/>
    <hyperlink ref="D270" r:id="rId269" location="Opportunities/d17368b6-e45e-11ed-871a-0630baf9dcb8" display="https://in1.sugarondemand.com/ - Opportunities/d17368b6-e45e-11ed-871a-0630baf9dcb8" xr:uid="{01719C07-4181-4EFA-9462-1A4DDDD8A1F3}"/>
    <hyperlink ref="D271" r:id="rId270" location="Opportunities/c52bf9e4-48c1-11ed-a511-02b0ee514bc7" display="https://in1.sugarondemand.com/ - Opportunities/c52bf9e4-48c1-11ed-a511-02b0ee514bc7" xr:uid="{178BC05E-5E35-4FE9-9320-F8836636B3F0}"/>
    <hyperlink ref="D272" r:id="rId271" location="Opportunities/c04a7eb8-d5b0-11ea-af2d-069e4f790264" display="https://in1.sugarondemand.com/ - Opportunities/c04a7eb8-d5b0-11ea-af2d-069e4f790264" xr:uid="{40CB2ADB-97DD-4ECC-B5AC-3095144B80F4}"/>
    <hyperlink ref="D273" r:id="rId272" location="Opportunities/8ad6eb8e-ad5e-11e9-92f3-069e4f790264" tooltip="A10 - AFIP - Time Material - 200 Horas" display="https://in1.sugarondemand.com/ - Opportunities/8ad6eb8e-ad5e-11e9-92f3-069e4f790264" xr:uid="{E77BDC3E-6E64-4617-BEBE-6AA008E6EF23}"/>
    <hyperlink ref="D274" r:id="rId273" location="Opportunities/85b9ed82-dd29-11ed-a92d-06397e66b9cd" tooltip="AFIP - Alocação Qlik - Fev/24 a Jan/25 - 12 meses (Ano 2 do contrato)" display="https://in1.sugarondemand.com/ - Opportunities/85b9ed82-dd29-11ed-a92d-06397e66b9cd" xr:uid="{ACDC3408-3E85-4563-8A3B-BEBA2517FCCA}"/>
    <hyperlink ref="D275" r:id="rId274" location="Opportunities/7ae4c60e-3e62-11ed-906b-02ae981fbade" display="https://in1.sugarondemand.com/ - Opportunities/7ae4c60e-3e62-11ed-906b-02ae981fbade" xr:uid="{8DE6528F-B92F-4EB2-BE08-7F7039225CA8}"/>
    <hyperlink ref="D276" r:id="rId275" location="Opportunities/6feb5f88-cd60-11ec-bb18-02b0ee514bc7" display="https://in1.sugarondemand.com/ - Opportunities/6feb5f88-cd60-11ec-bb18-02b0ee514bc7" xr:uid="{55BAFED1-5D92-4243-86CF-CA6825B3AF39}"/>
    <hyperlink ref="D277" r:id="rId276" location="Opportunities/65012ecc-e061-11ec-a695-06141b6603a5" tooltip="AFIP - Estudo Automação Funcionalidades SaaS" display="https://in1.sugarondemand.com/ - Opportunities/65012ecc-e061-11ec-a695-06141b6603a5" xr:uid="{F9533A2C-F57A-416C-A1AF-883E775FB546}"/>
    <hyperlink ref="D278" r:id="rId277" location="Opportunities/639bfa76-1ff8-11e9-9008-022c40d974e6" tooltip="Consultoria especializada Início Assistido" display="https://in1.sugarondemand.com/ - Opportunities/639bfa76-1ff8-11e9-9008-022c40d974e6" xr:uid="{45AE2EF1-2B45-4904-8DCD-3225195D8DC1}"/>
    <hyperlink ref="D279" r:id="rId278" location="Opportunities/5ce452a8-c43d-11ed-a324-02ae981fbade" tooltip="AFIP - Squad Desenvolvimento" display="https://in1.sugarondemand.com/ - Opportunities/5ce452a8-c43d-11ed-a324-02ae981fbade" xr:uid="{BB907CCD-5461-44C7-A667-2B5350358171}"/>
    <hyperlink ref="D280" r:id="rId279" location="Opportunities/4f7f2dfc-c43f-11ed-bf28-02b0ee514bc7" tooltip="AFIP - Sustentação Qlik - Abr/23 a Abr/24 (Ano 1/2)" display="https://in1.sugarondemand.com/ - Opportunities/4f7f2dfc-c43f-11ed-bf28-02b0ee514bc7" xr:uid="{CD9C7D5C-18FA-4002-BC80-FBC12E159AA9}"/>
    <hyperlink ref="D281" r:id="rId280" location="Opportunities/42044fa6-9c10-11ed-a60a-06141b6603a5" tooltip="AFIP - Projeto Wordpress" display="https://in1.sugarondemand.com/ - Opportunities/42044fa6-9c10-11ed-a60a-06141b6603a5" xr:uid="{ECE35327-5043-455F-9732-AEA40EEB87D0}"/>
    <hyperlink ref="D282" r:id="rId281" location="Opportunities/401885ae-bddf-11ed-97d6-06397e66b9cd" tooltip="AFIP - Alocação Full Stack - Web" display="https://in1.sugarondemand.com/ - Opportunities/401885ae-bddf-11ed-97d6-06397e66b9cd" xr:uid="{93058C41-5897-4451-A190-AC36E69D1B66}"/>
    <hyperlink ref="D283" r:id="rId282" location="Opportunities/36d40e44-de02-11ed-8e4b-02b0ee514bc7" tooltip="AFIP - App Gerenciamento Transporte Van" display="https://in1.sugarondemand.com/ - Opportunities/36d40e44-de02-11ed-8e4b-02b0ee514bc7" xr:uid="{5689C311-70F5-4E18-8739-AC5041BB7452}"/>
    <hyperlink ref="D284" r:id="rId283" location="Opportunities/29b471de-833f-11ea-a654-069e4f790264" tooltip="AFIP - Banco de Horas - Atualizada 0420" display="https://in1.sugarondemand.com/ - Opportunities/29b471de-833f-11ea-a654-069e4f790264" xr:uid="{BD5B0474-4CA6-492A-95FE-371167CFB50F}"/>
    <hyperlink ref="D285" r:id="rId284" location="Opportunities/24230a06-caa6-11ea-9c23-022c40d974e6" tooltip="A10 - AFIP - Banco de Horas" display="https://in1.sugarondemand.com/ - Opportunities/24230a06-caa6-11ea-9c23-022c40d974e6" xr:uid="{4E3B2426-0799-4D4B-9BEA-E46483EE6A92}"/>
    <hyperlink ref="D286" r:id="rId285" location="Opportunities/22a6f0da-9358-11ec-8162-02ae981fbade" tooltip="AFIP - Automation Anywhere (RPA)" display="https://in1.sugarondemand.com/ - Opportunities/22a6f0da-9358-11ec-8162-02ae981fbade" xr:uid="{98B12D92-0A8B-4A94-A24E-6605E4523AB4}"/>
    <hyperlink ref="D287" r:id="rId286" location="Opportunities/1f57bc22-8d15-11ed-b2e0-02ae981fbade" display="https://in1.sugarondemand.com/ - Opportunities/1f57bc22-8d15-11ed-b2e0-02ae981fbade" xr:uid="{CFD70D89-0BEC-4808-8DB8-FD633E1A9D56}"/>
    <hyperlink ref="D288" r:id="rId287" location="Opportunities/1e163b38-aef5-11ee-bb83-06141b6603a5" display="https://in1.sugarondemand.com/ - Opportunities/1e163b38-aef5-11ee-bb83-06141b6603a5" xr:uid="{088C13E4-5DF6-49D9-B23B-031F1466A612}"/>
    <hyperlink ref="D289" r:id="rId288" location="Opportunities/19d71d7c-c9a8-11ed-8ffa-06141b6603a5" tooltip="AFIP - RPA" display="https://in1.sugarondemand.com/ - Opportunities/19d71d7c-c9a8-11ed-8ffa-06141b6603a5" xr:uid="{1F6C5EE2-AAE7-4F6D-974D-8509F24CAD4D}"/>
    <hyperlink ref="D290" r:id="rId289" location="Opportunities/049d0686-e062-11ec-90aa-06141b6603a5" tooltip="AFIP - SnowFlake" display="https://in1.sugarondemand.com/ - Opportunities/049d0686-e062-11ec-90aa-06141b6603a5" xr:uid="{9ED3727C-5AF4-4E95-AF82-211A311BBDF9}"/>
    <hyperlink ref="D291" r:id="rId290" location="Opportunities/007aeec2-dd2a-11ed-a912-02ae981fbade" tooltip="AFIP - Alocação Qlik - Fev/25 a Jan/26 - 12 meses (Ano 3 do contrato)" display="https://in1.sugarondemand.com/ - Opportunities/007aeec2-dd2a-11ed-a912-02ae981fbade" xr:uid="{A873F812-A7CC-4DBA-83EE-04FF20DD5614}"/>
    <hyperlink ref="D292" r:id="rId291" location="Opportunities/58c7731c-c1c1-11ee-8bc4-022c40d974e6" tooltip="A10 - BO Paper - Snowflake" display="https://in1.sugarondemand.com/ - Opportunities/58c7731c-c1c1-11ee-8bc4-022c40d974e6" xr:uid="{A44292B3-35EB-4D9D-A4E8-F9ACF6A276EB}"/>
    <hyperlink ref="D293" r:id="rId292" location="Opportunities/9d0104d8-7731-11ee-afc5-02ae981fbade" display="https://in1.sugarondemand.com/ - Opportunities/9d0104d8-7731-11ee-afc5-02ae981fbade" xr:uid="{4533FF13-207A-4DD8-85AC-B200A4357C2A}"/>
    <hyperlink ref="D294" r:id="rId293" location="Opportunities/f206c06c-3533-11ed-a35a-0630baf9dcb8" display="https://in1.sugarondemand.com/ - Opportunities/f206c06c-3533-11ed-a35a-0630baf9dcb8" xr:uid="{D5EB1813-EF85-4728-8C9D-B5BA800A61E6}"/>
    <hyperlink ref="D295" r:id="rId294" location="Opportunities/e49e62b0-d26f-11ee-892e-022c40d974e6" tooltip="A10 - Catupiry - Snowflake" display="https://in1.sugarondemand.com/ - Opportunities/e49e62b0-d26f-11ee-892e-022c40d974e6" xr:uid="{AF3FCB4A-EE60-41C4-BDDD-55B36967354D}"/>
    <hyperlink ref="D296" r:id="rId295" location="Opportunities/f326c54c-ba5b-11ee-9116-06397e66b9cd" tooltip="A10 - Catupiry - Serviços Qlik" display="https://in1.sugarondemand.com/ - Opportunities/f326c54c-ba5b-11ee-9116-06397e66b9cd" xr:uid="{372DD3A2-6FBA-423A-BB9C-19C43E9B8A7A}"/>
    <hyperlink ref="D297" r:id="rId296" location="Opportunities/245191de-a5a7-11ee-98b5-bfb627dfe967" tooltip="A10 - Catupiry - Treinamento Qlik" display="https://in1.sugarondemand.com/ - Opportunities/245191de-a5a7-11ee-98b5-bfb627dfe967" xr:uid="{8E985D6C-0856-4E84-9A1D-10FF9337F486}"/>
    <hyperlink ref="D298" r:id="rId297" location="Opportunities/d67ca654-742f-11ee-9f82-0630baf9dcb8" display="https://in1.sugarondemand.com/ - Opportunities/d67ca654-742f-11ee-9f82-0630baf9dcb8" xr:uid="{ED5CDD58-5D0E-42A2-8A06-6AA4BBEEAD19}"/>
    <hyperlink ref="D299" r:id="rId298" location="Opportunities/2a77ed9a-6120-11ee-ab44-02b0ee514bc7" display="https://in1.sugarondemand.com/ - Opportunities/2a77ed9a-6120-11ee-ab44-02b0ee514bc7" xr:uid="{05D10324-58B5-4CBD-9170-EC5E41AF41C6}"/>
    <hyperlink ref="D300" r:id="rId299" location="Opportunities/df8f5712-dee5-11ed-bf31-06397e66b9cd" display="https://in1.sugarondemand.com/ - Opportunities/df8f5712-dee5-11ed-bf31-06397e66b9cd" xr:uid="{3080830D-4BE4-4554-A9FF-E282A4A3B6B0}"/>
    <hyperlink ref="D301" r:id="rId300" location="Opportunities/99404c96-dede-11ed-a904-022c40d974e6" display="https://in1.sugarondemand.com/ - Opportunities/99404c96-dede-11ed-a904-022c40d974e6" xr:uid="{50282AAC-61C7-4371-96E6-25CA23553115}"/>
    <hyperlink ref="D302" r:id="rId301" location="Opportunities/099d3d26-da04-11ed-a571-02ae981fbade" display="https://in1.sugarondemand.com/ - Opportunities/099d3d26-da04-11ed-a571-02ae981fbade" xr:uid="{A6147BF0-223C-4902-90A8-9618B5740EC2}"/>
    <hyperlink ref="D303" r:id="rId302" location="Opportunities/2ae634f6-2af5-11ed-98a9-02ae981fbade" tooltip="LATICINIOS CATUPIRY - Campanha Metanoia" display="https://in1.sugarondemand.com/ - Opportunities/2ae634f6-2af5-11ed-98a9-02ae981fbade" xr:uid="{5C05D52B-9B43-4878-B456-6F2818A09F35}"/>
    <hyperlink ref="D304" r:id="rId303" location="Opportunities/d8ed2228-e336-11ec-a67c-0630baf9dcb8" tooltip="Catupiry - QDI" display="https://in1.sugarondemand.com/ - Opportunities/d8ed2228-e336-11ec-a67c-0630baf9dcb8" xr:uid="{DFD544B6-6F66-40CA-8193-7DFD478C0BAB}"/>
    <hyperlink ref="D305" r:id="rId304" location="Opportunities/9280a3d4-a077-11ec-823f-069e4f790264" tooltip="A10 - Catupiry - Data Warehouse Automation SnowFlake" display="https://in1.sugarondemand.com/ - Opportunities/9280a3d4-a077-11ec-823f-069e4f790264" xr:uid="{F2399177-106E-4022-8394-76FE9CC4A12A}"/>
    <hyperlink ref="D306" r:id="rId305" location="Opportunities/ecf4f0fe-5225-11ec-afd2-069e4f790264" tooltip="Laticínios Catupiry - Conversão Subscrição - SaaS - 3Y (61.674)" display="https://in1.sugarondemand.com/ - Opportunities/ecf4f0fe-5225-11ec-afd2-069e4f790264" xr:uid="{CC3A7F3C-D1C3-4A53-8641-0571761F4EC1}"/>
    <hyperlink ref="D307" r:id="rId306" location="Opportunities/6395a51c-4968-11ec-903a-069e4f790264" tooltip="A10 Catupiry - Migração e Atualização de Versão" display="https://in1.sugarondemand.com/ - Opportunities/6395a51c-4968-11ec-903a-069e4f790264" xr:uid="{CEC231A2-6133-4695-B8E5-E8145B6DA98D}"/>
    <hyperlink ref="D308" r:id="rId307" location="Opportunities/72592bec-a6ce-11eb-add2-0630baf9dcb8" tooltip="RENOVAÇÃO  SUBSCRIÇÃO 2025 - CATUPIRY LATICÍNIOS" display="https://in1.sugarondemand.com/ - Opportunities/72592bec-a6ce-11eb-add2-0630baf9dcb8" xr:uid="{488FCD33-E3FB-4EA8-8F3F-55C0F827EFC7}"/>
    <hyperlink ref="D309" r:id="rId308" location="Opportunities/6fe25090-0f26-11eb-a292-0630baf9dcb8" tooltip="RENOVAÇÃO 2021 - CATUPIRY LATICÍNIOS" display="https://in1.sugarondemand.com/ - Opportunities/6fe25090-0f26-11eb-a292-0630baf9dcb8" xr:uid="{433C4F55-6C19-4248-B8C0-B58D7A71B5E3}"/>
    <hyperlink ref="D310" r:id="rId309" location="Opportunities/6d7079a6-598f-11ea-abdf-022c40d974e6" tooltip="Renovação 2020 - Catupiry" display="https://in1.sugarondemand.com/ - Opportunities/6d7079a6-598f-11ea-abdf-022c40d974e6" xr:uid="{D523A9C8-7D66-434A-BCC4-8C8087EA6BC7}"/>
    <hyperlink ref="D311" r:id="rId310" location="Opportunities/79a5b426-87c5-11e9-8d90-02ae981fbade" tooltip="Catupiry - Treinamento Qlik Sense Server" display="https://in1.sugarondemand.com/ - Opportunities/79a5b426-87c5-11e9-8d90-02ae981fbade" xr:uid="{EDEB13C1-D4C8-454B-92CD-4646DC290B4C}"/>
    <hyperlink ref="D312" r:id="rId311" location="Opportunities/8130c556-4a8e-11e9-9af3-069e4f790264" display="https://in1.sugarondemand.com/ - Opportunities/8130c556-4a8e-11e9-9af3-069e4f790264" xr:uid="{CA0E70B0-7E84-43A4-BEDF-DB0D40D2757E}"/>
    <hyperlink ref="D313" r:id="rId312" location="Opportunities/7c7acc34-1ff8-11e9-b6ce-022c40d974e6" tooltip="20131003_Catupiry_BcoHoras" display="https://in1.sugarondemand.com/ - Opportunities/7c7acc34-1ff8-11e9-b6ce-022c40d974e6" xr:uid="{866CF660-E71A-420D-91F5-AA481F717EF4}"/>
    <hyperlink ref="D314" r:id="rId313" location="Opportunities/7c55d5e6-1ff8-11e9-ab36-022c40d974e6" tooltip="Licenças Adicionais Catupiry" display="https://in1.sugarondemand.com/ - Opportunities/7c55d5e6-1ff8-11e9-ab36-022c40d974e6" xr:uid="{91C2147B-5665-4B2B-8227-995BDFF6A5F6}"/>
    <hyperlink ref="D315" r:id="rId314" location="Opportunities/7c2f791e-1ff8-11e9-afff-022c40d974e6" tooltip="Treinamento Designer Avançado" display="https://in1.sugarondemand.com/ - Opportunities/7c2f791e-1ff8-11e9-afff-022c40d974e6" xr:uid="{C43CD3A7-5495-40CB-A5C5-7FE35C26B9A8}"/>
    <hyperlink ref="D316" r:id="rId315" location="Opportunities/7c073fbc-1ff8-11e9-b550-022c40d974e6" tooltip="Treinamento Server e Adm Avançado" display="https://in1.sugarondemand.com/ - Opportunities/7c073fbc-1ff8-11e9-b550-022c40d974e6" xr:uid="{9F5BA7DB-C587-41D3-A055-44AB205111DD}"/>
    <hyperlink ref="D317" r:id="rId316" location="Opportunities/a6d3bce6-1663-11e9-8483-02ae981fbade" tooltip="Catupiry Treinamento Qlik Master Class" display="https://in1.sugarondemand.com/ - Opportunities/a6d3bce6-1663-11e9-8483-02ae981fbade" xr:uid="{68087079-4C66-45DD-99E8-C2E8C7856B85}"/>
    <hyperlink ref="D318" r:id="rId317" location="Opportunities/df6ca336-12af-11e9-a5ac-069e4f790264" tooltip="Laticínios CATUPIRY LTDA  Expand  1Upg 1Pb 15Nmd 50Doc" display="https://in1.sugarondemand.com/ - Opportunities/df6ca336-12af-11e9-a5ac-069e4f790264" xr:uid="{F6CCFB88-F00B-45CB-BC79-47FAC1D4D4AE}"/>
    <hyperlink ref="D319" r:id="rId318" location="Opportunities/df51e97e-12af-11e9-869c-069e4f790264" tooltip="Laticínios CATUPIRY LTDA  Expand 15 NMD" display="https://in1.sugarondemand.com/ - Opportunities/df51e97e-12af-11e9-869c-069e4f790264" xr:uid="{1694CE83-7FD9-40EE-8136-4B210D5FDBB7}"/>
    <hyperlink ref="D320" r:id="rId319" location="Opportunities/3011c9be-0a05-11e9-9d9f-022c40d974e6" tooltip="RENOVAÇÃO 2017 - Catupiry" display="https://in1.sugarondemand.com/ - Opportunities/3011c9be-0a05-11e9-9d9f-022c40d974e6" xr:uid="{20B74E26-7699-483F-A3FD-8B54CD284FEA}"/>
    <hyperlink ref="D321" r:id="rId320" location="Opportunities/2ff3f308-0a05-11e9-8fb2-022c40d974e6" tooltip="RENOVAÇÃO Catutpiry 2015 -" display="https://in1.sugarondemand.com/ - Opportunities/2ff3f308-0a05-11e9-8fb2-022c40d974e6" xr:uid="{041C217E-B570-43A7-BD1A-43F53DC04101}"/>
    <hyperlink ref="D322" r:id="rId321" location="Opportunities/2fd83b4a-0a05-11e9-ae12-022c40d974e6" tooltip="RENOVAÇÃO 2014 -" display="https://in1.sugarondemand.com/ - Opportunities/2fd83b4a-0a05-11e9-ae12-022c40d974e6" xr:uid="{DCAC26EF-CE01-4D35-A4EF-FC0D7AA8DF78}"/>
    <hyperlink ref="D323" r:id="rId322" location="Opportunities/2fbcfdd0-0a05-11e9-84b3-022c40d974e6" tooltip="RENOVAÇÃO 2018 - Catupiry" display="https://in1.sugarondemand.com/ - Opportunities/2fbcfdd0-0a05-11e9-84b3-022c40d974e6" xr:uid="{A289F428-CAEA-466B-8BD4-77335F9F2064}"/>
    <hyperlink ref="D324" r:id="rId323" location="Opportunities/2f933fe0-0a05-11e9-9c98-022c40d974e6" tooltip="UPLIFT DUAL USER -  Laticínios CATUPIRY LTDA" display="https://in1.sugarondemand.com/ - Opportunities/2f933fe0-0a05-11e9-9c98-022c40d974e6" xr:uid="{763554A2-88F7-4CDE-8C87-48C6AB148238}"/>
    <hyperlink ref="D325" r:id="rId324" location="Opportunities/2f7246a0-0a05-11e9-b3ae-022c40d974e6" tooltip="RENOVAÇÃO 2016 - Catupiry" display="https://in1.sugarondemand.com/ - Opportunities/2f7246a0-0a05-11e9-b3ae-022c40d974e6" xr:uid="{64A930D6-D3E2-4341-B37A-88756D4B38F9}"/>
    <hyperlink ref="D326" r:id="rId325" location="Opportunities/a4890eee-e30b-11ee-82b6-02b0ee514bc7" tooltip="Petz -Analytics" display="https://in1.sugarondemand.com/ - Opportunities/a4890eee-e30b-11ee-82b6-02b0ee514bc7" xr:uid="{F6CAB8AB-7C3C-40C9-86BF-A0AD3A2AB7BB}"/>
    <hyperlink ref="D327" r:id="rId326" location="Opportunities/4c992a8c-3dd1-11ee-bb34-02ae981fbade" tooltip="A10 - Petz - Qlik Expand" display="https://in1.sugarondemand.com/ - Opportunities/4c992a8c-3dd1-11ee-bb34-02ae981fbade" xr:uid="{2276ABDF-799E-4263-8C81-54F38343723C}"/>
    <hyperlink ref="D328" r:id="rId327" location="Opportunities/b428505c-27fa-11ee-bdf9-069e4f790264" tooltip="A10 - Petz - Hyper Reports" display="https://in1.sugarondemand.com/ - Opportunities/b428505c-27fa-11ee-bdf9-069e4f790264" xr:uid="{BFEC6E96-782B-4DEB-8765-02F092D74CB3}"/>
    <hyperlink ref="D329" r:id="rId328" location="Opportunities/7b1bb062-c8d5-11ed-adfc-0630baf9dcb8" tooltip="Petz - Expand - CM for QSE SaaS - 12QSA - Pró Rata (63.917)" display="https://in1.sugarondemand.com/ - Opportunities/7b1bb062-c8d5-11ed-adfc-0630baf9dcb8" xr:uid="{3E42CEE2-441D-4059-813A-1EC6627DD81C}"/>
    <hyperlink ref="D330" r:id="rId329" location="Opportunities/a78500b8-b390-11ed-83da-022c40d974e6" tooltip="PETZ - 05QSP + 05QSA" display="https://in1.sugarondemand.com/ - Opportunities/a78500b8-b390-11ed-83da-022c40d974e6" xr:uid="{27557CB5-1372-4B6B-9331-4CFE3649564D}"/>
    <hyperlink ref="D331" r:id="rId330" location="Opportunities/283bdb48-abbf-11ed-89c3-022c40d974e6" tooltip="PETZ - Alocação de Consultor Sênior" display="https://in1.sugarondemand.com/ - Opportunities/283bdb48-abbf-11ed-89c3-022c40d974e6" xr:uid="{8ACEA6AA-69A3-41C8-9FB5-F5B65A42E554}"/>
    <hyperlink ref="D332" r:id="rId331" location="Opportunities/616ce5e2-7d70-11ed-bd6b-06141b6603a5" tooltip="QCC - PETZ" display="https://in1.sugarondemand.com/ - Opportunities/616ce5e2-7d70-11ed-bd6b-06141b6603a5" xr:uid="{915001DB-AC76-455B-B2A9-84C2A5109F0D}"/>
    <hyperlink ref="D333" r:id="rId332" location="Opportunities/7a7fe50e-7afd-11ed-a205-0630baf9dcb8" tooltip="PETZ - 30QSP + 70QSA" display="https://in1.sugarondemand.com/ - Opportunities/7a7fe50e-7afd-11ed-a205-0630baf9dcb8" xr:uid="{D11F9176-418E-41DB-812A-89177C5F2CE5}"/>
    <hyperlink ref="D334" r:id="rId333" location="Opportunities/5fb8ea70-03c2-11ed-a177-022c40d974e6" tooltip="PETZ - Integração Portal Web PETZ &amp; plataforma Qlik Sense." display="https://in1.sugarondemand.com/ - Opportunities/5fb8ea70-03c2-11ed-a177-022c40d974e6" xr:uid="{941DCA88-1431-4E78-91FD-1E52C860CBC3}"/>
    <hyperlink ref="D335" r:id="rId334" location="Opportunities/f196aa76-c575-11ec-b18d-069e4f790264" tooltip="PETZ - Produto SaaS" display="https://in1.sugarondemand.com/ - Opportunities/f196aa76-c575-11ec-b18d-069e4f790264" xr:uid="{5DC55037-9EC0-4430-BCFB-295D10D7E42F}"/>
    <hyperlink ref="D336" r:id="rId335" location="Opportunities/8ce23e1e-c56c-11ec-a041-02ae981fbade" tooltip="PETZ - Engenharia de Dados" display="https://in1.sugarondemand.com/ - Opportunities/8ce23e1e-c56c-11ec-a041-02ae981fbade" xr:uid="{1CAAA2F0-7E54-43B6-AA02-762208BA9CFD}"/>
    <hyperlink ref="D337" r:id="rId336" location="Opportunities/4ffad9a0-c55f-11ec-96ba-06141b6603a5" tooltip="PETZ - Produto SaaS" display="https://in1.sugarondemand.com/ - Opportunities/4ffad9a0-c55f-11ec-96ba-06141b6603a5" xr:uid="{41868265-7B83-4B83-88C3-ACAC6B0E00BD}"/>
    <hyperlink ref="D338" r:id="rId337" location="Opportunities/adc39e06-c55e-11ec-a349-06141b6603a5" tooltip="Petz - Arquitetura" display="https://in1.sugarondemand.com/ - Opportunities/adc39e06-c55e-11ec-a349-06141b6603a5" xr:uid="{5ED7F34F-0629-4A7A-A5AF-091AFE2429A5}"/>
    <hyperlink ref="D339" r:id="rId338" location="Opportunities/fe05607a-8044-11ec-af2b-02b0ee514bc7" tooltip="PETZ - Migração de Contrato - SaaS - MultiCloud - AddOn (Renovação)" display="https://in1.sugarondemand.com/ - Opportunities/fe05607a-8044-11ec-af2b-02b0ee514bc7" xr:uid="{B51F9C4F-2DC8-42FF-B257-97962B98A345}"/>
    <hyperlink ref="D340" r:id="rId339" location="Opportunities/c5cc86b6-803f-11ec-922f-069e4f790264" tooltip="PETZ - Migração de Contrato - SaaS - MultiCloud - AddOn (Expand)" display="https://in1.sugarondemand.com/ - Opportunities/c5cc86b6-803f-11ec-922f-069e4f790264" xr:uid="{404D0B9F-C317-46F1-9A29-E0FF19DFFE29}"/>
    <hyperlink ref="D341" r:id="rId340" location="Opportunities/3ed70f12-7ab5-11ec-9676-069e4f790264" tooltip="A10 - PETZ - Treinamento SnowFlake Essentials" display="https://in1.sugarondemand.com/ - Opportunities/3ed70f12-7ab5-11ec-9676-069e4f790264" xr:uid="{A0B521BF-0149-4D9B-8F5F-281AA739B14A}"/>
    <hyperlink ref="D342" r:id="rId341" location="Opportunities/2a22524a-3d78-11ec-a387-06141b6603a5" tooltip="RENOVAÇÃO SUBSCRIÇÃO 2024 - PET CENTER COMÉRCIO E PARTICIPAÇÕES S/A (PETZ)" display="https://in1.sugarondemand.com/ - Opportunities/2a22524a-3d78-11ec-a387-06141b6603a5" xr:uid="{59A53F1F-7106-482D-A3DF-CFD2D4A80CDE}"/>
    <hyperlink ref="D343" r:id="rId342" location="Opportunities/04d18b5c-35e2-11ec-9fcf-069e4f790264" tooltip="PETZ - licença em Subscrição Analyzer - 02 Licenças" display="https://in1.sugarondemand.com/ - Opportunities/04d18b5c-35e2-11ec-9fcf-069e4f790264" xr:uid="{DEFB4C26-BAEB-4DE2-9FAB-166BCDE4463E}"/>
    <hyperlink ref="D344" r:id="rId343" location="Opportunities/f14e29dc-35dc-11ec-9618-022c40d974e6" tooltip="PETZ - licença em Subscrição Analyzer - 15 Licenaças" display="https://in1.sugarondemand.com/ - Opportunities/f14e29dc-35dc-11ec-9618-022c40d974e6" xr:uid="{69BDD1E3-B73D-401F-98D2-235437C0EAF1}"/>
    <hyperlink ref="D345" r:id="rId344" location="Opportunities/9ccc5752-341b-11ec-a1af-02ae981fbade" tooltip="A10 - Petz -  R &amp; Python Dev/Prod (Instalar % Conectar Qlik Sense)" display="https://in1.sugarondemand.com/ - Opportunities/9ccc5752-341b-11ec-a1af-02ae981fbade" xr:uid="{4136189D-3796-4CAB-884F-28D02C2771E5}"/>
    <hyperlink ref="D346" r:id="rId345" location="Opportunities/be0846d6-22bb-11ec-bb58-022c40d974e6" tooltip="PETZ - Expand Subscrição Analyzer" display="https://in1.sugarondemand.com/ - Opportunities/be0846d6-22bb-11ec-bb58-022c40d974e6" xr:uid="{F27FB839-56B2-441A-A8CC-753B03BD2C70}"/>
    <hyperlink ref="D347" r:id="rId346" location="Opportunities/9dd71480-2227-11ec-8fe4-022c40d974e6" display="https://in1.sugarondemand.com/ - Opportunities/9dd71480-2227-11ec-8fe4-022c40d974e6" xr:uid="{FECBF7C5-85BD-4982-94EC-5D188C8F6D22}"/>
    <hyperlink ref="D348" r:id="rId347" location="Opportunities/9663c4b0-2064-11ec-9144-022c40d974e6" tooltip="PETZ - licença em Subscrição Analyzer" display="https://in1.sugarondemand.com/ - Opportunities/9663c4b0-2064-11ec-9144-022c40d974e6" xr:uid="{5EDA897E-8DA7-48D8-A610-27F5CA6080FF}"/>
    <hyperlink ref="D349" r:id="rId348" location="Opportunities/4d505b8c-1b1c-11ec-85d2-02ae981fbade" tooltip="PETZ - Expand Subscrição Analyzer" display="https://in1.sugarondemand.com/ - Opportunities/4d505b8c-1b1c-11ec-85d2-02ae981fbade" xr:uid="{77F0CA3C-9905-400A-A15C-5581424BD6CF}"/>
    <hyperlink ref="D350" r:id="rId349" location="Opportunities/343fc866-0ccc-11ec-bd36-02ae981fbade" tooltip="PET CENTER MARGINAL S.A. - Expand" display="https://in1.sugarondemand.com/ - Opportunities/343fc866-0ccc-11ec-bd36-02ae981fbade" xr:uid="{41C22E89-201D-4008-A611-85BCCDF90457}"/>
    <hyperlink ref="D351" r:id="rId350" location="Opportunities/2c7a53ac-072d-11ec-b4c2-02ae981fbade" tooltip="A10 - Petz Expansão Subscrição Qlik Sense Analyzer" display="https://in1.sugarondemand.com/ - Opportunities/2c7a53ac-072d-11ec-b4c2-02ae981fbade" xr:uid="{A206950B-B25F-4E93-9CFD-2BBC59E5FE54}"/>
    <hyperlink ref="D352" r:id="rId351" location="Opportunities/943d6590-02de-11ec-b363-0630baf9dcb8" tooltip="PETZ - Expansão Subscrição Qlik Sense Analyzer" display="https://in1.sugarondemand.com/ - Opportunities/943d6590-02de-11ec-b363-0630baf9dcb8" xr:uid="{4CCEBEAE-6E5A-44E8-AE45-D6A61BE22DD8}"/>
    <hyperlink ref="D353" r:id="rId352" location="Opportunities/8cc08044-f5f6-11eb-bde8-02ae981fbade" tooltip="PETZ - Expand Licenças Qlik Sense Analyzer" display="https://in1.sugarondemand.com/ - Opportunities/8cc08044-f5f6-11eb-bde8-02ae981fbade" xr:uid="{B7556F2D-8EA9-4088-BFFC-6968DFAEADB0}"/>
    <hyperlink ref="D354" r:id="rId353" location="Opportunities/a27a22ce-df61-11eb-a8a0-022c40d974e6" tooltip="PETZ - Expansão Subscrição Qlik Sense Analyzer" display="https://in1.sugarondemand.com/ - Opportunities/a27a22ce-df61-11eb-a8a0-022c40d974e6" xr:uid="{0B779D69-0FD9-4362-A33F-5B32109D26CF}"/>
    <hyperlink ref="D355" r:id="rId354" location="Opportunities/3e4fcdee-d9a8-11eb-b474-069e4f790264" tooltip="PETZ - Expansão Licenças - Subscrição Analyzer" display="https://in1.sugarondemand.com/ - Opportunities/3e4fcdee-d9a8-11eb-b474-069e4f790264" xr:uid="{BBB1F2CC-8D7D-473E-9B56-1B0277BF5B29}"/>
    <hyperlink ref="D356" r:id="rId355" location="Opportunities/c69463be-c8a9-11eb-a89c-02ae981fbade" tooltip="PETZ - licença em Subscrição Analyzer" display="https://in1.sugarondemand.com/ - Opportunities/c69463be-c8a9-11eb-a89c-02ae981fbade" xr:uid="{B47201F5-5ED3-442D-BD2E-E28A913686FF}"/>
    <hyperlink ref="D357" r:id="rId356" location="Opportunities/9c049ef0-b816-11eb-97e6-02ae981fbade" tooltip="PET CENTER MARGINAL S.A. - Expand (A-S00028284)" display="https://in1.sugarondemand.com/ - Opportunities/9c049ef0-b816-11eb-97e6-02ae981fbade" xr:uid="{6E00DE01-311E-4924-A0B6-927DD52D5335}"/>
    <hyperlink ref="D358" r:id="rId357" location="Opportunities/9242d5a0-b41d-11eb-8399-022c40d974e6" tooltip="PET CENTER MARGINAL S.A. - Expand (A-S00027850)" display="https://in1.sugarondemand.com/ - Opportunities/9242d5a0-b41d-11eb-8399-022c40d974e6" xr:uid="{DC95A4C4-D094-4BF5-99C6-A8D46167878C}"/>
    <hyperlink ref="D359" r:id="rId358" location="Opportunities/a928d354-a9d3-11eb-b861-022c40d974e6" tooltip="PETZ - licença em Subscrição" display="https://in1.sugarondemand.com/ - Opportunities/a928d354-a9d3-11eb-b861-022c40d974e6" xr:uid="{63FE3322-BFB1-4514-A895-60A6805A0BFF}"/>
    <hyperlink ref="D360" r:id="rId359" location="Opportunities/ac94750c-9227-11eb-9981-022c40d974e6" tooltip="PET CENTER MARGINAL S.A. - Expand" display="https://in1.sugarondemand.com/ - Opportunities/ac94750c-9227-11eb-9981-022c40d974e6" xr:uid="{DB93B664-6861-4BE5-9012-362EEE3934E2}"/>
    <hyperlink ref="D361" r:id="rId360" location="Opportunities/5216ea6c-876c-11eb-aa48-069e4f790264" display="https://in1.sugarondemand.com/ - Opportunities/5216ea6c-876c-11eb-aa48-069e4f790264" xr:uid="{CE30EF2A-6C61-4F79-8C83-08C912349BC6}"/>
    <hyperlink ref="D362" r:id="rId361" location="Opportunities/957cd530-6c98-11eb-9671-0630baf9dcb8" display="https://in1.sugarondemand.com/ - Opportunities/957cd530-6c98-11eb-9671-0630baf9dcb8" xr:uid="{FBA7E7DC-6E70-4BCF-879D-9B09188F3B14}"/>
    <hyperlink ref="D363" r:id="rId362" location="Opportunities/5f24b86c-6c71-11eb-b303-0630baf9dcb8" display="https://in1.sugarondemand.com/ - Opportunities/5f24b86c-6c71-11eb-b303-0630baf9dcb8" xr:uid="{5A722190-8ED6-4FE4-B90A-4C5605F33C64}"/>
    <hyperlink ref="D364" r:id="rId363" location="Opportunities/25970a18-67ef-11eb-98c2-0630baf9dcb8" display="https://in1.sugarondemand.com/ - Opportunities/25970a18-67ef-11eb-98c2-0630baf9dcb8" xr:uid="{77A97E4C-1FC8-423F-BBCD-B6CF5440381C}"/>
    <hyperlink ref="D365" r:id="rId364" location="Opportunities/694de326-6718-11eb-87c9-0630baf9dcb8" display="https://in1.sugarondemand.com/ - Opportunities/694de326-6718-11eb-87c9-0630baf9dcb8" xr:uid="{73054DBB-AD0D-4CEE-9482-AA671704034C}"/>
    <hyperlink ref="D366" r:id="rId365" location="Opportunities/5647e054-3713-11eb-891e-02ae981fbade" display="https://in1.sugarondemand.com/ - Opportunities/5647e054-3713-11eb-891e-02ae981fbade" xr:uid="{BA762BAE-5392-4449-9837-D0F9837425DE}"/>
    <hyperlink ref="D367" r:id="rId366" location="Opportunities/e905f946-29a1-11eb-b51f-069e4f790264" display="https://in1.sugarondemand.com/ - Opportunities/e905f946-29a1-11eb-b51f-069e4f790264" xr:uid="{1E69CF8D-6E01-4E05-8331-8193B08954A6}"/>
    <hyperlink ref="D368" r:id="rId367" location="Opportunities/3a3a23dc-1ae8-11eb-a700-022c40d974e6" tooltip="Expand - 04 QSA" display="https://in1.sugarondemand.com/ - Opportunities/3a3a23dc-1ae8-11eb-a700-022c40d974e6" xr:uid="{0FB5EAD1-CD37-4945-BE46-FA8B825E3667}"/>
    <hyperlink ref="D369" r:id="rId368" location="Opportunities/5c01f90c-0faa-11eb-9a93-02ae981fbade" tooltip="RENOVAÇÃO 2021 - PET CENTER MARGINAL - PETZ" display="https://in1.sugarondemand.com/ - Opportunities/5c01f90c-0faa-11eb-9a93-02ae981fbade" xr:uid="{94D98985-2E1B-496F-838B-A1EBD4999BF6}"/>
    <hyperlink ref="D370" r:id="rId369" location="Opportunities/6cc00496-0e42-11eb-88af-069e4f790264" tooltip="Petz - Expand Qlik Sense Analyzer" display="https://in1.sugarondemand.com/ - Opportunities/6cc00496-0e42-11eb-88af-069e4f790264" xr:uid="{938D1ED1-C04D-4764-9C69-EBD600399CD8}"/>
    <hyperlink ref="D371" r:id="rId370" location="Opportunities/39199b2e-036c-11eb-bf06-02ae981fbade" display="https://in1.sugarondemand.com/ - Opportunities/39199b2e-036c-11eb-bf06-02ae981fbade" xr:uid="{8932669B-F8E9-47E6-82EA-60C081404DDD}"/>
    <hyperlink ref="D372" r:id="rId371" location="Opportunities/fa9983ac-ff3b-11ea-ac09-0630baf9dcb8" tooltip="PETZ - Treinamentos Qlik Sense" display="https://in1.sugarondemand.com/ - Opportunities/fa9983ac-ff3b-11ea-ac09-0630baf9dcb8" xr:uid="{77643FDD-4B98-4632-8DD5-5C1192B45578}"/>
    <hyperlink ref="D373" r:id="rId372" location="Opportunities/cafacb44-fe99-11ea-8b54-069e4f790264" tooltip="PETZ - Expand Licenças Qlik Sense Analyzer" display="https://in1.sugarondemand.com/ - Opportunities/cafacb44-fe99-11ea-8b54-069e4f790264" xr:uid="{EADE3A28-14AB-4D2B-ADDA-49E60E36BE47}"/>
    <hyperlink ref="D374" r:id="rId373" location="Opportunities/2b343332-e0c8-11ea-8573-0630baf9dcb8" tooltip="PETZ - Expand Licenças Qlik Sense Analyzer" display="https://in1.sugarondemand.com/ - Opportunities/2b343332-e0c8-11ea-8573-0630baf9dcb8" xr:uid="{4B1E83DA-25EA-450C-916C-487C92867471}"/>
    <hyperlink ref="D375" r:id="rId374" location="Opportunities/be67ac72-b186-11ea-9634-02ae981fbade" tooltip="PETZ - Expand Licenças Qlik Sense Professional" display="https://in1.sugarondemand.com/ - Opportunities/be67ac72-b186-11ea-9634-02ae981fbade" xr:uid="{8BC8108B-80A5-46C0-B5A1-F8C2BA78E93E}"/>
    <hyperlink ref="D376" r:id="rId375" location="Opportunities/bfba64f0-596d-11ea-987e-069e4f790264" display="https://in1.sugarondemand.com/ - Opportunities/bfba64f0-596d-11ea-987e-069e4f790264" xr:uid="{168BE3A8-9001-4C13-95D4-0FBECD2F2AEE}"/>
    <hyperlink ref="D377" r:id="rId376" location="Opportunities/92344f7a-3e18-11ea-8ced-0630baf9dcb8" tooltip="PETZ - Expand Dual License" display="https://in1.sugarondemand.com/ - Opportunities/92344f7a-3e18-11ea-8ced-0630baf9dcb8" xr:uid="{919A4C5A-46D1-48C2-B742-B514EA5AF82A}"/>
    <hyperlink ref="D378" r:id="rId377" location="Opportunities/e361944e-1c20-11ea-a828-02ae981fbade" tooltip="PETZ - Arquitetura Redundante Qlik Sense" display="https://in1.sugarondemand.com/ - Opportunities/e361944e-1c20-11ea-a828-02ae981fbade" xr:uid="{DF273AFB-BB6C-461F-88CD-55DE7A008778}"/>
    <hyperlink ref="D379" r:id="rId378" location="Opportunities/6d2f9f84-1b83-11ea-9552-022c40d974e6" display="https://in1.sugarondemand.com/ - Opportunities/6d2f9f84-1b83-11ea-9552-022c40d974e6" xr:uid="{6573CCAC-C5E5-47A2-BA17-ACE23DB48258}"/>
    <hyperlink ref="D380" r:id="rId379" location="Opportunities/7867f412-4a8e-11e9-8b78-069e4f790264" display="https://in1.sugarondemand.com/ - Opportunities/7867f412-4a8e-11e9-8b78-069e4f790264" xr:uid="{9C09BB4B-544A-43CD-9D28-456806D41D7A}"/>
    <hyperlink ref="D381" r:id="rId380" location="Opportunities/0f88d7b6-1fd9-11e9-8cdf-0630baf9dcb8" display="https://in1.sugarondemand.com/ - Opportunities/0f88d7b6-1fd9-11e9-8cdf-0630baf9dcb8" xr:uid="{11724D42-1920-4F10-941F-711231EC93EE}"/>
    <hyperlink ref="D382" r:id="rId381" location="Opportunities/48e25176-1fd0-11e9-a7ad-02ae981fbade" tooltip="PET CENTER MARGINAL S.A. SS Uplift Dual User" display="https://in1.sugarondemand.com/ - Opportunities/48e25176-1fd0-11e9-a7ad-02ae981fbade" xr:uid="{3E2C3C94-0BE4-49C2-AAD8-96D4D2D621B7}"/>
    <hyperlink ref="D383" r:id="rId382" location="Opportunities/48a66e54-1fd0-11e9-ab00-02ae981fbade" display="https://in1.sugarondemand.com/ - Opportunities/48a66e54-1fd0-11e9-ab00-02ae981fbade" xr:uid="{A7E86601-3719-4441-9202-E20CD657E65F}"/>
    <hyperlink ref="D384" r:id="rId383" location="Opportunities/a86d2fe2-1663-11e9-975c-02ae981fbade" display="https://in1.sugarondemand.com/ - Opportunities/a86d2fe2-1663-11e9-975c-02ae981fbade" xr:uid="{9B116CB3-1ABB-4FD6-B163-00B5111731C8}"/>
    <hyperlink ref="D385" r:id="rId384" location="Opportunities/e11a4332-12af-11e9-9b01-069e4f790264" display="https://in1.sugarondemand.com/ - Opportunities/e11a4332-12af-11e9-9b01-069e4f790264" xr:uid="{BBCF93C8-1D4C-4697-A442-46B8647B89B3}"/>
    <hyperlink ref="R392" r:id="rId385" display="javascript:void(0);" xr:uid="{3650D797-B17D-4094-B7DA-D65E7F2203F8}"/>
    <hyperlink ref="D386" r:id="rId386" location="Opportunities/e0fc6e3e-12af-11e9-8e21-069e4f790264" tooltip="Petz - Expand - Publisher" display="https://in1.sugarondemand.com/ - Opportunities/e0fc6e3e-12af-11e9-8e21-069e4f790264" xr:uid="{E02C6326-A4C7-4BE3-8E2E-9A878DB29173}"/>
    <hyperlink ref="D387" r:id="rId387" location="Opportunities/e0e25a30-12af-11e9-8b15-069e4f790264" tooltip="PET CENTER MARGINAL S.A.  Expand 5 Nameds" display="https://in1.sugarondemand.com/ - Opportunities/e0e25a30-12af-11e9-8b15-069e4f790264" xr:uid="{A5036ADF-3897-4BDD-A768-47380DB02CC4}"/>
    <hyperlink ref="D388" r:id="rId388" location="Opportunities/e0c78b06-12af-11e9-85ec-069e4f790264" tooltip="PET CENTER MARGINAL S.A.  Petz  Expand" display="https://in1.sugarondemand.com/ - Opportunities/e0c78b06-12af-11e9-85ec-069e4f790264" xr:uid="{FD3A9C84-80DD-4A6D-A93B-C1FA725EF2D8}"/>
    <hyperlink ref="D389" r:id="rId389" location="Opportunities/e0ad7ce8-12af-11e9-89b8-069e4f790264" tooltip="Pet Center Marcinal  Expand  25Docs" display="https://in1.sugarondemand.com/ - Opportunities/e0ad7ce8-12af-11e9-89b8-069e4f790264" xr:uid="{F9E99907-E3EE-4726-88D6-D77E64F90E24}"/>
    <hyperlink ref="D390" r:id="rId390" location="Opportunities/e09300ca-12af-11e9-bf97-069e4f790264" tooltip="PET CENTER MARGINAL S.A." display="https://in1.sugarondemand.com/ - Opportunities/e09300ca-12af-11e9-bf97-069e4f790264" xr:uid="{19D43154-2523-4488-BCAA-2E1C5F270698}"/>
    <hyperlink ref="D391" r:id="rId391" location="Opportunities/03dfa7f2-0a0b-11e9-8323-0630baf9dcb8" tooltip="RENOVAÇÃO 2017 - Pet Center" display="https://in1.sugarondemand.com/ - Opportunities/03dfa7f2-0a0b-11e9-8323-0630baf9dcb8" xr:uid="{FA251D64-3119-424D-9293-2497FD8A7C52}"/>
    <hyperlink ref="D392" r:id="rId392" location="Opportunities/03a3fe3c-0a0b-11e9-849a-0630baf9dcb8" tooltip="RENOVAÇÃO 2016 - Pet center" display="https://in1.sugarondemand.com/ - Opportunities/03a3fe3c-0a0b-11e9-849a-0630baf9dcb8" xr:uid="{43CA7442-4B0D-4B81-AAC2-F3CE181867E7}"/>
    <hyperlink ref="D393" r:id="rId393" location="Opportunities/0368fda0-0a0b-11e9-85b4-0630baf9dcb8" display="https://in1.sugarondemand.com/ - Opportunities/0368fda0-0a0b-11e9-85b4-0630baf9dcb8" xr:uid="{414FEC73-AF8E-498A-8668-91289D7BD28F}"/>
    <hyperlink ref="R400" r:id="rId394" display="javascript:void(0);" xr:uid="{20FF0006-C4E0-4FB5-8F9C-247B90692B38}"/>
    <hyperlink ref="D394" r:id="rId395" location="Opportunities/7962367c-3c63-11ee-a070-0630baf9dcb8" tooltip="A10 School -Treinamento Qlik - Eldorado Brasil" display="https://in1.sugarondemand.com/ - Opportunities/7962367c-3c63-11ee-a070-0630baf9dcb8" xr:uid="{8DA42657-AC5E-4B86-88F4-0340DF08F4F9}"/>
    <hyperlink ref="D395" r:id="rId396" location="Opportunities/64c4a626-3c65-11ee-91af-06141b6603a5" display="https://in1.sugarondemand.com/ - Opportunities/64c4a626-3c65-11ee-91af-06141b6603a5" xr:uid="{385CC10A-0C0D-4B6D-BA63-475318BFFD45}"/>
    <hyperlink ref="D396" r:id="rId397" location="Opportunities/e467e508-ba5c-11ee-acf3-06141b6603a5" tooltip="A10 - Eldorado - Migração Qlik" display="https://in1.sugarondemand.com/ - Opportunities/e467e508-ba5c-11ee-acf3-06141b6603a5" xr:uid="{39574FC5-5ABF-44C1-AEC2-3D15C8394D56}"/>
    <hyperlink ref="D397" r:id="rId398" location="Opportunities/420c79ae-4054-11ee-979e-06141b6603a5" tooltip="A10 - Eldorado - Consultoria / Serviços – Projetos Qlik" display="https://in1.sugarondemand.com/ - Opportunities/420c79ae-4054-11ee-979e-06141b6603a5" xr:uid="{94012F3F-CA8B-4880-96F6-0AF2E54CEFBA}"/>
    <hyperlink ref="D398" r:id="rId399" location="Opportunities/654fa514-1fd2-11e9-9904-022c40d974e6" tooltip="Unimed Seguros | CRM" display="https://in1.sugarondemand.com/ - Opportunities/654fa514-1fd2-11e9-9904-022c40d974e6" xr:uid="{7E843F70-E5F0-4E80-B077-54FBC17DE419}"/>
    <hyperlink ref="D399" r:id="rId400" location="Opportunities/a994f968-1663-11e9-b330-02ae981fbade" display="https://in1.sugarondemand.com/ - Opportunities/a994f968-1663-11e9-b330-02ae981fbade" xr:uid="{32470208-2650-4D48-84FE-5323F9FFD146}"/>
    <hyperlink ref="D400" r:id="rId401" location="Opportunities/66cdb7a0-1fd2-11e9-aea8-022c40d974e6" display="https://in1.sugarondemand.com/ - Opportunities/66cdb7a0-1fd2-11e9-aea8-022c40d974e6" xr:uid="{6A090F77-6508-45A8-AEB5-BE1A648B46B4}"/>
    <hyperlink ref="D401" r:id="rId402" location="Opportunities/99f819f4-1663-11e9-90d9-022c40d974e6" display="https://in1.sugarondemand.com/ - Opportunities/99f819f4-1663-11e9-90d9-022c40d974e6" xr:uid="{C23B080D-6574-416D-8777-0BAF16FC446C}"/>
    <hyperlink ref="D402" r:id="rId403" location="Opportunities/7462f2a2-686c-11ea-bdf7-069e4f790264" display="https://in1.sugarondemand.com/ - Opportunities/7462f2a2-686c-11ea-bdf7-069e4f790264" xr:uid="{D800C3B9-7E6F-417F-A2F8-89B4F575B27B}"/>
    <hyperlink ref="D403" r:id="rId404" location="Opportunities/47670e60-686b-11ea-a739-02ae981fbade" tooltip="Unimed Seguros -Centro de Custo (CR): 4012500" display="https://in1.sugarondemand.com/ - Opportunities/47670e60-686b-11ea-a739-02ae981fbade" xr:uid="{216DC85B-D49F-4F57-AED3-21F2DE0853CB}"/>
    <hyperlink ref="D404" r:id="rId405" location="Opportunities/63f67bac-bab4-11ee-977c-022c40d974e6" tooltip="Unimed Seguros - Transição CSTreina" display="https://in1.sugarondemand.com/ - Opportunities/63f67bac-bab4-11ee-977c-022c40d974e6" xr:uid="{9FF45235-4B2C-449B-9B0F-46A89D9EAC4D}"/>
    <hyperlink ref="D405" r:id="rId406" location="Opportunities/feaef2d0-1f5c-11e9-b1b0-02ae981fbade" tooltip="Unimed Seguros - Licenças QLIK (Expand)" display="https://in1.sugarondemand.com/ - Opportunities/feaef2d0-1f5c-11e9-b1b0-02ae981fbade" xr:uid="{82F3E2BB-A3EF-4E81-9B6A-49B9A280DD58}"/>
    <hyperlink ref="D406" r:id="rId407" location="Opportunities/da1065a8-5bde-11ee-9577-069e4f790264" tooltip="Unimed Seguros - Expand Alocação 03 Consultores" display="https://in1.sugarondemand.com/ - Opportunities/da1065a8-5bde-11ee-9577-069e4f790264" xr:uid="{D7A8C7DE-EB11-4B84-816E-7760C4A51BA8}"/>
    <hyperlink ref="D407" r:id="rId408" location="Opportunities/8abbeeee-bf02-11eb-a90d-022c40d974e6" tooltip="Unimed Seguros - Expand" display="https://in1.sugarondemand.com/ - Opportunities/8abbeeee-bf02-11eb-a90d-022c40d974e6" xr:uid="{A3617DA0-1260-424A-961B-D60B9100DADA}"/>
    <hyperlink ref="D408" r:id="rId409" location="Opportunities/316e94c0-4458-11ea-8340-022c40d974e6" tooltip="Unimed Seguros - Expand" display="https://in1.sugarondemand.com/ - Opportunities/316e94c0-4458-11ea-8340-022c40d974e6" xr:uid="{BD5587D8-391C-4683-81C0-EBE151D7E6A5}"/>
    <hyperlink ref="D409" r:id="rId410" location="Opportunities/df9e7448-7a90-11ea-8604-069e4f790264" tooltip="Unimed Seguros - Banco de Horas de Consultoria 2020" display="https://in1.sugarondemand.com/ - Opportunities/df9e7448-7a90-11ea-8604-069e4f790264" xr:uid="{128C126A-E56F-4CFF-BB20-D0E700529A21}"/>
    <hyperlink ref="D410" r:id="rId411" location="Opportunities/1e2e924a-0e09-11eb-bccc-02ae981fbade" tooltip="Unimed Seguros - Banco de Horas de Consultoria 2020" display="https://in1.sugarondemand.com/ - Opportunities/1e2e924a-0e09-11eb-bccc-02ae981fbade" xr:uid="{589F4934-01AB-422C-9433-CFDB11BBA12F}"/>
    <hyperlink ref="D411" r:id="rId412" location="Opportunities/fc0e7ad8-981a-11ed-a446-02b0ee514bc7" tooltip="Unimed Seguros - Alocação Diego Andrade" display="https://in1.sugarondemand.com/ - Opportunities/fc0e7ad8-981a-11ed-a446-02b0ee514bc7" xr:uid="{F414A845-3243-4921-8E9C-E6F82B274FAA}"/>
    <hyperlink ref="D412" r:id="rId413" location="Opportunities/e57d5370-eb7f-11ee-ba9a-022c40d974e6" tooltip="Unimed Seguros - Alocação Complementar Abril a Junho/2024" display="https://in1.sugarondemand.com/ - Opportunities/e57d5370-eb7f-11ee-ba9a-022c40d974e6" xr:uid="{0E16D6B4-1195-4CC3-BA8F-CEDA2BB0072E}"/>
    <hyperlink ref="D413" r:id="rId414" location="Opportunities/e55ede1e-91d4-11ed-900c-022c40d974e6" tooltip="Unimed Seguros - Alocação - Julho/23 a Dezembro/23 (19 Consultores) - Parte I - TERMO ADITIVO 013 - CONTRATO N° 2017/1748" display="https://in1.sugarondemand.com/ - Opportunities/e55ede1e-91d4-11ed-900c-022c40d974e6" xr:uid="{15B7F753-B30D-43F3-A0D0-9FA16F23A4E3}"/>
    <hyperlink ref="D414" r:id="rId415" location="Opportunities/0f2d5280-7587-11ed-894c-06397e66b9cd" tooltip="Unimed Seguros - Alocação - 18 Consultores de Janeiro a Junho/2023 - TERMO ADITIVO 012 - CONTRATO N° 2017_1748" display="https://in1.sugarondemand.com/ - Opportunities/0f2d5280-7587-11ed-894c-06397e66b9cd" xr:uid="{211DD793-9B03-46B3-88B6-F4ED58C21445}"/>
    <hyperlink ref="D415" r:id="rId416" location="Opportunities/84b61316-baeb-11ee-b0e5-06141b6603a5" tooltip="Unimed Seguros - Alocação -  Jul/24 a Dez/24 (Parte IV)" display="https://in1.sugarondemand.com/ - Opportunities/84b61316-baeb-11ee-b0e5-06141b6603a5" xr:uid="{23E4F003-17B2-48C0-A2C1-A9D1268F5B59}"/>
    <hyperlink ref="D416" r:id="rId417" location="Opportunities/9119648e-ba3a-11ee-9e7e-022c40d974e6" display="https://in1.sugarondemand.com/ - Opportunities/9119648e-ba3a-11ee-9e7e-022c40d974e6" xr:uid="{A3EA0DF4-DDF6-4B96-886D-EF58501C6F8E}"/>
    <hyperlink ref="D417" r:id="rId418" location="Opportunities/0c7f8c30-57de-11ee-bc12-069e4f790264" tooltip="Unimed Seguros - Alocação -  Jan/24 a Junho/24 (Parte II - Complemento 63581)" display="https://in1.sugarondemand.com/ - Opportunities/0c7f8c30-57de-11ee-bc12-069e4f790264" xr:uid="{1FB80CF7-D217-4202-B280-3A9EED374156}"/>
    <hyperlink ref="D418" r:id="rId419" location="Opportunities/9a169b5e-1663-11e9-ac16-022c40d974e6" tooltip="Unimed Seguradora S/A Test Site ID 0734600" display="https://in1.sugarondemand.com/ - Opportunities/9a169b5e-1663-11e9-ac16-022c40d974e6" xr:uid="{339BEB59-8EFC-4040-B7DC-6310FB4EF360}"/>
    <hyperlink ref="D419" r:id="rId420" location="Opportunities/9a350eae-1663-11e9-96e4-022c40d974e6" tooltip="Unimed Seguradora S/A Expand 100 analyzer ID 0812972" display="https://in1.sugarondemand.com/ - Opportunities/9a350eae-1663-11e9-96e4-022c40d974e6" xr:uid="{DCCBCA4F-5388-4DD9-B48A-6BA1D93AE9A4}"/>
    <hyperlink ref="D420" r:id="rId421" location="Opportunities/d5dd7b62-6523-11e9-8b1f-069e4f790264" tooltip="Unimed Seguradora S/A  -  Expand" display="https://in1.sugarondemand.com/ - Opportunities/d5dd7b62-6523-11e9-8b1f-069e4f790264" xr:uid="{21B2D9A7-0061-441E-BF89-250598BF95A8}"/>
    <hyperlink ref="D421" r:id="rId422" location="Opportunities/db9f9b1a-1a75-11ed-a909-02b0ee514bc7" display="https://in1.sugarondemand.com/ - Opportunities/db9f9b1a-1a75-11ed-a909-02b0ee514bc7" xr:uid="{FEC35DE2-1FF9-47E6-A862-DBBDD2D24441}"/>
    <hyperlink ref="D422" r:id="rId423" location="Opportunities/c45fc9a2-3cae-11ec-9d66-0630baf9dcb8" tooltip="RENOVAÇÃO 2022 - UNIMED SEGURO SAÚDE - Seguradora" display="https://in1.sugarondemand.com/ - Opportunities/c45fc9a2-3cae-11ec-9d66-0630baf9dcb8" xr:uid="{D2A10FC2-4A48-476B-B671-CBCFD453992B}"/>
    <hyperlink ref="D423" r:id="rId424" location="Opportunities/aeba56ba-0fb6-11eb-8377-0630baf9dcb8" tooltip="RENOVAÇÃO 2021 - UNIMED SEGURO SAÚDE - Seguradora" display="https://in1.sugarondemand.com/ - Opportunities/aeba56ba-0fb6-11eb-8377-0630baf9dcb8" xr:uid="{99AE1D04-F2F1-40AD-B0A5-2F6C2CEA4674}"/>
    <hyperlink ref="D424" r:id="rId425" location="Opportunities/0dc4d65a-9ad5-11ea-b12a-069e4f790264" tooltip="Renovação 2020 - Unimed Seguradora" display="https://in1.sugarondemand.com/ - Opportunities/0dc4d65a-9ad5-11ea-b12a-069e4f790264" xr:uid="{BDEA530D-C8C4-4B7B-8970-9D356AE07173}"/>
    <hyperlink ref="D425" r:id="rId426" location="Opportunities/bd524300-00cf-11ea-b9e1-022c40d974e6" display="https://in1.sugarondemand.com/ - Opportunities/bd524300-00cf-11ea-b9e1-022c40d974e6" xr:uid="{66136857-2AD4-40BD-8CC0-4F05D912F8E6}"/>
    <hyperlink ref="D426" r:id="rId427" location="Opportunities/137909e2-0a0b-11e9-942f-0630baf9dcb8" display="https://in1.sugarondemand.com/ - Opportunities/137909e2-0a0b-11e9-942f-0630baf9dcb8" xr:uid="{9710400A-CB5D-4542-8275-79E76A56FC83}"/>
    <hyperlink ref="D427" r:id="rId428" location="Opportunities/b718dee8-9f2e-11e9-9b1a-02ae981fbade" tooltip="A10 - Unimed Seguros - TRE Customizado" display="https://in1.sugarondemand.com/ - Opportunities/b718dee8-9f2e-11e9-9b1a-02ae981fbade" xr:uid="{76083032-1E4C-4BBD-9CDE-AC54CA6130CD}"/>
    <hyperlink ref="D428" r:id="rId429" location="Opportunities/48858b5c-ec2c-11e9-bd07-069e4f790264" tooltip="A10 - Unimed Seguros - Sustentação Ambiente Qlik Sense on AWS" display="https://in1.sugarondemand.com/ - Opportunities/48858b5c-ec2c-11e9-bd07-069e4f790264" xr:uid="{ADE73E46-A4B9-4543-9F70-DFF28A7E80F4}"/>
    <hyperlink ref="D429" r:id="rId430" location="Opportunities/3244b0e6-8946-11e9-a525-022c40d974e6" tooltip="A10 - Unimed Seguros - Recuperação de ambiente Qlik Sense (Incidente Tivit)" display="https://in1.sugarondemand.com/ - Opportunities/3244b0e6-8946-11e9-a525-022c40d974e6" xr:uid="{1EAA9126-E3D7-4B05-89D4-C87F4E9935FE}"/>
    <hyperlink ref="D430" r:id="rId431" location="Opportunities/f6d4f2fe-bdee-11e9-a9b8-0630baf9dcb8" tooltip="A10 - Unimed Seguros - Migração AWS" display="https://in1.sugarondemand.com/ - Opportunities/f6d4f2fe-bdee-11e9-a9b8-0630baf9dcb8" xr:uid="{E93DA6D1-3015-495C-A0FD-01288E23395F}"/>
    <hyperlink ref="D431" r:id="rId432" location="Opportunities/e6093092-0c73-11ea-b3ce-02ae981fbade" tooltip="A10 - Unimed Seguros - Banco de Horas [Centro de Custo CR 4010700]" display="https://in1.sugarondemand.com/ - Opportunities/e6093092-0c73-11ea-b3ce-02ae981fbade" xr:uid="{42E1448D-7098-4187-B5F7-1AC06EAD7F61}"/>
    <hyperlink ref="D432" r:id="rId433" location="Opportunities/ab0cbb84-42ca-11ea-8ae7-02ae981fbade" display="https://in1.sugarondemand.com/ - Opportunities/ab0cbb84-42ca-11ea-8ae7-02ae981fbade" xr:uid="{9A6B21CB-F859-4C3A-A00A-06D03B0F80BF}"/>
    <hyperlink ref="D433" r:id="rId434" location="Opportunities/4470c4e4-eea9-11e9-b6b2-0630baf9dcb8" tooltip="A10 - Unimed Seguros - Banco de Horas - Centro de Custo: CR 180001/CA 5143" display="https://in1.sugarondemand.com/ - Opportunities/4470c4e4-eea9-11e9-b6b2-0630baf9dcb8" xr:uid="{83C75FD7-F3E6-44CF-8E8D-DEB47B15A4E0}"/>
    <hyperlink ref="D434" r:id="rId435" location="Opportunities/d94fe528-6523-11e9-bbbf-069e4f790264" tooltip="A10 - Unimed Seguros - Banco de Horas - Centro de Custo1080001 (Março 2019)" display="https://in1.sugarondemand.com/ - Opportunities/d94fe528-6523-11e9-bbbf-069e4f790264" xr:uid="{EAEDCF2C-F01A-4016-82C4-C86AE11BA9A3}"/>
    <hyperlink ref="D435" r:id="rId436" location="Opportunities/003e228c-eeac-11e9-bfa7-069e4f790264" tooltip="A10 - Unimed Seguros - Banco de Horas - Centro de Custo CR 4020200" display="https://in1.sugarondemand.com/ - Opportunities/003e228c-eeac-11e9-bfa7-069e4f790264" xr:uid="{898E3421-3891-4845-BBD2-FA202140A88D}"/>
    <hyperlink ref="D436" r:id="rId437" location="Opportunities/7c833c2a-12af-11ea-b058-069e4f790264" tooltip="A10 - Unimed Seguros - Banco de Horas - Centro de Custo CR 1071200" display="https://in1.sugarondemand.com/ - Opportunities/7c833c2a-12af-11ea-b058-069e4f790264" xr:uid="{EA17CA52-12AB-4051-966F-582C25E9EA46}"/>
    <hyperlink ref="D437" r:id="rId438" location="Opportunities/9f900b1c-e9d8-11e9-b38e-0630baf9dcb8" tooltip="A10 - Unimed Seguros - Banco de Horas - Centro de Custo Aporte CR 4012500" display="https://in1.sugarondemand.com/ - Opportunities/9f900b1c-e9d8-11e9-b38e-0630baf9dcb8" xr:uid="{4C9CA9EF-A1CB-4C59-9AF2-5DFBC1EB6A73}"/>
    <hyperlink ref="D438" r:id="rId439" location="Opportunities/064e1810-cb27-11e9-bc29-069e4f790264" tooltip="A10 - Unimed Seguros - Banco de Horas - Centro de Custo 4020200 - Anual" display="https://in1.sugarondemand.com/ - Opportunities/064e1810-cb27-11e9-bc29-069e4f790264" xr:uid="{2BC752DA-0C7A-41AB-8B56-1902DAB51C59}"/>
    <hyperlink ref="D439" r:id="rId440" location="Opportunities/d6772384-6523-11e9-bd3a-069e4f790264" tooltip="A10 - Unimed Seguros - Banco de Horas - Centro de Custo 4020200 (Fev 2019)" display="https://in1.sugarondemand.com/ - Opportunities/d6772384-6523-11e9-bd3a-069e4f790264" xr:uid="{BB5002A8-FFDD-4CB3-8E0C-DDDB2E0ADE01}"/>
    <hyperlink ref="D440" r:id="rId441" location="Opportunities/2b4bb134-966d-11e9-9409-069e4f790264" tooltip="A10 - Unimed Seguros - Banco de Horas - Centro de Custo 4020200 ( Junho 2019)" display="https://in1.sugarondemand.com/ - Opportunities/2b4bb134-966d-11e9-9409-069e4f790264" xr:uid="{47C0917B-7C7F-4800-8001-E6AB9E03E98A}"/>
    <hyperlink ref="D441" r:id="rId442" location="Opportunities/352b2afe-c36d-11e9-bb73-022c40d974e6" tooltip="A10 - Unimed Seguros - Banco de Horas - Centro de Custo 4020200" display="https://in1.sugarondemand.com/ - Opportunities/352b2afe-c36d-11e9-bb73-022c40d974e6" xr:uid="{EE4975B8-316A-42AC-B0BC-9A253C6B669E}"/>
    <hyperlink ref="D442" r:id="rId443" location="Opportunities/34b8a924-ae24-11e9-a950-02ae981fbade" tooltip="A10 - Unimed Seguros - Banco de Horas - Centro de Custo 4020200" display="https://in1.sugarondemand.com/ - Opportunities/34b8a924-ae24-11e9-a950-02ae981fbade" xr:uid="{9C034936-022A-4B43-BAB1-8EEFAC9BC37D}"/>
    <hyperlink ref="D443" r:id="rId444" location="Opportunities/d98cf36e-6523-11e9-bdcb-069e4f790264" tooltip="A10 - Unimed Seguros - Banco de Horas - Centro de Custo 4012500 (Março 2019)" display="https://in1.sugarondemand.com/ - Opportunities/d98cf36e-6523-11e9-bdcb-069e4f790264" xr:uid="{7EB3CDCE-090F-489D-A2D4-8AF1218EAEBE}"/>
    <hyperlink ref="D444" r:id="rId445" location="Opportunities/d86894c0-6523-11e9-af63-069e4f790264" display="https://in1.sugarondemand.com/ - Opportunities/d86894c0-6523-11e9-af63-069e4f790264" xr:uid="{B2E52378-45C4-4B97-B2FA-9AC1BE008322}"/>
    <hyperlink ref="D445" r:id="rId446" location="Opportunities/1cb214ac-53e5-11ea-8df9-069e4f790264" tooltip="A10 - Unimed Seguros - Banco de Horas - Centro de Custo 4012500" display="https://in1.sugarondemand.com/ - Opportunities/1cb214ac-53e5-11ea-8df9-069e4f790264" xr:uid="{8B70C8D2-E54E-4177-9DB5-ACD6C17620C3}"/>
    <hyperlink ref="D446" r:id="rId447" location="Opportunities/893e5930-1ff8-11ea-a954-069e4f790264" tooltip="A10 - Unimed Seguros - Banco de Horas - Centro de Custo 2032100" display="https://in1.sugarondemand.com/ - Opportunities/893e5930-1ff8-11ea-a954-069e4f790264" xr:uid="{5179FB63-15DF-450B-848F-1D08E60B31C2}"/>
    <hyperlink ref="D447" r:id="rId448" location="Opportunities/83e01c44-dbb5-11e9-8dae-022c40d974e6" tooltip="A10 - Unimed Seguros - Banco de Horas - Centro de Custo 2032100" display="https://in1.sugarondemand.com/ - Opportunities/83e01c44-dbb5-11e9-8dae-022c40d974e6" xr:uid="{25582ACB-70DF-4A80-8994-A3C0C2A5DEF9}"/>
    <hyperlink ref="D448" r:id="rId449" location="Opportunities/bf9eb220-cb27-11e9-a2ba-02ae981fbade" tooltip="A10 - Unimed Seguros - Banco de Horas - Centro de Custo 2030100 - Anual" display="https://in1.sugarondemand.com/ - Opportunities/bf9eb220-cb27-11e9-a2ba-02ae981fbade" xr:uid="{4955FC96-A773-4F35-8FC0-6418E281716A}"/>
    <hyperlink ref="D449" r:id="rId450" location="Opportunities/d96eb160-6523-11e9-9260-069e4f790264" tooltip="A10 - Unimed Seguros - Banco de Horas - Centro de Custo 2030100 (Março 2019)" display="https://in1.sugarondemand.com/ - Opportunities/d96eb160-6523-11e9-9260-069e4f790264" xr:uid="{8B79DB0F-B422-4661-BDCF-C8AAAE14C6F5}"/>
    <hyperlink ref="D450" r:id="rId451" location="Opportunities/cac143f4-966e-11e9-9e5c-022c40d974e6" tooltip="A10 - Unimed Seguros - Banco de Horas - Centro de Custo 2030100 (Maio 2019)" display="https://in1.sugarondemand.com/ - Opportunities/cac143f4-966e-11e9-9e5c-022c40d974e6" xr:uid="{95B52066-A52B-477C-9C15-ACC60BE0B3FF}"/>
    <hyperlink ref="D451" r:id="rId452" location="Opportunities/d6b3ec7e-6523-11e9-ad09-069e4f790264" tooltip="A10 - Unimed Seguros - Banco de Horas - Centro de Custo 2030100 (Fev 2019)" display="https://in1.sugarondemand.com/ - Opportunities/d6b3ec7e-6523-11e9-ad09-069e4f790264" xr:uid="{537B0D64-A218-46B8-A76C-3FC21F885000}"/>
    <hyperlink ref="D452" r:id="rId453" location="Opportunities/f1411514-87d6-11e9-b910-022c40d974e6" tooltip="A10 - Unimed Seguros - Banco de Horas - Centro de Custo 2030100 (Abril 2019)" display="https://in1.sugarondemand.com/ - Opportunities/f1411514-87d6-11e9-b910-022c40d974e6" xr:uid="{65E5C276-AB10-4664-A996-93470261EA2E}"/>
    <hyperlink ref="D453" r:id="rId454" location="Opportunities/914fe51e-87d5-11e9-bc7f-069e4f790264" tooltip="A10 - Unimed Seguros - Banco de Horas - Centro de Custo 2030100 (Abril 2019)" display="https://in1.sugarondemand.com/ - Opportunities/914fe51e-87d5-11e9-bc7f-069e4f790264" xr:uid="{896CB69C-290B-40BA-8F31-75EE23A0F123}"/>
    <hyperlink ref="D454" r:id="rId455" location="Opportunities/ea5b5700-c36d-11e9-8bac-069e4f790264" display="https://in1.sugarondemand.com/ - Opportunities/ea5b5700-c36d-11e9-8bac-069e4f790264" xr:uid="{079C2FA9-FE67-4186-9B44-D716645214CE}"/>
    <hyperlink ref="D455" r:id="rId456" location="Opportunities/84063dec-4a8e-11e9-bb0d-069e4f790264" tooltip="A10 - Unimed Seguros - Banco de Horas - Centro de Custo 2030100" display="https://in1.sugarondemand.com/ - Opportunities/84063dec-4a8e-11e9-bb0d-069e4f790264" xr:uid="{50873135-97D1-4902-8958-355863E09EB1}"/>
    <hyperlink ref="D456" r:id="rId457" location="Opportunities/4495bade-ae25-11e9-9d16-02ae981fbade" tooltip="A10 - Unimed Seguros - Banco de Horas - Centro de Custo 2030100" display="https://in1.sugarondemand.com/ - Opportunities/4495bade-ae25-11e9-9d16-02ae981fbade" xr:uid="{EF402CEF-AACF-4511-9C9E-D6CF11D5B9F8}"/>
    <hyperlink ref="D457" r:id="rId458" location="Opportunities/43f17542-7cba-11e9-a677-022c40d974e6" display="https://in1.sugarondemand.com/ - Opportunities/43f17542-7cba-11e9-a677-022c40d974e6" xr:uid="{2D0E8B21-74FE-4920-ACE7-98CE374783A1}"/>
    <hyperlink ref="D458" r:id="rId459" location="Opportunities/3e320308-cb28-11e9-a16c-0630baf9dcb8" display="https://in1.sugarondemand.com/ - Opportunities/3e320308-cb28-11e9-a16c-0630baf9dcb8" xr:uid="{5EB164D6-6E5B-4524-9C92-0214CB971008}"/>
    <hyperlink ref="D459" r:id="rId460" location="Opportunities/5d94bdf6-c36e-11e9-acfd-022c40d974e6" display="https://in1.sugarondemand.com/ - Opportunities/5d94bdf6-c36e-11e9-acfd-022c40d974e6" xr:uid="{ADEABFD5-8288-44B4-8C24-A626F265E598}"/>
    <hyperlink ref="D460" r:id="rId461" location="Opportunities/da9edb64-ae25-11e9-82aa-022c40d974e6" display="https://in1.sugarondemand.com/ - Opportunities/da9edb64-ae25-11e9-82aa-022c40d974e6" xr:uid="{EA34C2CF-8E08-498A-8C0A-4B4A17A28BDD}"/>
    <hyperlink ref="D461" r:id="rId462" location="Opportunities/dbf3fc0e-dbb3-11e9-8912-0630baf9dcb8" display="https://in1.sugarondemand.com/ - Opportunities/dbf3fc0e-dbb3-11e9-8912-0630baf9dcb8" xr:uid="{DD65532C-1823-494E-9F12-A786FB89FEDE}"/>
    <hyperlink ref="D462" r:id="rId463" location="Opportunities/d695febc-6523-11e9-95cb-069e4f790264" tooltip="A10 - Unimed Seguros - Banco de Horas - Centro de Custo 1080001 (Fev 2019)" display="https://in1.sugarondemand.com/ - Opportunities/d695febc-6523-11e9-95cb-069e4f790264" xr:uid="{9B05F39A-7AB0-4257-86F2-802D300D1D51}"/>
    <hyperlink ref="D463" r:id="rId464" location="Opportunities/a763fc5e-7cb9-11e9-af4b-069e4f790264" tooltip="A10 - Unimed Seguros - Banco de Horas - Centro de Custo 1080001" display="https://in1.sugarondemand.com/ - Opportunities/a763fc5e-7cb9-11e9-af4b-069e4f790264" xr:uid="{DFBCDB14-8CED-478B-BEA5-14765640F892}"/>
    <hyperlink ref="D464" r:id="rId465" location="Opportunities/844df9ac-4a8e-11e9-90c8-069e4f790264" tooltip="A10 - Unimed Seguros - Banco de Horas - Centro de Custo 1080001" display="https://in1.sugarondemand.com/ - Opportunities/844df9ac-4a8e-11e9-90c8-069e4f790264" xr:uid="{80C64B93-F05F-45CE-BDAF-91563FF3D829}"/>
    <hyperlink ref="D465" r:id="rId466" location="Opportunities/1694d738-966e-11e9-b2bb-0630baf9dcb8" tooltip="A10 - Unimed Seguros - Banco de Horas - Centro de Custo 10800001 (Junho 2019)" display="https://in1.sugarondemand.com/ - Opportunities/1694d738-966e-11e9-b2bb-0630baf9dcb8" xr:uid="{4FB0C8F2-EC8E-4332-9DC7-DC9050661037}"/>
    <hyperlink ref="D466" r:id="rId467" location="Opportunities/26ac8608-eeab-11e9-be3b-0630baf9dcb8" tooltip="A10 - Unimed Seguros - Banco de Horas - Centro de Custo - CR 2030100" display="https://in1.sugarondemand.com/ - Opportunities/26ac8608-eeab-11e9-be3b-0630baf9dcb8" xr:uid="{DA2F8AEC-41DB-4212-80D9-A5B55F465574}"/>
    <hyperlink ref="D467" r:id="rId468" location="Opportunities/f84d0606-1ff7-11ea-98de-022c40d974e6" tooltip="A10 - Unimed Seguros - Banco de Horas - Centro de Custo (CR): 4020200" display="https://in1.sugarondemand.com/ - Opportunities/f84d0606-1ff7-11ea-98de-022c40d974e6" xr:uid="{C53998C7-D776-4374-8187-E17039AAA18F}"/>
    <hyperlink ref="D468" r:id="rId469" location="Opportunities/ca9a2404-7cb5-11e9-a235-02ae981fbade" display="https://in1.sugarondemand.com/ - Opportunities/ca9a2404-7cb5-11e9-a235-02ae981fbade" xr:uid="{881E4E7E-14A3-4276-8BAA-8479EFCBBD7A}"/>
    <hyperlink ref="D469" r:id="rId470" location="Opportunities/846a376e-3ebe-11ea-ac9e-022c40d974e6" tooltip="A10 - Unimed Seguros - Banco de Horas - Centro de Custo (CR): 4012500" display="https://in1.sugarondemand.com/ - Opportunities/846a376e-3ebe-11ea-ac9e-022c40d974e6" xr:uid="{70DA23F6-9F50-4B96-86C8-908014C11E16}"/>
    <hyperlink ref="D470" r:id="rId471" location="Opportunities/0e84daa0-1681-11ea-966a-02ae981fbade" tooltip="A10 - Unimed Seguros - Banco de Horas - Centro de Custo (CR) 2011200" display="https://in1.sugarondemand.com/ - Opportunities/0e84daa0-1681-11ea-966a-02ae981fbade" xr:uid="{42F4C2AB-3DD0-4EF6-B2A0-F9C5450984AD}"/>
    <hyperlink ref="D471" r:id="rId472" location="Opportunities/975166ce-1663-11e9-8dec-022c40d974e6" tooltip="A10 - Unimed Seguros - Banco de Horas - 2600 hs" display="https://in1.sugarondemand.com/ - Opportunities/975166ce-1663-11e9-8dec-022c40d974e6" xr:uid="{F25CE7B5-C1FC-473B-AB5A-F076F9E1B004}"/>
    <hyperlink ref="D472" r:id="rId473" location="Opportunities/978ffe70-1663-11e9-a262-022c40d974e6" tooltip="A10 - Unimed Seguros - Banco de Horas - 1500 hs" display="https://in1.sugarondemand.com/ - Opportunities/978ffe70-1663-11e9-a262-022c40d974e6" xr:uid="{44AFF970-84F9-46FC-891C-3361DE2D30BE}"/>
    <hyperlink ref="D473" r:id="rId474" location="Opportunities/97355d76-1663-11e9-8fba-022c40d974e6" tooltip="A10 - Unimed Seguros - Banco de Horas - 1440 hs" display="https://in1.sugarondemand.com/ - Opportunities/97355d76-1663-11e9-8fba-022c40d974e6" xr:uid="{0CF0E279-6999-4285-AEE8-C4E7129449F7}"/>
    <hyperlink ref="D474" r:id="rId475" location="Opportunities/976f9716-1663-11e9-bc87-022c40d974e6" tooltip="A10 - Unimed Seguros - Banco de Horas - 1280 hs" display="https://in1.sugarondemand.com/ - Opportunities/976f9716-1663-11e9-bc87-022c40d974e6" xr:uid="{E79BE34A-2C6E-4C01-986F-192230F7576D}"/>
    <hyperlink ref="D475" r:id="rId476" location="Opportunities/97ad6d84-1663-11e9-aeae-022c40d974e6" display="https://in1.sugarondemand.com/ - Opportunities/97ad6d84-1663-11e9-aeae-022c40d974e6" xr:uid="{8D1A8621-AC45-404E-A2A0-4F7AF27D1D59}"/>
    <hyperlink ref="D476" r:id="rId477" location="Opportunities/97c90ec2-1663-11e9-a09c-022c40d974e6" display="https://in1.sugarondemand.com/ - Opportunities/97c90ec2-1663-11e9-a09c-022c40d974e6" xr:uid="{BF9A9D43-F79B-4996-B654-809D5B803BD7}"/>
    <hyperlink ref="D477" r:id="rId478" location="Opportunities/d92ec776-6523-11e9-aae4-069e4f790264" display="https://in1.sugarondemand.com/ - Opportunities/d92ec776-6523-11e9-aae4-069e4f790264" xr:uid="{F9002396-36AA-43AB-A2F3-FCF39497B9A1}"/>
    <hyperlink ref="D478" r:id="rId479" location="Opportunities/84a9dd12-4a8e-11e9-854a-069e4f790264" tooltip="A10 - Unimed Seguros - Banco de Horas -  Centro de Custo 4020200" display="https://in1.sugarondemand.com/ - Opportunities/84a9dd12-4a8e-11e9-854a-069e4f790264" xr:uid="{4F5339D8-FDDD-4A01-87B8-36030B3153C9}"/>
    <hyperlink ref="D479" r:id="rId480" location="Opportunities/971464ea-1663-11e9-8562-022c40d974e6" display="https://in1.sugarondemand.com/ - Opportunities/971464ea-1663-11e9-8562-022c40d974e6" xr:uid="{730DD094-E49F-46DF-B0AE-F26793791057}"/>
    <hyperlink ref="D480" r:id="rId481" location="Opportunities/28cf65be-a7bf-11e9-9626-022c40d974e6" tooltip="A10 - Unimed Seguros - Automação VBA" display="https://in1.sugarondemand.com/ - Opportunities/28cf65be-a7bf-11e9-9626-022c40d974e6" xr:uid="{37F85A98-E845-4E92-BF34-C87750AE58E6}"/>
    <hyperlink ref="D481" r:id="rId482" location="Opportunities/486e9f9c-1fd0-11e9-9a9e-02ae981fbade" tooltip="A10 - Unimed Seguros - Analise (Health Check) de Infraestrutura Ambiente Qlik" display="https://in1.sugarondemand.com/ - Opportunities/486e9f9c-1fd0-11e9-9a9e-02ae981fbade" xr:uid="{47EBFDA5-7DA5-4EFD-91D0-CA7A41E5637F}"/>
    <hyperlink ref="D482" r:id="rId483" location="Opportunities/488de83e-1fd0-11e9-b07e-02ae981fbade" display="https://in1.sugarondemand.com/ - Opportunities/488de83e-1fd0-11e9-b07e-02ae981fbade" xr:uid="{53B7286A-3BEB-42FB-8D85-E8B2E6DF6D29}"/>
    <hyperlink ref="D483" r:id="rId484" location="Opportunities/44b65668-da26-11ee-8f8e-06141b6603a5" display="https://in1.sugarondemand.com/ - Opportunities/44b65668-da26-11ee-8f8e-06141b6603a5" xr:uid="{91E9C892-A9A6-4D89-884F-A0F4E1DEB43B}"/>
    <hyperlink ref="D484" r:id="rId485" location="Opportunities/157c90f8-cef9-11ed-9456-02b0ee514bc7" display="https://in1.sugarondemand.com/ - Opportunities/157c90f8-cef9-11ed-9456-02b0ee514bc7" xr:uid="{C182929A-2225-4CF6-A97A-85BC05680720}"/>
    <hyperlink ref="D485" r:id="rId486" location="Opportunities/b35bea7c-e54f-11ee-8bd4-06397e66b9cd" display="https://in1.sugarondemand.com/ - Opportunities/b35bea7c-e54f-11ee-8bd4-06397e66b9cd" xr:uid="{6A4C1933-2015-4362-8AAA-FCDC2986B232}"/>
    <hyperlink ref="D486" r:id="rId487" location="Opportunities/eb926cd8-9aa1-11ea-8354-0630baf9dcb8" tooltip="RENOVAÇÃO 2020 - CCR S/A" display="https://in1.sugarondemand.com/ - Opportunities/eb926cd8-9aa1-11ea-8354-0630baf9dcb8" xr:uid="{06C13EC6-7E0E-4CCC-BC63-3E1CFECB513A}"/>
    <hyperlink ref="D487" r:id="rId488" location="Opportunities/3255f060-a708-11e9-b1ae-0630baf9dcb8" tooltip="Renovação 2019 - CCR Group" display="https://in1.sugarondemand.com/ - Opportunities/3255f060-a708-11e9-b1ae-0630baf9dcb8" xr:uid="{CE1963DC-7C4C-4C8B-8BA9-897FEE7FE2D1}"/>
    <hyperlink ref="D488" r:id="rId489" location="Opportunities/c29e39d2-09f8-11e9-8a38-0630baf9dcb8" display="https://in1.sugarondemand.com/ - Opportunities/c29e39d2-09f8-11e9-8a38-0630baf9dcb8" xr:uid="{CC0BBDF8-DD59-4E81-B0F0-BCBA57BD9D4A}"/>
    <hyperlink ref="D489" r:id="rId490" location="Opportunities/c2852668-09f8-11e9-8cd5-0630baf9dcb8" tooltip="RENOVAÇÃO 2017 - CCR" display="https://in1.sugarondemand.com/ - Opportunities/c2852668-09f8-11e9-8cd5-0630baf9dcb8" xr:uid="{0B9DFE5D-6502-404F-97C3-95302349EC71}"/>
    <hyperlink ref="D490" r:id="rId491" location="Opportunities/c2b4e006-09f8-11e9-99aa-0630baf9dcb8" tooltip="RENOVAÇÃO 2016 - CCR" display="https://in1.sugarondemand.com/ - Opportunities/c2b4e006-09f8-11e9-99aa-0630baf9dcb8" xr:uid="{9A8FDD3F-AB8F-42E5-9E01-9FEB5A96F7A0}"/>
    <hyperlink ref="D491" r:id="rId492" location="Opportunities/c3252b72-09f8-11e9-9d21-069e4f790264" display="https://in1.sugarondemand.com/ - Opportunities/c3252b72-09f8-11e9-9d21-069e4f790264" xr:uid="{0E84213C-952F-4351-AE4E-7B6E82CF84D7}"/>
    <hyperlink ref="D492" r:id="rId493" location="Opportunities/84cce0aa-1fdc-11e9-bbb8-0630baf9dcb8" tooltip="Renovação 2014 CCR" display="https://in1.sugarondemand.com/ - Opportunities/84cce0aa-1fdc-11e9-bbb8-0630baf9dcb8" xr:uid="{137ADC32-A6F2-427E-AFD5-79985ABC67C3}"/>
    <hyperlink ref="D493" r:id="rId494" location="Opportunities/c3634ce0-09f8-11e9-ad86-069e4f790264" tooltip="RENOVAÇÃO 2014 - CCR" display="https://in1.sugarondemand.com/ - Opportunities/c3634ce0-09f8-11e9-ad86-069e4f790264" xr:uid="{DF91A027-5531-4D56-9DE2-5E48B1B57668}"/>
    <hyperlink ref="D494" r:id="rId495" location="Opportunities/c2cdd0fc-09f8-11e9-a733-0630baf9dcb8" tooltip="RENOVAÇÃO 2013-2016 - NPrinting" display="https://in1.sugarondemand.com/ - Opportunities/c2cdd0fc-09f8-11e9-a733-0630baf9dcb8" xr:uid="{01BFD7DF-1160-45A6-98F5-CE703CE7727D}"/>
    <hyperlink ref="D495" r:id="rId496" location="Opportunities/c346eaaa-09f8-11e9-ac87-069e4f790264" tooltip="RENOVAÇÃO 2013 - CCR" display="https://in1.sugarondemand.com/ - Opportunities/c346eaaa-09f8-11e9-ac87-069e4f790264" xr:uid="{C6B20DE1-0F44-4791-9526-FC4BF985F8F7}"/>
    <hyperlink ref="D496" r:id="rId497" location="Opportunities/c65b0a8a-1ff8-11e9-a9f8-0630baf9dcb8" tooltip="Relatório Gerencial Planejamento Engelog" display="https://in1.sugarondemand.com/ - Opportunities/c65b0a8a-1ff8-11e9-a9f8-0630baf9dcb8" xr:uid="{2067B85B-ACF5-4D80-B8D8-B7883E94C33F}"/>
    <hyperlink ref="D497" r:id="rId498" location="Opportunities/aa121c72-1fdc-11e9-b2b6-022c40d974e6" tooltip="Projeto: Indicadores de Pista Automática, Passagens Manuais e Desempenho dos TIVs" display="https://in1.sugarondemand.com/ - Opportunities/aa121c72-1fdc-11e9-b2b6-022c40d974e6" xr:uid="{9B3EC1D6-C621-4D02-9331-0CBBD5EF2900}"/>
    <hyperlink ref="D498" r:id="rId499" location="Opportunities/c47603fa-1ff8-11e9-a0fc-0630baf9dcb8" tooltip="Melhorias KCOR_Carga Full" display="https://in1.sugarondemand.com/ - Opportunities/c47603fa-1ff8-11e9-a0fc-0630baf9dcb8" xr:uid="{07F42401-4E08-4D08-94AD-F80EB01726DB}"/>
    <hyperlink ref="D499" r:id="rId500" location="Opportunities/6eea34c2-1fd2-11e9-a89f-022c40d974e6" tooltip="LINHA 4 DO METRO DE SP" display="https://in1.sugarondemand.com/ - Opportunities/6eea34c2-1fd2-11e9-a89f-022c40d974e6" xr:uid="{5AE48461-F91C-4DF6-A6F3-CF9B5B56CFFE}"/>
    <hyperlink ref="D500" r:id="rId501" location="Opportunities/c590feac-1ff8-11e9-947d-0630baf9dcb8" display="https://in1.sugarondemand.com/ - Opportunities/c590feac-1ff8-11e9-947d-0630baf9dcb8" xr:uid="{3137919F-032B-4DF8-A3B8-2F190F8B9686}"/>
    <hyperlink ref="D501" r:id="rId502" location="Opportunities/c5743132-1ff8-11e9-828a-0630baf9dcb8" display="https://in1.sugarondemand.com/ - Opportunities/c5743132-1ff8-11e9-828a-0630baf9dcb8" xr:uid="{FBB232D1-25D8-4D79-A2E1-A98B681D53F7}"/>
    <hyperlink ref="D502" r:id="rId503" location="Opportunities/c55b70ac-1ff8-11e9-a63d-0630baf9dcb8" tooltip="CCR Time Material Adequação Plano de Contas" display="https://in1.sugarondemand.com/ - Opportunities/c55b70ac-1ff8-11e9-a63d-0630baf9dcb8" xr:uid="{DDE4D5F9-C021-49C5-BA48-70C4E81AFC2A}"/>
    <hyperlink ref="D503" r:id="rId504" location="Opportunities/c643d266-1ff8-11e9-9358-0630baf9dcb8" tooltip="CCR Sustentabilidade" display="https://in1.sugarondemand.com/ - Opportunities/c643d266-1ff8-11e9-9358-0630baf9dcb8" xr:uid="{F9B456E8-5019-4757-8D2A-8121FE7DFE6E}"/>
    <hyperlink ref="D504" r:id="rId505" location="Opportunities/7c5d6606-1fdc-11e9-9eb1-0630baf9dcb8" tooltip="CCR Rodonorte Adequações KCOR" display="https://in1.sugarondemand.com/ - Opportunities/7c5d6606-1fdc-11e9-9eb1-0630baf9dcb8" xr:uid="{F0E446BE-1561-4E6E-A81A-F125E8DF31ED}"/>
    <hyperlink ref="D505" r:id="rId506" location="Opportunities/c4edd5ce-1ff8-11e9-9028-0630baf9dcb8" tooltip="CCR RodoNorte" display="https://in1.sugarondemand.com/ - Opportunities/c4edd5ce-1ff8-11e9-9028-0630baf9dcb8" xr:uid="{735D9E03-F079-46C1-98E6-54F66245BE03}"/>
    <hyperlink ref="D506" r:id="rId507" location="Opportunities/896db378-1fdc-11e9-9eba-0630baf9dcb8" tooltip="CCR Projeto ArrecadaçãoRodovias Federais" display="https://in1.sugarondemand.com/ - Opportunities/896db378-1fdc-11e9-9eba-0630baf9dcb8" xr:uid="{D45558E8-E913-435F-814D-D85ECE51FCB9}"/>
    <hyperlink ref="D507" r:id="rId508" location="Opportunities/7e6ab502-1fdc-11e9-b555-0630baf9dcb8" tooltip="CCR Projeto Arrecadação" display="https://in1.sugarondemand.com/ - Opportunities/7e6ab502-1fdc-11e9-b555-0630baf9dcb8" xr:uid="{0D90E6DF-23C9-47C7-9A53-52A424CEDADE}"/>
    <hyperlink ref="D508" r:id="rId509" location="Opportunities/fc8c75fa-1fd8-11e9-96bb-069e4f790264" tooltip="CCR Melhorias SIG Arrecadação II" display="https://in1.sugarondemand.com/ - Opportunities/fc8c75fa-1fd8-11e9-96bb-069e4f790264" xr:uid="{00C4AE37-C482-422F-8359-2A2BDD18A7BD}"/>
    <hyperlink ref="D509" r:id="rId510" location="Opportunities/f1cc85a6-1fd8-11e9-a165-069e4f790264" tooltip="CCR Melhorias SIG Arrecadação" display="https://in1.sugarondemand.com/ - Opportunities/f1cc85a6-1fd8-11e9-a165-069e4f790264" xr:uid="{57F78927-F765-4799-9133-24ACD7BB3927}"/>
    <hyperlink ref="D510" r:id="rId511" location="Opportunities/fb0dfd2a-4524-11eb-9562-022c40d974e6" tooltip="CCR LPU 13416/20 - BH AIRPORT" display="https://in1.sugarondemand.com/ - Opportunities/fb0dfd2a-4524-11eb-9562-022c40d974e6" xr:uid="{6E3AE67C-83C0-4138-973D-EC529C0DAFE5}"/>
    <hyperlink ref="D511" r:id="rId512" location="Opportunities/c5ac0008-1ff8-11e9-be20-0630baf9dcb8" tooltip="CCR Indicadores Genéricos Sustentabilidade" display="https://in1.sugarondemand.com/ - Opportunities/c5ac0008-1ff8-11e9-be20-0630baf9dcb8" xr:uid="{F9D36999-C88A-4D5F-9E4C-EA8DF78A7C63}"/>
    <hyperlink ref="D512" r:id="rId513" location="Opportunities/c526b6c8-1ff8-11e9-8b95-0630baf9dcb8" tooltip="CCR Indicadores Genéricos CCR" display="https://in1.sugarondemand.com/ - Opportunities/c526b6c8-1ff8-11e9-8b95-0630baf9dcb8" xr:uid="{FAF0775E-BE30-4B75-ADAF-88D9AA5AEBC2}"/>
    <hyperlink ref="D513" r:id="rId514" location="Opportunities/c5e09a7a-1ff8-11e9-b7ac-0630baf9dcb8" tooltip="CCR Indicadores Frotas" display="https://in1.sugarondemand.com/ - Opportunities/c5e09a7a-1ff8-11e9-b7ac-0630baf9dcb8" xr:uid="{AE69C922-9215-4A0A-898F-B5F4687D4C84}"/>
    <hyperlink ref="D514" r:id="rId515" location="Opportunities/c493b814-1ff8-11e9-8e9d-0630baf9dcb8" tooltip="CCR Indicadores de Desempenho I (Engeman e Service Desk)" display="https://in1.sugarondemand.com/ - Opportunities/c493b814-1ff8-11e9-8e9d-0630baf9dcb8" xr:uid="{7D1D1005-C235-4907-BF19-90C9C993EE55}"/>
    <hyperlink ref="D515" r:id="rId516" location="Opportunities/c53d9c94-1ff8-11e9-804d-0630baf9dcb8" tooltip="CCR GRP Fiscal II" display="https://in1.sugarondemand.com/ - Opportunities/c53d9c94-1ff8-11e9-804d-0630baf9dcb8" xr:uid="{DD5DDE68-9367-4536-8410-8C1366F90AEA}"/>
    <hyperlink ref="D516" r:id="rId517" location="Opportunities/c50888f6-1ff8-11e9-9102-0630baf9dcb8" tooltip="CCR GRP Fiscal" display="https://in1.sugarondemand.com/ - Opportunities/c50888f6-1ff8-11e9-9102-0630baf9dcb8" xr:uid="{1F287C08-2B12-4382-BC20-2F8D9E0C8744}"/>
    <hyperlink ref="D517" r:id="rId518" location="Opportunities/c5c68c34-1ff8-11e9-a884-0630baf9dcb8" tooltip="CCR Group Publisher" display="https://in1.sugarondemand.com/ - Opportunities/c5c68c34-1ff8-11e9-a884-0630baf9dcb8" xr:uid="{1F9B6E19-CE78-4441-BED2-41AFE0A1F176}"/>
    <hyperlink ref="D518" r:id="rId519" location="Opportunities/a3000e1c-1663-11e9-bac4-02ae981fbade" tooltip="CCR Group Linha 5 e 17 Metro SP ID 0723063" display="https://in1.sugarondemand.com/ - Opportunities/a3000e1c-1663-11e9-bac4-02ae981fbade" xr:uid="{479DF308-85A2-4497-AC53-49C59EBA38C8}"/>
    <hyperlink ref="D519" r:id="rId520" location="Opportunities/c6171c26-1ff8-11e9-b11d-0630baf9dcb8" tooltip="CCR Group Licenças adicionais" display="https://in1.sugarondemand.com/ - Opportunities/c6171c26-1ff8-11e9-b11d-0630baf9dcb8" xr:uid="{E72E182B-70FD-4CFC-A0C2-0597EA29A186}"/>
    <hyperlink ref="D520" r:id="rId521" location="Opportunities/a31b27f6-1663-11e9-bfe6-02ae981fbade" tooltip="CCR Group Land ID 0811362" display="https://in1.sugarondemand.com/ - Opportunities/a31b27f6-1663-11e9-bfe6-02ae981fbade" xr:uid="{DD0FEC8F-0C87-4C89-8715-2C8B7A4168EB}"/>
    <hyperlink ref="D521" r:id="rId522" location="Opportunities/c4bb8af6-1ff8-11e9-b83a-0630baf9dcb8" tooltip="CCR Group Expand Licenses" display="https://in1.sugarondemand.com/ - Opportunities/c4bb8af6-1ff8-11e9-b83a-0630baf9dcb8" xr:uid="{0698794F-08B9-4DC0-90F9-B1B06E508D26}"/>
    <hyperlink ref="D522" r:id="rId523" location="Opportunities/a33a31b4-1663-11e9-9b94-02ae981fbade" tooltip="CCR Group Expand ID 0796820" display="https://in1.sugarondemand.com/ - Opportunities/a33a31b4-1663-11e9-9b94-02ae981fbade" xr:uid="{D01983BF-362B-4F9F-A335-6B1AD46C7146}"/>
    <hyperlink ref="D523" r:id="rId524" location="Opportunities/86b8cf64-1fdc-11e9-b072-0630baf9dcb8" tooltip="CCR Group Expand 30D BH Air" display="https://in1.sugarondemand.com/ - Opportunities/86b8cf64-1fdc-11e9-b072-0630baf9dcb8" xr:uid="{83570B46-2E8B-403D-B38E-54F83EB34550}"/>
    <hyperlink ref="D524" r:id="rId525" location="Opportunities/a35a03f4-1663-11e9-b65d-02ae981fbade" tooltip="CCR Group 05 Nameds ID 0748158" display="https://in1.sugarondemand.com/ - Opportunities/a35a03f4-1663-11e9-b65d-02ae981fbade" xr:uid="{4DF6A4F9-FB0B-4D2D-B280-119DED32849D}"/>
    <hyperlink ref="D525" r:id="rId526" location="Opportunities/86d6f138-4a8e-11e9-8738-069e4f790264" tooltip="CCR Group - SO7759 - Expand - 30 Nameds" display="https://in1.sugarondemand.com/ - Opportunities/86d6f138-4a8e-11e9-8738-069e4f790264" xr:uid="{25534FF4-0B76-40DF-9816-00690980F222}"/>
    <hyperlink ref="D526" r:id="rId527" location="Opportunities/92d29028-1fdc-11e9-b85b-022c40d974e6" tooltip="CCR Frotas" display="https://in1.sugarondemand.com/ - Opportunities/92d29028-1fdc-11e9-b85b-022c40d974e6" xr:uid="{C09B8DDA-249F-40A9-A36C-6BF1AE32DBEE}"/>
    <hyperlink ref="D527" r:id="rId528" location="Opportunities/833be740-1fdc-11e9-87c7-0630baf9dcb8" tooltip="CCR Engelog_Contratações" display="https://in1.sugarondemand.com/ - Opportunities/833be740-1fdc-11e9-87c7-0630baf9dcb8" xr:uid="{C3B152D8-0B0B-4C0F-ABAF-18C0C5D4C049}"/>
    <hyperlink ref="D528" r:id="rId529" location="Opportunities/84e1cb46-1fdc-11e9-8136-0630baf9dcb8" tooltip="CCR Controle do Troco" display="https://in1.sugarondemand.com/ - Opportunities/84e1cb46-1fdc-11e9-8136-0630baf9dcb8" xr:uid="{2503939D-D96F-4980-9274-45BDF8DC1E6A}"/>
    <hyperlink ref="D529" r:id="rId530" location="Opportunities/a2dd6f60-1663-11e9-a7ce-02ae981fbade" tooltip="CCR Consultoria Novo Servidor" display="https://in1.sugarondemand.com/ - Opportunities/a2dd6f60-1663-11e9-a7ce-02ae981fbade" xr:uid="{22C4DC0D-701C-4893-B707-3172B095C839}"/>
    <hyperlink ref="D530" r:id="rId531" location="Opportunities/8fbd5dfa-1fdc-11e9-81fa-0630baf9dcb8" tooltip="CCR BH Airport Fase II Alocação de 600 horas" display="https://in1.sugarondemand.com/ - Opportunities/8fbd5dfa-1fdc-11e9-81fa-0630baf9dcb8" xr:uid="{06A18EFF-5419-48FF-9472-CD979A6F43F1}"/>
    <hyperlink ref="D531" r:id="rId532" location="Opportunities/81a1c31e-1fdc-11e9-8d23-0630baf9dcb8" tooltip="CCR BH Airport Alocação de Horas 2 meses" display="https://in1.sugarondemand.com/ - Opportunities/81a1c31e-1fdc-11e9-8d23-0630baf9dcb8" xr:uid="{718270C6-DE5F-484B-A6FB-549A239EAF97}"/>
    <hyperlink ref="D532" r:id="rId533" location="Opportunities/9a55f2fe-1fdc-11e9-9711-022c40d974e6" tooltip="CCR Arrecadação Geral" display="https://in1.sugarondemand.com/ - Opportunities/9a55f2fe-1fdc-11e9-9711-022c40d974e6" xr:uid="{3466E2E0-B5AC-4591-9B29-AAAA3973332A}"/>
    <hyperlink ref="D533" r:id="rId534" location="Opportunities/905ffdbc-1fdc-11e9-9bba-0630baf9dcb8" tooltip="CCR Alocação 600 hs Desenvolvimento Relatórios Arrecadação/Eixos Suspensos" display="https://in1.sugarondemand.com/ - Opportunities/905ffdbc-1fdc-11e9-9bba-0630baf9dcb8" xr:uid="{EC537D7C-6E9D-4A08-BBBD-D5B6EF7C1387}"/>
    <hyperlink ref="D534" r:id="rId535" location="Opportunities/ab8704dc-1fdc-11e9-bce4-022c40d974e6" tooltip="CCR 201506 Serviços QA de Ambiente" display="https://in1.sugarondemand.com/ - Opportunities/ab8704dc-1fdc-11e9-bce4-022c40d974e6" xr:uid="{777E1103-E09D-4CCF-A649-2127139C70BD}"/>
    <hyperlink ref="D535" r:id="rId536" location="Opportunities/fbe27b12-d680-11ea-a3d0-022c40d974e6" tooltip="CCR -Governança de Dados" display="https://in1.sugarondemand.com/ - Opportunities/fbe27b12-d680-11ea-a3d0-022c40d974e6" xr:uid="{C268A1F4-6D01-44B6-8AC6-C91AF8A8CD62}"/>
    <hyperlink ref="D536" r:id="rId537" location="Opportunities/82bd4eb8-e996-11eb-9946-0630baf9dcb8" tooltip="CCR - LPU Scrum Master" display="https://in1.sugarondemand.com/ - Opportunities/82bd4eb8-e996-11eb-9946-0630baf9dcb8" xr:uid="{3F39857D-9D39-40E6-9E91-A0181A2A1544}"/>
    <hyperlink ref="D537" r:id="rId538" location="Opportunities/e6225830-ff4f-11eb-ad57-022c40d974e6" tooltip="CCR - LPU Consultoria Inteligência de Dados" display="https://in1.sugarondemand.com/ - Opportunities/e6225830-ff4f-11eb-ad57-022c40d974e6" xr:uid="{9B1A67E4-D38E-4A5B-B645-6455934C20F5}"/>
    <hyperlink ref="D538" r:id="rId539" location="Opportunities/5086cbb6-3148-11ea-90af-069e4f790264" tooltip="CCR - LPU Arquitetos" display="https://in1.sugarondemand.com/ - Opportunities/5086cbb6-3148-11ea-90af-069e4f790264" xr:uid="{F679C4BF-A16F-430C-94E9-9D7D9F2B0CBB}"/>
    <hyperlink ref="D539" r:id="rId540" location="Opportunities/efc8e156-694b-11ea-bd69-069e4f790264" display="https://in1.sugarondemand.com/ - Opportunities/efc8e156-694b-11ea-bd69-069e4f790264" xr:uid="{6F959C08-EB41-4682-B746-50C5AE31EF84}"/>
    <hyperlink ref="D540" r:id="rId541" location="Opportunities/3139747e-3319-11eb-babe-0630baf9dcb8" display="https://in1.sugarondemand.com/ - Opportunities/3139747e-3319-11eb-babe-0630baf9dcb8" xr:uid="{64173E6C-FF42-4172-9ED2-3DE593BE1555}"/>
    <hyperlink ref="D541" r:id="rId542" location="Opportunities/24827912-2316-11ed-b474-0630baf9dcb8" tooltip="CCR - Alocação Maick - Agosto/22 a Julho/23" display="https://in1.sugarondemand.com/ - Opportunities/24827912-2316-11ed-b474-0630baf9dcb8" xr:uid="{1F5A1B94-86DC-478D-B014-98A9A9C89F4B}"/>
    <hyperlink ref="D542" r:id="rId543" location="Opportunities/57b891d8-99ec-11ee-848a-bbeb752685f9" display="https://in1.sugarondemand.com/ - Opportunities/57b891d8-99ec-11ee-848a-bbeb752685f9" xr:uid="{3D14CD8D-040C-4BF1-A6B8-4EE104E8A040}"/>
    <hyperlink ref="D543" r:id="rId544" location="Opportunities/73c5d3dc-da32-11ee-80fc-06397e66b9cd" display="https://in1.sugarondemand.com/ - Opportunities/73c5d3dc-da32-11ee-80fc-06397e66b9cd" xr:uid="{69598066-49E1-4A95-9C1C-83F4AFAD020B}"/>
    <hyperlink ref="D544" r:id="rId545" location="Opportunities/9413174e-c403-11ed-adc4-06397e66b9cd" display="https://in1.sugarondemand.com/ - Opportunities/9413174e-c403-11ed-adc4-06397e66b9cd" xr:uid="{48290F9D-C14B-4D5D-9010-35B0A66E1E16}"/>
    <hyperlink ref="D545" r:id="rId546" location="Opportunities/aef67e32-ff1f-11ed-a41b-069e4f790264" display="https://in1.sugarondemand.com/ - Opportunities/aef67e32-ff1f-11ed-a41b-069e4f790264" xr:uid="{15E384B4-0CB7-4020-AEDE-A139F27C9D08}"/>
    <hyperlink ref="D546" r:id="rId547" location="Opportunities/c66bb5d4-99e6-11ee-970d-1de335b5cdec" tooltip="CCR - Alocação Arquiteto de Dados - 2024" display="https://in1.sugarondemand.com/ - Opportunities/c66bb5d4-99e6-11ee-970d-1de335b5cdec" xr:uid="{2C5E8A72-5A49-4350-BDCF-A4D156C04D35}"/>
    <hyperlink ref="D547" r:id="rId548" location="Opportunities/2731c7d2-c4bd-11ed-8896-0630baf9dcb8" tooltip="CCR - Alocação Arquiteto de Dados (Março a Dezembro/2023" display="https://in1.sugarondemand.com/ - Opportunities/2731c7d2-c4bd-11ed-8896-0630baf9dcb8" xr:uid="{069FE78D-C8EE-4674-9633-5AB0FE7C6C0F}"/>
    <hyperlink ref="D548" r:id="rId549" location="Opportunities/6338c9da-122a-11eb-bf27-069e4f790264" display="https://in1.sugarondemand.com/ - Opportunities/6338c9da-122a-11eb-bf27-069e4f790264" xr:uid="{DD2F3F85-11CD-4C64-B1C0-F758A7D2ECF4}"/>
    <hyperlink ref="D549" r:id="rId550" location="Opportunities/af72e1a6-f294-11ea-9059-0630baf9dcb8" tooltip="CCR  LPU 12997/20 - Plataforma de Inteligencia" display="https://in1.sugarondemand.com/ - Opportunities/af72e1a6-f294-11ea-9059-0630baf9dcb8" xr:uid="{58C46480-F445-4C1B-81BD-370BAEE404C8}"/>
    <hyperlink ref="D550" r:id="rId551" location="Opportunities/98a91446-c82c-11ea-8038-022c40d974e6" tooltip="CCR  LPU 11820/20 - Power BI" display="https://in1.sugarondemand.com/ - Opportunities/98a91446-c82c-11ea-8038-022c40d974e6" xr:uid="{11EB4B87-57AB-41ED-B90A-A818A4D9C5D2}"/>
    <hyperlink ref="D551" r:id="rId552" location="Opportunities/362101a2-7b2a-11ea-b82f-069e4f790264" display="https://in1.sugarondemand.com/ - Opportunities/362101a2-7b2a-11ea-b82f-069e4f790264" xr:uid="{F47FFC37-1C0C-4F61-8FF8-468BEC23CD8E}"/>
    <hyperlink ref="D552" r:id="rId553" location="Opportunities/d2103c3e-0d5e-11ea-a496-02ae981fbade" display="https://in1.sugarondemand.com/ - Opportunities/d2103c3e-0d5e-11ea-a496-02ae981fbade" xr:uid="{C86DBE60-E8B6-47AD-906B-0E6D74FC21CD}"/>
    <hyperlink ref="D553" r:id="rId554" location="Opportunities/e4d8c1a8-7b21-11e9-81a1-069e4f790264" display="https://in1.sugarondemand.com/ - Opportunities/e4d8c1a8-7b21-11e9-81a1-069e4f790264" xr:uid="{D3DA4C7B-2A18-4CBD-9F90-D6F16D8B0ABA}"/>
    <hyperlink ref="D554" r:id="rId555" location="Opportunities/9f079bc2-1fdc-11e9-9ec6-022c40d974e6" display="https://in1.sugarondemand.com/ - Opportunities/9f079bc2-1fdc-11e9-9ec6-022c40d974e6" xr:uid="{8F2AF27B-FEDE-4916-B0D1-E43A502CEB5B}"/>
    <hyperlink ref="D555" r:id="rId556" location="Opportunities/92b3000a-387d-11ee-a308-0630baf9dcb8" display="https://in1.sugarondemand.com/ - Opportunities/92b3000a-387d-11ee-a308-0630baf9dcb8" xr:uid="{DD20B2A6-CC07-448B-8DA8-8C1FB5F86E33}"/>
  </hyperlinks>
  <pageMargins left="0.511811024" right="0.511811024" top="0.78740157499999996" bottom="0.78740157499999996" header="0.31496062000000002" footer="0.31496062000000002"/>
  <pageSetup paperSize="9" orientation="portrait" r:id="rId557"/>
  <drawing r:id="rId55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8B7AE-F2D3-4DB3-82A7-A208557F73E4}">
  <dimension ref="A1:I16"/>
  <sheetViews>
    <sheetView workbookViewId="0">
      <selection activeCell="I21" sqref="I21"/>
    </sheetView>
  </sheetViews>
  <sheetFormatPr defaultColWidth="43" defaultRowHeight="15" x14ac:dyDescent="0.25"/>
  <cols>
    <col min="6" max="6" width="72.140625" customWidth="1"/>
    <col min="9" max="9" width="68" customWidth="1"/>
  </cols>
  <sheetData>
    <row r="1" spans="1:9" x14ac:dyDescent="0.25">
      <c r="A1" s="163" t="s">
        <v>179</v>
      </c>
      <c r="B1" s="163" t="s">
        <v>1369</v>
      </c>
      <c r="C1" s="163" t="s">
        <v>117</v>
      </c>
      <c r="D1" s="163" t="s">
        <v>13</v>
      </c>
      <c r="E1" s="163" t="s">
        <v>14</v>
      </c>
      <c r="F1" s="163" t="s">
        <v>2094</v>
      </c>
      <c r="G1" s="163" t="s">
        <v>2095</v>
      </c>
      <c r="H1" s="163"/>
      <c r="I1" s="163" t="s">
        <v>2096</v>
      </c>
    </row>
    <row r="2" spans="1:9" x14ac:dyDescent="0.25">
      <c r="A2" s="35" t="s">
        <v>1657</v>
      </c>
      <c r="B2" s="35" t="s">
        <v>1017</v>
      </c>
      <c r="C2" s="35" t="s">
        <v>164</v>
      </c>
      <c r="D2" s="35" t="s">
        <v>1658</v>
      </c>
      <c r="E2" s="35" t="s">
        <v>332</v>
      </c>
      <c r="F2" s="35" t="s">
        <v>1659</v>
      </c>
      <c r="G2" s="35" t="s">
        <v>1660</v>
      </c>
      <c r="H2" s="35"/>
      <c r="I2" s="35" t="s">
        <v>1661</v>
      </c>
    </row>
    <row r="3" spans="1:9" x14ac:dyDescent="0.25">
      <c r="A3" s="35" t="s">
        <v>1657</v>
      </c>
      <c r="B3" s="35" t="s">
        <v>1017</v>
      </c>
      <c r="C3" s="35" t="s">
        <v>784</v>
      </c>
      <c r="D3" s="35" t="s">
        <v>1662</v>
      </c>
      <c r="E3" s="35"/>
      <c r="F3" s="35" t="s">
        <v>706</v>
      </c>
      <c r="G3" s="35" t="s">
        <v>1663</v>
      </c>
      <c r="H3" s="35"/>
      <c r="I3" s="35" t="s">
        <v>1664</v>
      </c>
    </row>
    <row r="4" spans="1:9" x14ac:dyDescent="0.25">
      <c r="A4" s="35" t="s">
        <v>1657</v>
      </c>
      <c r="B4" s="35" t="s">
        <v>1017</v>
      </c>
      <c r="C4" s="35" t="s">
        <v>164</v>
      </c>
      <c r="D4" s="35" t="s">
        <v>1665</v>
      </c>
      <c r="E4" s="35"/>
      <c r="F4" s="35" t="s">
        <v>1666</v>
      </c>
      <c r="G4" s="35" t="s">
        <v>1029</v>
      </c>
      <c r="H4" s="35"/>
      <c r="I4" s="35" t="s">
        <v>1667</v>
      </c>
    </row>
    <row r="5" spans="1:9" x14ac:dyDescent="0.25">
      <c r="A5" s="35" t="s">
        <v>1657</v>
      </c>
      <c r="B5" s="35" t="s">
        <v>1017</v>
      </c>
      <c r="C5" s="35" t="s">
        <v>164</v>
      </c>
      <c r="D5" s="35" t="s">
        <v>1668</v>
      </c>
      <c r="E5" s="35"/>
      <c r="F5" s="35" t="s">
        <v>1669</v>
      </c>
      <c r="G5" s="35" t="s">
        <v>1670</v>
      </c>
      <c r="H5" s="35"/>
      <c r="I5" s="35" t="s">
        <v>1671</v>
      </c>
    </row>
    <row r="6" spans="1:9" x14ac:dyDescent="0.25">
      <c r="A6" s="35" t="s">
        <v>1657</v>
      </c>
      <c r="B6" s="35" t="s">
        <v>1017</v>
      </c>
      <c r="C6" s="35" t="s">
        <v>164</v>
      </c>
      <c r="D6" s="35" t="s">
        <v>1672</v>
      </c>
      <c r="E6" s="35"/>
      <c r="F6" s="35" t="s">
        <v>1673</v>
      </c>
      <c r="G6" s="35" t="s">
        <v>1674</v>
      </c>
      <c r="H6" s="35"/>
      <c r="I6" s="35" t="s">
        <v>1675</v>
      </c>
    </row>
    <row r="7" spans="1:9" x14ac:dyDescent="0.25">
      <c r="A7" s="35" t="s">
        <v>1657</v>
      </c>
      <c r="B7" s="35" t="s">
        <v>1017</v>
      </c>
      <c r="C7" s="35" t="s">
        <v>164</v>
      </c>
      <c r="D7" s="35" t="s">
        <v>1676</v>
      </c>
      <c r="E7" s="35"/>
      <c r="F7" s="35" t="s">
        <v>1677</v>
      </c>
      <c r="G7" s="35" t="s">
        <v>1678</v>
      </c>
      <c r="H7" s="35"/>
      <c r="I7" s="35" t="s">
        <v>1679</v>
      </c>
    </row>
    <row r="8" spans="1:9" x14ac:dyDescent="0.25">
      <c r="A8" s="35" t="s">
        <v>1657</v>
      </c>
      <c r="B8" s="35" t="s">
        <v>1017</v>
      </c>
      <c r="C8" s="35" t="s">
        <v>164</v>
      </c>
      <c r="D8" s="35" t="s">
        <v>1680</v>
      </c>
      <c r="E8" s="35"/>
      <c r="F8" s="35" t="s">
        <v>1681</v>
      </c>
      <c r="G8" s="35" t="s">
        <v>1682</v>
      </c>
      <c r="H8" s="35"/>
      <c r="I8" s="35" t="s">
        <v>1683</v>
      </c>
    </row>
    <row r="9" spans="1:9" x14ac:dyDescent="0.25">
      <c r="A9" s="35" t="s">
        <v>1657</v>
      </c>
      <c r="B9" s="35" t="s">
        <v>1017</v>
      </c>
      <c r="C9" s="35" t="s">
        <v>164</v>
      </c>
      <c r="D9" s="35" t="s">
        <v>1684</v>
      </c>
      <c r="E9" s="35"/>
      <c r="F9" s="35" t="s">
        <v>1685</v>
      </c>
      <c r="G9" s="35" t="s">
        <v>1686</v>
      </c>
      <c r="H9" s="35"/>
      <c r="I9" s="35" t="s">
        <v>1687</v>
      </c>
    </row>
    <row r="10" spans="1:9" x14ac:dyDescent="0.25">
      <c r="A10" s="35" t="s">
        <v>1657</v>
      </c>
      <c r="B10" s="35" t="s">
        <v>1017</v>
      </c>
      <c r="C10" s="35" t="s">
        <v>164</v>
      </c>
      <c r="D10" s="35" t="s">
        <v>1688</v>
      </c>
      <c r="E10" s="35"/>
      <c r="F10" s="35" t="s">
        <v>1689</v>
      </c>
      <c r="G10" s="35" t="s">
        <v>1690</v>
      </c>
      <c r="H10" s="35"/>
      <c r="I10" s="35" t="s">
        <v>1691</v>
      </c>
    </row>
    <row r="11" spans="1:9" x14ac:dyDescent="0.25">
      <c r="A11" s="35" t="s">
        <v>1657</v>
      </c>
      <c r="B11" s="35" t="s">
        <v>1017</v>
      </c>
      <c r="C11" s="35" t="s">
        <v>164</v>
      </c>
      <c r="D11" s="35" t="s">
        <v>1692</v>
      </c>
      <c r="E11" s="35"/>
      <c r="F11" s="35" t="s">
        <v>1693</v>
      </c>
      <c r="G11" s="35" t="s">
        <v>1694</v>
      </c>
      <c r="H11" s="35"/>
      <c r="I11" s="35" t="s">
        <v>1695</v>
      </c>
    </row>
    <row r="12" spans="1:9" x14ac:dyDescent="0.25">
      <c r="A12" s="35" t="s">
        <v>1657</v>
      </c>
      <c r="B12" s="35" t="s">
        <v>1017</v>
      </c>
      <c r="C12" s="35" t="s">
        <v>164</v>
      </c>
      <c r="D12" s="35" t="s">
        <v>1696</v>
      </c>
      <c r="E12" s="35"/>
      <c r="F12" s="35" t="s">
        <v>1697</v>
      </c>
      <c r="G12" s="35" t="s">
        <v>1698</v>
      </c>
      <c r="H12" s="35"/>
      <c r="I12" s="35" t="s">
        <v>1699</v>
      </c>
    </row>
    <row r="13" spans="1:9" x14ac:dyDescent="0.25">
      <c r="A13" s="35" t="s">
        <v>1657</v>
      </c>
      <c r="B13" s="35" t="s">
        <v>1017</v>
      </c>
      <c r="C13" s="35" t="s">
        <v>164</v>
      </c>
      <c r="D13" s="35" t="s">
        <v>1700</v>
      </c>
      <c r="E13" s="35"/>
      <c r="F13" s="35" t="s">
        <v>1701</v>
      </c>
      <c r="G13" s="35" t="s">
        <v>1702</v>
      </c>
      <c r="H13" s="35"/>
      <c r="I13" s="35" t="s">
        <v>1703</v>
      </c>
    </row>
    <row r="14" spans="1:9" x14ac:dyDescent="0.25">
      <c r="A14" s="35" t="s">
        <v>1657</v>
      </c>
      <c r="B14" s="35" t="s">
        <v>1017</v>
      </c>
      <c r="C14" s="35" t="s">
        <v>164</v>
      </c>
      <c r="D14" s="35" t="s">
        <v>1704</v>
      </c>
      <c r="E14" s="35"/>
      <c r="F14" s="35" t="s">
        <v>1693</v>
      </c>
      <c r="G14" s="35" t="s">
        <v>1705</v>
      </c>
      <c r="H14" s="35"/>
      <c r="I14" s="35" t="s">
        <v>1706</v>
      </c>
    </row>
    <row r="15" spans="1:9" x14ac:dyDescent="0.25">
      <c r="A15" s="35" t="s">
        <v>1657</v>
      </c>
      <c r="B15" s="35" t="s">
        <v>1017</v>
      </c>
      <c r="C15" s="35" t="s">
        <v>164</v>
      </c>
      <c r="D15" s="35" t="s">
        <v>1031</v>
      </c>
      <c r="E15" s="35"/>
      <c r="F15" s="35" t="s">
        <v>1707</v>
      </c>
      <c r="G15" s="35" t="s">
        <v>1033</v>
      </c>
      <c r="H15" s="35"/>
      <c r="I15" s="35" t="s">
        <v>1708</v>
      </c>
    </row>
    <row r="16" spans="1:9" ht="25.5" x14ac:dyDescent="0.25">
      <c r="A16" s="35" t="s">
        <v>1657</v>
      </c>
      <c r="B16" s="35" t="s">
        <v>1017</v>
      </c>
      <c r="C16" s="35" t="s">
        <v>164</v>
      </c>
      <c r="D16" s="35" t="s">
        <v>1039</v>
      </c>
      <c r="E16" s="35" t="s">
        <v>332</v>
      </c>
      <c r="F16" s="35" t="s">
        <v>1709</v>
      </c>
      <c r="G16" s="35" t="s">
        <v>1041</v>
      </c>
      <c r="H16" s="35"/>
      <c r="I16" s="35" t="s">
        <v>1710</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80AA-49D9-4942-8186-B3BFB21654CC}">
  <dimension ref="B2:K39"/>
  <sheetViews>
    <sheetView showGridLines="0" showRowColHeaders="0" workbookViewId="0">
      <selection activeCell="AA19" sqref="AA19"/>
    </sheetView>
  </sheetViews>
  <sheetFormatPr defaultRowHeight="15" x14ac:dyDescent="0.25"/>
  <sheetData>
    <row r="2" spans="2:11" ht="15" customHeight="1" x14ac:dyDescent="0.25">
      <c r="B2" s="88"/>
      <c r="C2" s="87"/>
      <c r="D2" s="87"/>
      <c r="E2" s="87"/>
      <c r="F2" s="87"/>
      <c r="G2" s="87"/>
      <c r="H2" s="87"/>
      <c r="I2" s="87"/>
      <c r="J2" s="87"/>
      <c r="K2" s="87"/>
    </row>
    <row r="3" spans="2:11" x14ac:dyDescent="0.25">
      <c r="B3" s="87"/>
      <c r="C3" s="87"/>
      <c r="D3" s="87"/>
      <c r="E3" s="87"/>
      <c r="F3" s="87"/>
      <c r="G3" s="87"/>
      <c r="H3" s="87"/>
      <c r="I3" s="87"/>
      <c r="J3" s="87"/>
      <c r="K3" s="87"/>
    </row>
    <row r="4" spans="2:11" x14ac:dyDescent="0.25">
      <c r="B4" s="87"/>
      <c r="C4" s="87"/>
      <c r="D4" s="87"/>
      <c r="E4" s="87"/>
      <c r="F4" s="87"/>
      <c r="G4" s="87"/>
      <c r="H4" s="87"/>
      <c r="I4" s="87"/>
      <c r="J4" s="87"/>
      <c r="K4" s="87"/>
    </row>
    <row r="5" spans="2:11" x14ac:dyDescent="0.25">
      <c r="B5" s="87"/>
      <c r="C5" s="87"/>
      <c r="D5" s="87"/>
      <c r="E5" s="87"/>
      <c r="F5" s="87"/>
      <c r="G5" s="87"/>
      <c r="H5" s="87"/>
      <c r="I5" s="87"/>
      <c r="J5" s="87"/>
      <c r="K5" s="87"/>
    </row>
    <row r="6" spans="2:11" x14ac:dyDescent="0.25">
      <c r="B6" s="87"/>
      <c r="C6" s="87"/>
      <c r="D6" s="87"/>
      <c r="E6" s="87"/>
      <c r="F6" s="87"/>
      <c r="G6" s="87"/>
      <c r="H6" s="87"/>
      <c r="I6" s="87"/>
      <c r="J6" s="87"/>
      <c r="K6" s="87"/>
    </row>
    <row r="7" spans="2:11" x14ac:dyDescent="0.25">
      <c r="B7" s="87"/>
      <c r="C7" s="87"/>
      <c r="D7" s="87"/>
      <c r="E7" s="87"/>
      <c r="F7" s="87"/>
      <c r="G7" s="87"/>
      <c r="H7" s="87"/>
      <c r="I7" s="87"/>
      <c r="J7" s="87"/>
      <c r="K7" s="87"/>
    </row>
    <row r="8" spans="2:11" x14ac:dyDescent="0.25">
      <c r="B8" s="87"/>
      <c r="C8" s="87"/>
      <c r="D8" s="87"/>
      <c r="E8" s="87"/>
      <c r="F8" s="87"/>
      <c r="G8" s="87"/>
      <c r="H8" s="87"/>
      <c r="I8" s="87"/>
      <c r="J8" s="87"/>
      <c r="K8" s="87"/>
    </row>
    <row r="9" spans="2:11" x14ac:dyDescent="0.25">
      <c r="B9" s="87"/>
      <c r="C9" s="87"/>
      <c r="D9" s="87"/>
      <c r="E9" s="87"/>
      <c r="F9" s="87"/>
      <c r="G9" s="87"/>
      <c r="H9" s="87"/>
      <c r="I9" s="87"/>
      <c r="J9" s="87"/>
      <c r="K9" s="87"/>
    </row>
    <row r="10" spans="2:11" x14ac:dyDescent="0.25">
      <c r="B10" s="87"/>
      <c r="C10" s="87"/>
      <c r="D10" s="87"/>
      <c r="E10" s="87"/>
      <c r="F10" s="87"/>
      <c r="G10" s="87"/>
      <c r="H10" s="87"/>
      <c r="I10" s="87"/>
      <c r="J10" s="87"/>
      <c r="K10" s="87"/>
    </row>
    <row r="11" spans="2:11" x14ac:dyDescent="0.25">
      <c r="B11" s="87"/>
      <c r="C11" s="87"/>
      <c r="D11" s="87"/>
      <c r="E11" s="87"/>
      <c r="F11" s="87"/>
      <c r="G11" s="87"/>
      <c r="H11" s="87"/>
      <c r="I11" s="87"/>
      <c r="J11" s="87"/>
      <c r="K11" s="87"/>
    </row>
    <row r="12" spans="2:11" x14ac:dyDescent="0.25">
      <c r="B12" s="87"/>
      <c r="C12" s="87"/>
      <c r="D12" s="87"/>
      <c r="E12" s="87"/>
      <c r="F12" s="87"/>
      <c r="G12" s="87"/>
      <c r="H12" s="87"/>
      <c r="I12" s="87"/>
      <c r="J12" s="87"/>
      <c r="K12" s="87"/>
    </row>
    <row r="13" spans="2:11" x14ac:dyDescent="0.25">
      <c r="B13" s="87"/>
      <c r="C13" s="87"/>
      <c r="D13" s="87"/>
      <c r="E13" s="87"/>
      <c r="F13" s="87"/>
      <c r="G13" s="87"/>
      <c r="H13" s="87"/>
      <c r="I13" s="87"/>
      <c r="J13" s="87"/>
      <c r="K13" s="87"/>
    </row>
    <row r="14" spans="2:11" x14ac:dyDescent="0.25">
      <c r="B14" s="87"/>
      <c r="C14" s="87"/>
      <c r="D14" s="87"/>
      <c r="E14" s="87"/>
      <c r="F14" s="87"/>
      <c r="G14" s="87"/>
      <c r="H14" s="87"/>
      <c r="I14" s="87"/>
      <c r="J14" s="87"/>
      <c r="K14" s="87"/>
    </row>
    <row r="15" spans="2:11" x14ac:dyDescent="0.25">
      <c r="B15" s="87"/>
      <c r="C15" s="87"/>
      <c r="D15" s="87"/>
      <c r="E15" s="87"/>
      <c r="F15" s="87"/>
      <c r="G15" s="87"/>
      <c r="H15" s="87"/>
      <c r="I15" s="87"/>
      <c r="J15" s="87"/>
      <c r="K15" s="87"/>
    </row>
    <row r="16" spans="2:11" x14ac:dyDescent="0.25">
      <c r="B16" s="87"/>
      <c r="C16" s="87"/>
      <c r="D16" s="87"/>
      <c r="E16" s="87"/>
      <c r="F16" s="87"/>
      <c r="G16" s="87"/>
      <c r="H16" s="87"/>
      <c r="I16" s="87"/>
      <c r="J16" s="87"/>
      <c r="K16" s="87"/>
    </row>
    <row r="17" spans="2:11" x14ac:dyDescent="0.25">
      <c r="B17" s="87"/>
      <c r="C17" s="87"/>
      <c r="D17" s="87"/>
      <c r="E17" s="87"/>
      <c r="F17" s="87"/>
      <c r="G17" s="87"/>
      <c r="H17" s="87"/>
      <c r="I17" s="87"/>
      <c r="J17" s="87"/>
      <c r="K17" s="87"/>
    </row>
    <row r="18" spans="2:11" x14ac:dyDescent="0.25">
      <c r="B18" s="87"/>
      <c r="C18" s="87"/>
      <c r="D18" s="87"/>
      <c r="E18" s="87"/>
      <c r="F18" s="87"/>
      <c r="G18" s="87"/>
      <c r="H18" s="87"/>
      <c r="I18" s="87"/>
      <c r="J18" s="87"/>
      <c r="K18" s="87"/>
    </row>
    <row r="19" spans="2:11" x14ac:dyDescent="0.25">
      <c r="B19" s="87"/>
      <c r="C19" s="87"/>
      <c r="D19" s="87"/>
      <c r="E19" s="87"/>
      <c r="F19" s="87"/>
      <c r="G19" s="87"/>
      <c r="H19" s="87"/>
      <c r="I19" s="87"/>
      <c r="J19" s="87"/>
      <c r="K19" s="87"/>
    </row>
    <row r="20" spans="2:11" x14ac:dyDescent="0.25">
      <c r="B20" s="87"/>
      <c r="C20" s="87"/>
      <c r="D20" s="87"/>
      <c r="E20" s="87"/>
      <c r="F20" s="87"/>
      <c r="G20" s="87"/>
      <c r="H20" s="87"/>
      <c r="I20" s="87"/>
      <c r="J20" s="87"/>
      <c r="K20" s="87"/>
    </row>
    <row r="21" spans="2:11" x14ac:dyDescent="0.25">
      <c r="B21" s="87"/>
      <c r="C21" s="87"/>
      <c r="D21" s="87"/>
      <c r="E21" s="87"/>
      <c r="F21" s="87"/>
      <c r="G21" s="87"/>
      <c r="H21" s="87"/>
      <c r="I21" s="87"/>
      <c r="J21" s="87"/>
      <c r="K21" s="87"/>
    </row>
    <row r="22" spans="2:11" x14ac:dyDescent="0.25">
      <c r="B22" s="87"/>
      <c r="C22" s="87"/>
      <c r="D22" s="87"/>
      <c r="E22" s="87"/>
      <c r="F22" s="87"/>
      <c r="G22" s="87"/>
      <c r="H22" s="87"/>
      <c r="I22" s="87"/>
      <c r="J22" s="87"/>
      <c r="K22" s="87"/>
    </row>
    <row r="23" spans="2:11" x14ac:dyDescent="0.25">
      <c r="B23" s="87"/>
      <c r="C23" s="87"/>
      <c r="D23" s="87"/>
      <c r="E23" s="87"/>
      <c r="F23" s="87"/>
      <c r="G23" s="87"/>
      <c r="H23" s="87"/>
      <c r="I23" s="87"/>
      <c r="J23" s="87"/>
      <c r="K23" s="87"/>
    </row>
    <row r="24" spans="2:11" x14ac:dyDescent="0.25">
      <c r="B24" s="87"/>
      <c r="C24" s="87"/>
      <c r="D24" s="87"/>
      <c r="E24" s="87"/>
      <c r="F24" s="87"/>
      <c r="G24" s="87"/>
      <c r="H24" s="87"/>
      <c r="I24" s="87"/>
      <c r="J24" s="87"/>
      <c r="K24" s="87"/>
    </row>
    <row r="25" spans="2:11" x14ac:dyDescent="0.25">
      <c r="B25" s="87"/>
      <c r="C25" s="87"/>
      <c r="D25" s="87"/>
      <c r="E25" s="87"/>
      <c r="F25" s="87"/>
      <c r="G25" s="87"/>
      <c r="H25" s="87"/>
      <c r="I25" s="87"/>
      <c r="J25" s="87"/>
      <c r="K25" s="87"/>
    </row>
    <row r="26" spans="2:11" x14ac:dyDescent="0.25">
      <c r="B26" s="87"/>
      <c r="C26" s="87"/>
      <c r="D26" s="87"/>
      <c r="E26" s="87"/>
      <c r="F26" s="87"/>
      <c r="G26" s="87"/>
      <c r="H26" s="87"/>
      <c r="I26" s="87"/>
      <c r="J26" s="87"/>
      <c r="K26" s="87"/>
    </row>
    <row r="27" spans="2:11" x14ac:dyDescent="0.25">
      <c r="B27" s="87"/>
      <c r="C27" s="87"/>
      <c r="D27" s="87"/>
      <c r="E27" s="87"/>
      <c r="F27" s="87"/>
      <c r="G27" s="87"/>
      <c r="H27" s="87"/>
      <c r="I27" s="87"/>
      <c r="J27" s="87"/>
      <c r="K27" s="87"/>
    </row>
    <row r="28" spans="2:11" x14ac:dyDescent="0.25">
      <c r="B28" s="87"/>
      <c r="C28" s="87"/>
      <c r="D28" s="87"/>
      <c r="E28" s="87"/>
      <c r="F28" s="87"/>
      <c r="G28" s="87"/>
      <c r="H28" s="87"/>
      <c r="I28" s="87"/>
      <c r="J28" s="87"/>
      <c r="K28" s="87"/>
    </row>
    <row r="29" spans="2:11" x14ac:dyDescent="0.25">
      <c r="B29" s="87"/>
      <c r="C29" s="87"/>
      <c r="D29" s="87"/>
      <c r="E29" s="87"/>
      <c r="F29" s="87"/>
      <c r="G29" s="87"/>
      <c r="H29" s="87"/>
      <c r="I29" s="87"/>
      <c r="J29" s="87"/>
      <c r="K29" s="87"/>
    </row>
    <row r="30" spans="2:11" x14ac:dyDescent="0.25">
      <c r="B30" s="87"/>
      <c r="C30" s="87"/>
      <c r="D30" s="87"/>
      <c r="E30" s="87"/>
      <c r="F30" s="87"/>
      <c r="G30" s="87"/>
      <c r="H30" s="87"/>
      <c r="I30" s="87"/>
      <c r="J30" s="87"/>
      <c r="K30" s="87"/>
    </row>
    <row r="31" spans="2:11" x14ac:dyDescent="0.25">
      <c r="B31" s="87"/>
      <c r="C31" s="87"/>
      <c r="D31" s="87"/>
      <c r="E31" s="87"/>
      <c r="F31" s="87"/>
      <c r="G31" s="87"/>
      <c r="H31" s="87"/>
      <c r="I31" s="87"/>
      <c r="J31" s="87"/>
      <c r="K31" s="87"/>
    </row>
    <row r="32" spans="2:11" x14ac:dyDescent="0.25">
      <c r="B32" s="87"/>
      <c r="C32" s="87"/>
      <c r="D32" s="87"/>
      <c r="E32" s="87"/>
      <c r="F32" s="87"/>
      <c r="G32" s="87"/>
      <c r="H32" s="87"/>
      <c r="I32" s="87"/>
      <c r="J32" s="87"/>
      <c r="K32" s="87"/>
    </row>
    <row r="33" spans="2:11" x14ac:dyDescent="0.25">
      <c r="B33" s="87"/>
      <c r="C33" s="87"/>
      <c r="D33" s="87"/>
      <c r="E33" s="87"/>
      <c r="F33" s="87"/>
      <c r="G33" s="87"/>
      <c r="H33" s="87"/>
      <c r="I33" s="87"/>
      <c r="J33" s="87"/>
      <c r="K33" s="87"/>
    </row>
    <row r="34" spans="2:11" x14ac:dyDescent="0.25">
      <c r="B34" s="87"/>
      <c r="C34" s="87"/>
      <c r="D34" s="87"/>
      <c r="E34" s="87"/>
      <c r="F34" s="87"/>
      <c r="G34" s="87"/>
      <c r="H34" s="87"/>
      <c r="I34" s="87"/>
      <c r="J34" s="87"/>
      <c r="K34" s="87"/>
    </row>
    <row r="35" spans="2:11" x14ac:dyDescent="0.25">
      <c r="B35" s="87"/>
      <c r="C35" s="87"/>
      <c r="D35" s="87"/>
      <c r="E35" s="87"/>
      <c r="F35" s="87"/>
      <c r="G35" s="87"/>
      <c r="H35" s="87"/>
      <c r="I35" s="87"/>
      <c r="J35" s="87"/>
      <c r="K35" s="87"/>
    </row>
    <row r="36" spans="2:11" x14ac:dyDescent="0.25">
      <c r="B36" s="87"/>
      <c r="C36" s="87"/>
      <c r="D36" s="87"/>
      <c r="E36" s="87"/>
      <c r="F36" s="87"/>
      <c r="G36" s="87"/>
      <c r="H36" s="87"/>
      <c r="I36" s="87"/>
      <c r="J36" s="87"/>
      <c r="K36" s="87"/>
    </row>
    <row r="37" spans="2:11" x14ac:dyDescent="0.25">
      <c r="B37" s="87"/>
      <c r="C37" s="87"/>
      <c r="D37" s="87"/>
      <c r="E37" s="87"/>
      <c r="F37" s="87"/>
      <c r="G37" s="87"/>
      <c r="H37" s="87"/>
      <c r="I37" s="87"/>
      <c r="J37" s="87"/>
      <c r="K37" s="87"/>
    </row>
    <row r="38" spans="2:11" x14ac:dyDescent="0.25">
      <c r="B38" s="87"/>
      <c r="C38" s="87"/>
      <c r="D38" s="87"/>
      <c r="E38" s="87"/>
      <c r="F38" s="87"/>
      <c r="G38" s="87"/>
      <c r="H38" s="87"/>
      <c r="I38" s="87"/>
      <c r="J38" s="87"/>
      <c r="K38" s="87"/>
    </row>
    <row r="39" spans="2:11" x14ac:dyDescent="0.25">
      <c r="B39" s="87"/>
      <c r="C39" s="87"/>
      <c r="D39" s="87"/>
      <c r="E39" s="87"/>
      <c r="F39" s="87"/>
      <c r="G39" s="87"/>
      <c r="H39" s="87"/>
      <c r="I39" s="87"/>
      <c r="J39" s="87"/>
      <c r="K39" s="87"/>
    </row>
  </sheetData>
  <pageMargins left="0.511811024" right="0.511811024" top="0.78740157499999996" bottom="0.78740157499999996" header="0.31496062000000002" footer="0.31496062000000002"/>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3ABC9-F32B-4F10-9E8B-D7BC280C20ED}">
  <dimension ref="A1:B109"/>
  <sheetViews>
    <sheetView workbookViewId="0">
      <selection activeCell="B109" sqref="B109"/>
    </sheetView>
  </sheetViews>
  <sheetFormatPr defaultRowHeight="15" x14ac:dyDescent="0.25"/>
  <cols>
    <col min="1" max="1" width="43.5703125" customWidth="1"/>
    <col min="2" max="2" width="21.5703125" customWidth="1"/>
  </cols>
  <sheetData>
    <row r="1" spans="1:2" x14ac:dyDescent="0.25">
      <c r="A1" s="43" t="s">
        <v>15</v>
      </c>
      <c r="B1" s="43" t="s">
        <v>22</v>
      </c>
    </row>
    <row r="2" spans="1:2" x14ac:dyDescent="0.25">
      <c r="A2" s="32" t="s">
        <v>213</v>
      </c>
      <c r="B2" s="99">
        <v>1</v>
      </c>
    </row>
    <row r="3" spans="1:2" x14ac:dyDescent="0.25">
      <c r="A3" s="86" t="s">
        <v>265</v>
      </c>
      <c r="B3" s="99">
        <v>1</v>
      </c>
    </row>
    <row r="4" spans="1:2" x14ac:dyDescent="0.25">
      <c r="A4" s="35" t="s">
        <v>275</v>
      </c>
      <c r="B4" s="99">
        <v>1</v>
      </c>
    </row>
    <row r="5" spans="1:2" x14ac:dyDescent="0.25">
      <c r="A5" s="35" t="s">
        <v>285</v>
      </c>
      <c r="B5" s="99">
        <v>1</v>
      </c>
    </row>
    <row r="6" spans="1:2" x14ac:dyDescent="0.25">
      <c r="A6" s="35" t="s">
        <v>340</v>
      </c>
      <c r="B6" s="99">
        <v>1</v>
      </c>
    </row>
    <row r="7" spans="1:2" x14ac:dyDescent="0.25">
      <c r="A7" s="35" t="s">
        <v>169</v>
      </c>
      <c r="B7" s="99">
        <v>1</v>
      </c>
    </row>
    <row r="8" spans="1:2" x14ac:dyDescent="0.25">
      <c r="A8" s="35" t="s">
        <v>678</v>
      </c>
      <c r="B8" s="99">
        <v>1</v>
      </c>
    </row>
    <row r="9" spans="1:2" x14ac:dyDescent="0.25">
      <c r="A9" s="35" t="s">
        <v>169</v>
      </c>
      <c r="B9" s="99">
        <v>0.8</v>
      </c>
    </row>
    <row r="10" spans="1:2" ht="25.5" x14ac:dyDescent="0.25">
      <c r="A10" s="35" t="s">
        <v>564</v>
      </c>
      <c r="B10" s="99">
        <v>0.8</v>
      </c>
    </row>
    <row r="11" spans="1:2" x14ac:dyDescent="0.25">
      <c r="A11" s="35" t="s">
        <v>591</v>
      </c>
      <c r="B11" s="99">
        <v>0.8</v>
      </c>
    </row>
    <row r="12" spans="1:2" x14ac:dyDescent="0.25">
      <c r="A12" s="35" t="s">
        <v>787</v>
      </c>
      <c r="B12" s="99">
        <v>0.8</v>
      </c>
    </row>
    <row r="13" spans="1:2" x14ac:dyDescent="0.25">
      <c r="A13" s="35" t="s">
        <v>162</v>
      </c>
      <c r="B13" s="99">
        <v>0.68</v>
      </c>
    </row>
    <row r="14" spans="1:2" x14ac:dyDescent="0.25">
      <c r="A14" s="35" t="s">
        <v>169</v>
      </c>
      <c r="B14" s="99">
        <v>0.68</v>
      </c>
    </row>
    <row r="15" spans="1:2" x14ac:dyDescent="0.25">
      <c r="A15" s="35" t="s">
        <v>560</v>
      </c>
      <c r="B15" s="99">
        <v>0.68</v>
      </c>
    </row>
    <row r="16" spans="1:2" x14ac:dyDescent="0.25">
      <c r="A16" s="35" t="s">
        <v>27</v>
      </c>
      <c r="B16" s="99">
        <v>0.64</v>
      </c>
    </row>
    <row r="17" spans="1:2" x14ac:dyDescent="0.25">
      <c r="A17" s="35" t="s">
        <v>169</v>
      </c>
      <c r="B17" s="99">
        <v>0.64</v>
      </c>
    </row>
    <row r="18" spans="1:2" ht="25.5" x14ac:dyDescent="0.25">
      <c r="A18" s="35" t="s">
        <v>768</v>
      </c>
      <c r="B18" s="99">
        <v>0.64</v>
      </c>
    </row>
    <row r="19" spans="1:2" x14ac:dyDescent="0.25">
      <c r="A19" s="35" t="s">
        <v>619</v>
      </c>
      <c r="B19" s="99">
        <v>0.64</v>
      </c>
    </row>
    <row r="20" spans="1:2" x14ac:dyDescent="0.25">
      <c r="A20" s="35" t="s">
        <v>622</v>
      </c>
      <c r="B20" s="99">
        <v>0.64</v>
      </c>
    </row>
    <row r="21" spans="1:2" x14ac:dyDescent="0.25">
      <c r="A21" s="35" t="s">
        <v>625</v>
      </c>
      <c r="B21" s="99">
        <v>0.64</v>
      </c>
    </row>
    <row r="22" spans="1:2" x14ac:dyDescent="0.25">
      <c r="A22" s="35" t="s">
        <v>628</v>
      </c>
      <c r="B22" s="99">
        <v>0.64</v>
      </c>
    </row>
    <row r="23" spans="1:2" ht="25.5" x14ac:dyDescent="0.25">
      <c r="A23" s="35" t="s">
        <v>638</v>
      </c>
      <c r="B23" s="99">
        <v>0.64</v>
      </c>
    </row>
    <row r="24" spans="1:2" x14ac:dyDescent="0.25">
      <c r="A24" s="35" t="s">
        <v>719</v>
      </c>
      <c r="B24" s="99">
        <v>0.64</v>
      </c>
    </row>
    <row r="25" spans="1:2" x14ac:dyDescent="0.25">
      <c r="A25" s="35" t="s">
        <v>365</v>
      </c>
      <c r="B25" s="99">
        <v>0.64</v>
      </c>
    </row>
    <row r="26" spans="1:2" ht="38.25" x14ac:dyDescent="0.25">
      <c r="A26" s="35" t="s">
        <v>780</v>
      </c>
      <c r="B26" s="99">
        <v>0.64</v>
      </c>
    </row>
    <row r="27" spans="1:2" x14ac:dyDescent="0.25">
      <c r="A27" s="35" t="s">
        <v>203</v>
      </c>
      <c r="B27" s="99">
        <v>0.6</v>
      </c>
    </row>
    <row r="28" spans="1:2" x14ac:dyDescent="0.25">
      <c r="A28" s="35" t="s">
        <v>218</v>
      </c>
      <c r="B28" s="99">
        <v>0.6</v>
      </c>
    </row>
    <row r="29" spans="1:2" x14ac:dyDescent="0.25">
      <c r="A29" s="35" t="s">
        <v>233</v>
      </c>
      <c r="B29" s="99">
        <v>0.6</v>
      </c>
    </row>
    <row r="30" spans="1:2" x14ac:dyDescent="0.25">
      <c r="A30" s="35" t="s">
        <v>337</v>
      </c>
      <c r="B30" s="99">
        <v>0.6</v>
      </c>
    </row>
    <row r="31" spans="1:2" x14ac:dyDescent="0.25">
      <c r="A31" s="35" t="s">
        <v>346</v>
      </c>
      <c r="B31" s="99">
        <v>0.6</v>
      </c>
    </row>
    <row r="32" spans="1:2" x14ac:dyDescent="0.25">
      <c r="A32" s="35" t="s">
        <v>195</v>
      </c>
      <c r="B32" s="99">
        <v>0.6</v>
      </c>
    </row>
    <row r="33" spans="1:2" x14ac:dyDescent="0.25">
      <c r="A33" s="35" t="s">
        <v>169</v>
      </c>
      <c r="B33" s="99">
        <v>0.6</v>
      </c>
    </row>
    <row r="34" spans="1:2" x14ac:dyDescent="0.25">
      <c r="A34" s="35" t="s">
        <v>748</v>
      </c>
      <c r="B34" s="99">
        <v>0.6</v>
      </c>
    </row>
    <row r="35" spans="1:2" x14ac:dyDescent="0.25">
      <c r="A35" s="35" t="s">
        <v>568</v>
      </c>
      <c r="B35" s="99">
        <v>0.6</v>
      </c>
    </row>
    <row r="36" spans="1:2" x14ac:dyDescent="0.25">
      <c r="A36" s="35" t="s">
        <v>574</v>
      </c>
      <c r="B36" s="99">
        <v>0.6</v>
      </c>
    </row>
    <row r="37" spans="1:2" x14ac:dyDescent="0.25">
      <c r="A37" s="35" t="s">
        <v>788</v>
      </c>
      <c r="B37" s="99">
        <v>0.6</v>
      </c>
    </row>
    <row r="38" spans="1:2" x14ac:dyDescent="0.25">
      <c r="A38" s="35" t="s">
        <v>609</v>
      </c>
      <c r="B38" s="99">
        <v>0.6</v>
      </c>
    </row>
    <row r="39" spans="1:2" x14ac:dyDescent="0.25">
      <c r="A39" s="35" t="s">
        <v>641</v>
      </c>
      <c r="B39" s="99">
        <v>0.6</v>
      </c>
    </row>
    <row r="40" spans="1:2" x14ac:dyDescent="0.25">
      <c r="A40" s="35" t="s">
        <v>789</v>
      </c>
      <c r="B40" s="99">
        <v>0.6</v>
      </c>
    </row>
    <row r="41" spans="1:2" x14ac:dyDescent="0.25">
      <c r="A41" s="35" t="s">
        <v>296</v>
      </c>
      <c r="B41" s="99">
        <v>0.56000000000000005</v>
      </c>
    </row>
    <row r="42" spans="1:2" x14ac:dyDescent="0.25">
      <c r="A42" s="35" t="s">
        <v>275</v>
      </c>
      <c r="B42" s="99">
        <v>0.56000000000000005</v>
      </c>
    </row>
    <row r="43" spans="1:2" x14ac:dyDescent="0.25">
      <c r="A43" s="35" t="s">
        <v>248</v>
      </c>
      <c r="B43" s="99">
        <v>0.56000000000000005</v>
      </c>
    </row>
    <row r="44" spans="1:2" x14ac:dyDescent="0.25">
      <c r="A44" s="35" t="s">
        <v>253</v>
      </c>
      <c r="B44" s="99">
        <v>0.56000000000000005</v>
      </c>
    </row>
    <row r="45" spans="1:2" x14ac:dyDescent="0.25">
      <c r="A45" s="35" t="s">
        <v>270</v>
      </c>
      <c r="B45" s="99">
        <v>0.56000000000000005</v>
      </c>
    </row>
    <row r="46" spans="1:2" x14ac:dyDescent="0.25">
      <c r="A46" s="35" t="s">
        <v>187</v>
      </c>
      <c r="B46" s="99">
        <v>0.56000000000000005</v>
      </c>
    </row>
    <row r="47" spans="1:2" x14ac:dyDescent="0.25">
      <c r="A47" s="35" t="s">
        <v>191</v>
      </c>
      <c r="B47" s="99">
        <v>0.56000000000000005</v>
      </c>
    </row>
    <row r="48" spans="1:2" x14ac:dyDescent="0.25">
      <c r="A48" s="35" t="s">
        <v>38</v>
      </c>
      <c r="B48" s="99">
        <v>0.56000000000000005</v>
      </c>
    </row>
    <row r="49" spans="1:2" x14ac:dyDescent="0.25">
      <c r="A49" s="35" t="s">
        <v>365</v>
      </c>
      <c r="B49" s="99">
        <v>0.56000000000000005</v>
      </c>
    </row>
    <row r="50" spans="1:2" x14ac:dyDescent="0.25">
      <c r="A50" s="35" t="s">
        <v>669</v>
      </c>
      <c r="B50" s="99">
        <v>0.56000000000000005</v>
      </c>
    </row>
    <row r="51" spans="1:2" x14ac:dyDescent="0.25">
      <c r="A51" s="35" t="s">
        <v>669</v>
      </c>
      <c r="B51" s="99">
        <v>0.56000000000000005</v>
      </c>
    </row>
    <row r="52" spans="1:2" x14ac:dyDescent="0.25">
      <c r="A52" s="35" t="s">
        <v>669</v>
      </c>
      <c r="B52" s="99">
        <v>0.56000000000000005</v>
      </c>
    </row>
    <row r="53" spans="1:2" x14ac:dyDescent="0.25">
      <c r="A53" s="35" t="s">
        <v>557</v>
      </c>
      <c r="B53" s="99">
        <v>0.56000000000000005</v>
      </c>
    </row>
    <row r="54" spans="1:2" x14ac:dyDescent="0.25">
      <c r="A54" s="35" t="s">
        <v>365</v>
      </c>
      <c r="B54" s="99">
        <v>0.56000000000000005</v>
      </c>
    </row>
    <row r="55" spans="1:2" x14ac:dyDescent="0.25">
      <c r="A55" s="35" t="s">
        <v>646</v>
      </c>
      <c r="B55" s="99">
        <v>0.52</v>
      </c>
    </row>
    <row r="56" spans="1:2" x14ac:dyDescent="0.25">
      <c r="A56" s="35" t="s">
        <v>716</v>
      </c>
      <c r="B56" s="99">
        <v>0.52</v>
      </c>
    </row>
    <row r="57" spans="1:2" x14ac:dyDescent="0.25">
      <c r="A57" s="35" t="s">
        <v>301</v>
      </c>
      <c r="B57" s="99">
        <v>0.48</v>
      </c>
    </row>
    <row r="58" spans="1:2" x14ac:dyDescent="0.25">
      <c r="A58" s="35" t="s">
        <v>237</v>
      </c>
      <c r="B58" s="99">
        <v>0.48</v>
      </c>
    </row>
    <row r="59" spans="1:2" x14ac:dyDescent="0.25">
      <c r="A59" s="35" t="s">
        <v>318</v>
      </c>
      <c r="B59" s="99">
        <v>0.48</v>
      </c>
    </row>
    <row r="60" spans="1:2" x14ac:dyDescent="0.25">
      <c r="A60" s="35" t="s">
        <v>27</v>
      </c>
      <c r="B60" s="99">
        <v>0.48</v>
      </c>
    </row>
    <row r="61" spans="1:2" x14ac:dyDescent="0.25">
      <c r="A61" s="35" t="s">
        <v>27</v>
      </c>
      <c r="B61" s="99">
        <v>0.48</v>
      </c>
    </row>
    <row r="62" spans="1:2" x14ac:dyDescent="0.25">
      <c r="A62" s="35" t="s">
        <v>27</v>
      </c>
      <c r="B62" s="99">
        <v>0.48</v>
      </c>
    </row>
    <row r="63" spans="1:2" x14ac:dyDescent="0.25">
      <c r="A63" s="35" t="s">
        <v>669</v>
      </c>
      <c r="B63" s="99">
        <v>0.48</v>
      </c>
    </row>
    <row r="64" spans="1:2" x14ac:dyDescent="0.25">
      <c r="A64" s="91" t="s">
        <v>697</v>
      </c>
      <c r="B64" s="99">
        <v>0.48</v>
      </c>
    </row>
    <row r="65" spans="1:2" x14ac:dyDescent="0.25">
      <c r="A65" s="35" t="s">
        <v>669</v>
      </c>
      <c r="B65" s="99">
        <v>0.48</v>
      </c>
    </row>
    <row r="66" spans="1:2" x14ac:dyDescent="0.25">
      <c r="A66" s="35" t="s">
        <v>669</v>
      </c>
      <c r="B66" s="99">
        <v>0.48</v>
      </c>
    </row>
    <row r="67" spans="1:2" x14ac:dyDescent="0.25">
      <c r="A67" s="35" t="s">
        <v>669</v>
      </c>
      <c r="B67" s="99">
        <v>0.48</v>
      </c>
    </row>
    <row r="68" spans="1:2" x14ac:dyDescent="0.25">
      <c r="A68" s="35" t="s">
        <v>554</v>
      </c>
      <c r="B68" s="99">
        <v>0.48</v>
      </c>
    </row>
    <row r="69" spans="1:2" x14ac:dyDescent="0.25">
      <c r="A69" s="35" t="s">
        <v>27</v>
      </c>
      <c r="B69" s="99">
        <v>0.48</v>
      </c>
    </row>
    <row r="70" spans="1:2" x14ac:dyDescent="0.25">
      <c r="A70" s="35" t="s">
        <v>583</v>
      </c>
      <c r="B70" s="99">
        <v>0.48</v>
      </c>
    </row>
    <row r="71" spans="1:2" x14ac:dyDescent="0.25">
      <c r="A71" s="35" t="s">
        <v>586</v>
      </c>
      <c r="B71" s="99">
        <v>0.48</v>
      </c>
    </row>
    <row r="72" spans="1:2" x14ac:dyDescent="0.25">
      <c r="A72" s="35" t="s">
        <v>594</v>
      </c>
      <c r="B72" s="99">
        <v>0.48</v>
      </c>
    </row>
    <row r="73" spans="1:2" x14ac:dyDescent="0.25">
      <c r="A73" s="35" t="s">
        <v>786</v>
      </c>
      <c r="B73" s="99">
        <v>0.48</v>
      </c>
    </row>
    <row r="74" spans="1:2" x14ac:dyDescent="0.25">
      <c r="A74" s="35" t="s">
        <v>554</v>
      </c>
      <c r="B74" s="99">
        <v>0.48</v>
      </c>
    </row>
    <row r="75" spans="1:2" x14ac:dyDescent="0.25">
      <c r="A75" s="35" t="s">
        <v>27</v>
      </c>
      <c r="B75" s="99">
        <v>0.48</v>
      </c>
    </row>
    <row r="76" spans="1:2" x14ac:dyDescent="0.25">
      <c r="A76" s="35" t="s">
        <v>209</v>
      </c>
      <c r="B76" s="99">
        <v>0.44</v>
      </c>
    </row>
    <row r="77" spans="1:2" x14ac:dyDescent="0.25">
      <c r="A77" s="35" t="s">
        <v>678</v>
      </c>
      <c r="B77" s="99">
        <v>0.44</v>
      </c>
    </row>
    <row r="78" spans="1:2" x14ac:dyDescent="0.25">
      <c r="A78" s="35" t="s">
        <v>635</v>
      </c>
      <c r="B78" s="99">
        <v>0.44</v>
      </c>
    </row>
    <row r="79" spans="1:2" x14ac:dyDescent="0.25">
      <c r="A79" s="35" t="s">
        <v>720</v>
      </c>
      <c r="B79" s="99">
        <v>0.44</v>
      </c>
    </row>
    <row r="80" spans="1:2" x14ac:dyDescent="0.25">
      <c r="A80" s="35" t="s">
        <v>361</v>
      </c>
      <c r="B80" s="99">
        <v>0.44</v>
      </c>
    </row>
    <row r="81" spans="1:2" x14ac:dyDescent="0.25">
      <c r="A81" s="35" t="s">
        <v>369</v>
      </c>
      <c r="B81" s="99">
        <v>0.44</v>
      </c>
    </row>
    <row r="82" spans="1:2" x14ac:dyDescent="0.25">
      <c r="A82" s="35" t="s">
        <v>169</v>
      </c>
      <c r="B82" s="99">
        <v>0.44</v>
      </c>
    </row>
    <row r="83" spans="1:2" x14ac:dyDescent="0.25">
      <c r="A83" s="35" t="s">
        <v>669</v>
      </c>
      <c r="B83" s="99">
        <v>0.44</v>
      </c>
    </row>
    <row r="84" spans="1:2" x14ac:dyDescent="0.25">
      <c r="A84" s="35" t="s">
        <v>748</v>
      </c>
      <c r="B84" s="99">
        <v>0.44</v>
      </c>
    </row>
    <row r="85" spans="1:2" x14ac:dyDescent="0.25">
      <c r="A85" s="35" t="s">
        <v>169</v>
      </c>
      <c r="B85" s="99">
        <v>0.44</v>
      </c>
    </row>
    <row r="86" spans="1:2" x14ac:dyDescent="0.25">
      <c r="A86" s="35" t="s">
        <v>261</v>
      </c>
      <c r="B86" s="99">
        <v>0.4</v>
      </c>
    </row>
    <row r="87" spans="1:2" x14ac:dyDescent="0.25">
      <c r="A87" s="35" t="s">
        <v>187</v>
      </c>
      <c r="B87" s="99">
        <v>0.36</v>
      </c>
    </row>
    <row r="88" spans="1:2" x14ac:dyDescent="0.25">
      <c r="A88" s="35" t="s">
        <v>333</v>
      </c>
      <c r="B88" s="99">
        <v>0.36</v>
      </c>
    </row>
    <row r="89" spans="1:2" x14ac:dyDescent="0.25">
      <c r="A89" s="35" t="s">
        <v>785</v>
      </c>
      <c r="B89" s="99">
        <v>0.36</v>
      </c>
    </row>
    <row r="90" spans="1:2" x14ac:dyDescent="0.25">
      <c r="A90" s="35" t="s">
        <v>321</v>
      </c>
      <c r="B90" s="99">
        <v>0.32</v>
      </c>
    </row>
    <row r="91" spans="1:2" x14ac:dyDescent="0.25">
      <c r="A91" s="35" t="s">
        <v>156</v>
      </c>
      <c r="B91" s="99">
        <v>0.32</v>
      </c>
    </row>
    <row r="92" spans="1:2" x14ac:dyDescent="0.25">
      <c r="A92" s="35" t="s">
        <v>706</v>
      </c>
      <c r="B92" s="99">
        <v>0.32</v>
      </c>
    </row>
    <row r="93" spans="1:2" x14ac:dyDescent="0.25">
      <c r="A93" s="35" t="s">
        <v>156</v>
      </c>
      <c r="B93" s="99">
        <v>0.28000000000000003</v>
      </c>
    </row>
    <row r="94" spans="1:2" x14ac:dyDescent="0.25">
      <c r="A94" s="35" t="s">
        <v>156</v>
      </c>
      <c r="B94" s="99">
        <v>0.28000000000000003</v>
      </c>
    </row>
    <row r="95" spans="1:2" x14ac:dyDescent="0.25">
      <c r="A95" s="35" t="s">
        <v>281</v>
      </c>
      <c r="B95" s="99">
        <v>0.2</v>
      </c>
    </row>
    <row r="96" spans="1:2" x14ac:dyDescent="0.25">
      <c r="A96" s="35" t="s">
        <v>326</v>
      </c>
      <c r="B96" s="99">
        <v>0</v>
      </c>
    </row>
    <row r="97" spans="1:2" x14ac:dyDescent="0.25">
      <c r="A97" s="35" t="s">
        <v>329</v>
      </c>
      <c r="B97" s="99">
        <v>0</v>
      </c>
    </row>
    <row r="98" spans="1:2" x14ac:dyDescent="0.25">
      <c r="A98" s="35" t="s">
        <v>669</v>
      </c>
      <c r="B98" s="99">
        <v>0</v>
      </c>
    </row>
    <row r="99" spans="1:2" x14ac:dyDescent="0.25">
      <c r="A99" s="35" t="s">
        <v>669</v>
      </c>
      <c r="B99" s="99">
        <v>0</v>
      </c>
    </row>
    <row r="100" spans="1:2" x14ac:dyDescent="0.25">
      <c r="A100" s="35" t="s">
        <v>669</v>
      </c>
      <c r="B100" s="99">
        <v>0</v>
      </c>
    </row>
    <row r="101" spans="1:2" x14ac:dyDescent="0.25">
      <c r="A101" s="35" t="s">
        <v>169</v>
      </c>
      <c r="B101" s="99">
        <v>0</v>
      </c>
    </row>
    <row r="102" spans="1:2" x14ac:dyDescent="0.25">
      <c r="A102" s="35" t="s">
        <v>373</v>
      </c>
      <c r="B102" s="99">
        <v>0</v>
      </c>
    </row>
    <row r="103" spans="1:2" x14ac:dyDescent="0.25">
      <c r="A103" s="35" t="s">
        <v>377</v>
      </c>
      <c r="B103" s="99">
        <v>0</v>
      </c>
    </row>
    <row r="104" spans="1:2" x14ac:dyDescent="0.25">
      <c r="A104" s="35" t="s">
        <v>669</v>
      </c>
      <c r="B104" s="99">
        <v>0</v>
      </c>
    </row>
    <row r="105" spans="1:2" x14ac:dyDescent="0.25">
      <c r="A105" s="35" t="s">
        <v>383</v>
      </c>
      <c r="B105" s="99">
        <v>0</v>
      </c>
    </row>
    <row r="106" spans="1:2" x14ac:dyDescent="0.25">
      <c r="A106" s="35" t="s">
        <v>386</v>
      </c>
      <c r="B106" s="99">
        <v>0</v>
      </c>
    </row>
    <row r="107" spans="1:2" x14ac:dyDescent="0.25">
      <c r="A107" s="35" t="s">
        <v>391</v>
      </c>
      <c r="B107" s="99">
        <v>0</v>
      </c>
    </row>
    <row r="108" spans="1:2" x14ac:dyDescent="0.25">
      <c r="A108" s="35" t="s">
        <v>394</v>
      </c>
      <c r="B108" s="99">
        <v>0</v>
      </c>
    </row>
    <row r="109" spans="1:2" x14ac:dyDescent="0.25">
      <c r="A109" s="35" t="s">
        <v>27</v>
      </c>
      <c r="B109" s="99">
        <v>0</v>
      </c>
    </row>
  </sheetData>
  <conditionalFormatting sqref="B2:B109">
    <cfRule type="colorScale" priority="1">
      <colorScale>
        <cfvo type="min"/>
        <cfvo type="percentile" val="50"/>
        <cfvo type="max"/>
        <color rgb="FF63BE7B"/>
        <color rgb="FFFFEB84"/>
        <color rgb="FFF8696B"/>
      </colorScale>
    </cfRule>
  </conditionalFormatting>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79A71-1B60-4AEB-9654-97EAF62E3839}">
  <dimension ref="A1:J23"/>
  <sheetViews>
    <sheetView topLeftCell="F4" zoomScale="115" zoomScaleNormal="115" workbookViewId="0">
      <selection activeCell="G8" sqref="G8"/>
    </sheetView>
  </sheetViews>
  <sheetFormatPr defaultRowHeight="15" x14ac:dyDescent="0.25"/>
  <cols>
    <col min="2" max="2" width="80.28515625" customWidth="1"/>
    <col min="3" max="3" width="4.42578125" customWidth="1"/>
    <col min="4" max="4" width="41.28515625" customWidth="1"/>
    <col min="5" max="10" width="50" customWidth="1"/>
  </cols>
  <sheetData>
    <row r="1" spans="1:10" ht="15.75" thickBot="1" x14ac:dyDescent="0.3"/>
    <row r="2" spans="1:10" ht="112.5" customHeight="1" thickBot="1" x14ac:dyDescent="0.3">
      <c r="B2" s="150" t="s">
        <v>1348</v>
      </c>
      <c r="D2" s="151" t="s">
        <v>1369</v>
      </c>
      <c r="E2" s="151" t="s">
        <v>332</v>
      </c>
      <c r="F2" s="151" t="s">
        <v>33</v>
      </c>
      <c r="G2" s="151" t="s">
        <v>252</v>
      </c>
      <c r="H2" s="151" t="s">
        <v>185</v>
      </c>
      <c r="I2" s="151" t="s">
        <v>189</v>
      </c>
      <c r="J2" s="152" t="s">
        <v>567</v>
      </c>
    </row>
    <row r="3" spans="1:10" ht="43.5" hidden="1" thickBot="1" x14ac:dyDescent="0.3">
      <c r="B3" s="148"/>
      <c r="D3" s="153" t="s">
        <v>196</v>
      </c>
      <c r="E3" s="153" t="s">
        <v>1370</v>
      </c>
      <c r="F3" s="153" t="s">
        <v>1371</v>
      </c>
      <c r="G3" s="153" t="s">
        <v>1372</v>
      </c>
      <c r="H3" s="153" t="s">
        <v>1373</v>
      </c>
      <c r="I3" s="153" t="s">
        <v>1374</v>
      </c>
      <c r="J3" s="154" t="s">
        <v>1375</v>
      </c>
    </row>
    <row r="4" spans="1:10" s="87" customFormat="1" ht="157.5" customHeight="1" thickBot="1" x14ac:dyDescent="0.3">
      <c r="A4" s="87">
        <v>1</v>
      </c>
      <c r="B4" s="149" t="s">
        <v>1349</v>
      </c>
      <c r="D4" s="155" t="s">
        <v>196</v>
      </c>
      <c r="E4" s="155" t="s">
        <v>1614</v>
      </c>
      <c r="F4" s="155" t="s">
        <v>1615</v>
      </c>
      <c r="G4" s="155" t="s">
        <v>1616</v>
      </c>
      <c r="H4" s="155" t="s">
        <v>1617</v>
      </c>
      <c r="I4" s="155" t="s">
        <v>1618</v>
      </c>
      <c r="J4" s="156" t="s">
        <v>1619</v>
      </c>
    </row>
    <row r="5" spans="1:10" s="87" customFormat="1" ht="157.5" customHeight="1" thickBot="1" x14ac:dyDescent="0.3">
      <c r="A5" s="87">
        <v>2</v>
      </c>
      <c r="B5" s="149" t="s">
        <v>1350</v>
      </c>
      <c r="D5" s="155" t="s">
        <v>1620</v>
      </c>
      <c r="E5" s="155" t="s">
        <v>1621</v>
      </c>
      <c r="F5" s="155" t="s">
        <v>1622</v>
      </c>
      <c r="G5" s="155" t="s">
        <v>1623</v>
      </c>
      <c r="H5" s="155" t="s">
        <v>1624</v>
      </c>
      <c r="I5" s="155" t="s">
        <v>1625</v>
      </c>
      <c r="J5" s="156" t="s">
        <v>1626</v>
      </c>
    </row>
    <row r="6" spans="1:10" s="87" customFormat="1" ht="136.5" customHeight="1" thickBot="1" x14ac:dyDescent="0.3">
      <c r="A6" s="87">
        <v>3</v>
      </c>
      <c r="B6" s="149" t="s">
        <v>1351</v>
      </c>
      <c r="D6" s="155" t="s">
        <v>1628</v>
      </c>
      <c r="E6" s="155" t="s">
        <v>1627</v>
      </c>
      <c r="F6" s="155" t="s">
        <v>1629</v>
      </c>
      <c r="G6" s="155" t="s">
        <v>1632</v>
      </c>
      <c r="H6" s="155" t="s">
        <v>1630</v>
      </c>
      <c r="I6" s="155" t="s">
        <v>1633</v>
      </c>
      <c r="J6" s="156" t="s">
        <v>1631</v>
      </c>
    </row>
    <row r="7" spans="1:10" s="87" customFormat="1" ht="49.5" customHeight="1" thickBot="1" x14ac:dyDescent="0.3">
      <c r="A7" s="87">
        <v>4</v>
      </c>
      <c r="B7" s="149" t="s">
        <v>1352</v>
      </c>
      <c r="D7" s="153"/>
      <c r="E7" s="153"/>
      <c r="F7" s="153"/>
      <c r="G7" s="153"/>
      <c r="H7" s="153"/>
      <c r="I7" s="153"/>
      <c r="J7" s="154"/>
    </row>
    <row r="8" spans="1:10" s="87" customFormat="1" ht="49.5" customHeight="1" thickBot="1" x14ac:dyDescent="0.3">
      <c r="A8" s="87">
        <v>5</v>
      </c>
      <c r="B8" s="149" t="s">
        <v>1353</v>
      </c>
      <c r="D8" s="153"/>
      <c r="E8" s="153"/>
      <c r="F8" s="153"/>
      <c r="G8" s="153"/>
      <c r="H8" s="153"/>
      <c r="I8" s="153"/>
      <c r="J8" s="154"/>
    </row>
    <row r="9" spans="1:10" s="87" customFormat="1" ht="49.5" customHeight="1" thickBot="1" x14ac:dyDescent="0.3">
      <c r="A9" s="87">
        <v>6</v>
      </c>
      <c r="B9" s="149" t="s">
        <v>1354</v>
      </c>
      <c r="D9" s="153"/>
      <c r="E9" s="153"/>
      <c r="F9" s="153"/>
      <c r="G9" s="153"/>
      <c r="H9" s="153"/>
      <c r="I9" s="153"/>
      <c r="J9" s="154"/>
    </row>
    <row r="10" spans="1:10" s="87" customFormat="1" ht="49.5" customHeight="1" thickBot="1" x14ac:dyDescent="0.3">
      <c r="A10" s="87">
        <v>7</v>
      </c>
      <c r="B10" s="149" t="s">
        <v>1355</v>
      </c>
      <c r="D10" s="153"/>
      <c r="E10" s="153"/>
      <c r="F10" s="153"/>
      <c r="G10" s="153"/>
      <c r="H10" s="153"/>
      <c r="I10" s="153"/>
      <c r="J10" s="154"/>
    </row>
    <row r="11" spans="1:10" s="87" customFormat="1" ht="49.5" customHeight="1" thickBot="1" x14ac:dyDescent="0.3">
      <c r="A11" s="87">
        <v>8</v>
      </c>
      <c r="B11" s="149" t="s">
        <v>1356</v>
      </c>
      <c r="D11" s="153"/>
      <c r="E11" s="153"/>
      <c r="F11" s="153"/>
      <c r="G11" s="153"/>
      <c r="H11" s="153"/>
      <c r="I11" s="153"/>
      <c r="J11" s="154"/>
    </row>
    <row r="12" spans="1:10" s="87" customFormat="1" ht="49.5" customHeight="1" x14ac:dyDescent="0.25">
      <c r="A12" s="87">
        <v>9</v>
      </c>
      <c r="B12" s="149" t="s">
        <v>1357</v>
      </c>
    </row>
    <row r="13" spans="1:10" s="87" customFormat="1" ht="49.5" customHeight="1" x14ac:dyDescent="0.25">
      <c r="A13" s="87">
        <v>10</v>
      </c>
      <c r="B13" s="149" t="s">
        <v>1358</v>
      </c>
    </row>
    <row r="14" spans="1:10" s="87" customFormat="1" ht="49.5" customHeight="1" x14ac:dyDescent="0.25">
      <c r="A14" s="87">
        <v>11</v>
      </c>
      <c r="B14" s="149" t="s">
        <v>1359</v>
      </c>
    </row>
    <row r="15" spans="1:10" s="87" customFormat="1" ht="49.5" customHeight="1" x14ac:dyDescent="0.25">
      <c r="A15" s="87">
        <v>12</v>
      </c>
      <c r="B15" s="149" t="s">
        <v>1360</v>
      </c>
    </row>
    <row r="16" spans="1:10" s="87" customFormat="1" ht="49.5" customHeight="1" x14ac:dyDescent="0.25">
      <c r="A16" s="87">
        <v>13</v>
      </c>
      <c r="B16" s="149" t="s">
        <v>1361</v>
      </c>
    </row>
    <row r="17" spans="1:2" s="87" customFormat="1" ht="49.5" customHeight="1" x14ac:dyDescent="0.25">
      <c r="A17" s="87">
        <v>14</v>
      </c>
      <c r="B17" s="149" t="s">
        <v>1362</v>
      </c>
    </row>
    <row r="18" spans="1:2" s="87" customFormat="1" ht="49.5" customHeight="1" x14ac:dyDescent="0.25">
      <c r="A18" s="87">
        <v>15</v>
      </c>
      <c r="B18" s="149" t="s">
        <v>1363</v>
      </c>
    </row>
    <row r="19" spans="1:2" s="87" customFormat="1" ht="49.5" customHeight="1" x14ac:dyDescent="0.25">
      <c r="A19" s="87">
        <v>16</v>
      </c>
      <c r="B19" s="149" t="s">
        <v>1364</v>
      </c>
    </row>
    <row r="20" spans="1:2" s="87" customFormat="1" ht="49.5" customHeight="1" x14ac:dyDescent="0.25">
      <c r="A20" s="87">
        <v>17</v>
      </c>
      <c r="B20" s="149" t="s">
        <v>1365</v>
      </c>
    </row>
    <row r="21" spans="1:2" s="87" customFormat="1" ht="49.5" customHeight="1" x14ac:dyDescent="0.25">
      <c r="A21" s="87">
        <v>18</v>
      </c>
      <c r="B21" s="149" t="s">
        <v>1366</v>
      </c>
    </row>
    <row r="22" spans="1:2" s="87" customFormat="1" ht="49.5" customHeight="1" x14ac:dyDescent="0.25">
      <c r="A22" s="87">
        <v>19</v>
      </c>
      <c r="B22" s="149" t="s">
        <v>1367</v>
      </c>
    </row>
    <row r="23" spans="1:2" s="87" customFormat="1" ht="49.5" customHeight="1" x14ac:dyDescent="0.25">
      <c r="A23" s="87">
        <v>20</v>
      </c>
      <c r="B23" s="149" t="s">
        <v>1368</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20052-F82E-49E7-ABA3-A8F63A86D845}">
  <dimension ref="C1:H32"/>
  <sheetViews>
    <sheetView workbookViewId="0">
      <selection activeCell="C1" sqref="C1:C6"/>
    </sheetView>
  </sheetViews>
  <sheetFormatPr defaultColWidth="201.5703125" defaultRowHeight="15" x14ac:dyDescent="0.25"/>
  <cols>
    <col min="1" max="2" width="4.28515625" bestFit="1" customWidth="1"/>
    <col min="3" max="3" width="26.28515625" bestFit="1" customWidth="1"/>
    <col min="4" max="4" width="19.140625" bestFit="1" customWidth="1"/>
    <col min="5" max="5" width="11.7109375" bestFit="1" customWidth="1"/>
    <col min="6" max="6" width="5.5703125" bestFit="1" customWidth="1"/>
    <col min="7" max="7" width="21.7109375" bestFit="1" customWidth="1"/>
    <col min="8" max="8" width="60.28515625" bestFit="1" customWidth="1"/>
    <col min="9" max="9" width="78" bestFit="1" customWidth="1"/>
    <col min="10" max="10" width="4.28515625" bestFit="1" customWidth="1"/>
    <col min="11" max="11" width="107.85546875" bestFit="1" customWidth="1"/>
    <col min="12" max="12" width="4.28515625" bestFit="1" customWidth="1"/>
    <col min="13" max="13" width="12.42578125" bestFit="1" customWidth="1"/>
    <col min="14" max="14" width="14" bestFit="1" customWidth="1"/>
    <col min="15" max="15" width="7.85546875" bestFit="1" customWidth="1"/>
    <col min="16" max="16" width="19.42578125" bestFit="1" customWidth="1"/>
    <col min="17" max="17" width="21.42578125" bestFit="1" customWidth="1"/>
    <col min="18" max="18" width="14.28515625" bestFit="1" customWidth="1"/>
    <col min="19" max="19" width="29.140625" bestFit="1" customWidth="1"/>
    <col min="20" max="20" width="26.28515625" customWidth="1"/>
    <col min="21" max="21" width="139.85546875" bestFit="1" customWidth="1"/>
  </cols>
  <sheetData>
    <row r="1" spans="3:3" x14ac:dyDescent="0.25">
      <c r="C1" s="35" t="s">
        <v>52</v>
      </c>
    </row>
    <row r="2" spans="3:3" x14ac:dyDescent="0.25">
      <c r="C2" s="35" t="s">
        <v>82</v>
      </c>
    </row>
    <row r="3" spans="3:3" x14ac:dyDescent="0.25">
      <c r="C3" s="35" t="s">
        <v>66</v>
      </c>
    </row>
    <row r="4" spans="3:3" x14ac:dyDescent="0.25">
      <c r="C4" s="35" t="s">
        <v>79</v>
      </c>
    </row>
    <row r="5" spans="3:3" x14ac:dyDescent="0.25">
      <c r="C5" s="35" t="s">
        <v>73</v>
      </c>
    </row>
    <row r="6" spans="3:3" x14ac:dyDescent="0.25">
      <c r="C6" s="35" t="s">
        <v>59</v>
      </c>
    </row>
    <row r="26" spans="8:8" x14ac:dyDescent="0.25">
      <c r="H26" s="35"/>
    </row>
    <row r="27" spans="8:8" x14ac:dyDescent="0.25">
      <c r="H27" s="35"/>
    </row>
    <row r="28" spans="8:8" x14ac:dyDescent="0.25">
      <c r="H28" s="35"/>
    </row>
    <row r="29" spans="8:8" x14ac:dyDescent="0.25">
      <c r="H29" s="35"/>
    </row>
    <row r="30" spans="8:8" x14ac:dyDescent="0.25">
      <c r="H30" s="35"/>
    </row>
    <row r="31" spans="8:8" x14ac:dyDescent="0.25">
      <c r="H31" s="35"/>
    </row>
    <row r="32" spans="8:8" x14ac:dyDescent="0.25">
      <c r="H32" s="35"/>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11</vt:i4>
      </vt:variant>
      <vt:variant>
        <vt:lpstr>Intervalos Nomeados</vt:lpstr>
      </vt:variant>
      <vt:variant>
        <vt:i4>1</vt:i4>
      </vt:variant>
    </vt:vector>
  </HeadingPairs>
  <TitlesOfParts>
    <vt:vector size="12" baseType="lpstr">
      <vt:lpstr>Linha do Tempo do Projeto</vt:lpstr>
      <vt:lpstr>Mapeamento (CONTA TARGET)</vt:lpstr>
      <vt:lpstr>Contas Compiladas</vt:lpstr>
      <vt:lpstr>Compilado Contatos</vt:lpstr>
      <vt:lpstr>Compilado Clientes</vt:lpstr>
      <vt:lpstr>Base OPPs (Target)</vt:lpstr>
      <vt:lpstr>Contatos enriquecidos</vt:lpstr>
      <vt:lpstr>Summary</vt:lpstr>
      <vt:lpstr>Heatmap Cargos</vt:lpstr>
      <vt:lpstr>Pautas</vt:lpstr>
      <vt:lpstr>Draft</vt:lpstr>
      <vt:lpstr>'Linha do Tempo do Projeto'!Area_de_impressao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Fábio Diniz</dc:creator>
  <cp:lastModifiedBy>Fábio Diniz</cp:lastModifiedBy>
  <dcterms:created xsi:type="dcterms:W3CDTF">2024-02-07T13:16:12Z</dcterms:created>
  <dcterms:modified xsi:type="dcterms:W3CDTF">2024-07-17T14:56:05Z</dcterms:modified>
</cp:coreProperties>
</file>